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namedSheetViews/namedSheetView1.xml" ContentType="application/vnd.ms-excel.namedsheetviews+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mc:AlternateContent xmlns:mc="http://schemas.openxmlformats.org/markup-compatibility/2006">
    <mc:Choice Requires="x15">
      <x15ac:absPath xmlns:x15ac="http://schemas.microsoft.com/office/spreadsheetml/2010/11/ac" url="C:\Users\bukol\Downloads\"/>
    </mc:Choice>
  </mc:AlternateContent>
  <xr:revisionPtr revIDLastSave="0" documentId="8_{21BD2164-540C-4948-8877-4D48EBF1D974}" xr6:coauthVersionLast="47" xr6:coauthVersionMax="47" xr10:uidLastSave="{00000000-0000-0000-0000-000000000000}"/>
  <bookViews>
    <workbookView xWindow="-120" yWindow="-120" windowWidth="29040" windowHeight="15840" firstSheet="1" activeTab="4" xr2:uid="{00000000-000D-0000-FFFF-FFFF00000000}"/>
  </bookViews>
  <sheets>
    <sheet name="Cost by Department" sheetId="10" r:id="rId1"/>
    <sheet name="Average stay" sheetId="12" r:id="rId2"/>
    <sheet name="Cleaned_Data" sheetId="6" r:id="rId3"/>
    <sheet name="Admissions by dept" sheetId="9" r:id="rId4"/>
    <sheet name="DASHBOARD" sheetId="7" r:id="rId5"/>
    <sheet name="Raw_Data" sheetId="1" r:id="rId6"/>
    <sheet name="Practice_Guide" sheetId="2" r:id="rId7"/>
    <sheet name="KPI" sheetId="8" r:id="rId8"/>
  </sheets>
  <definedNames>
    <definedName name="_xlnm._FilterDatabase" localSheetId="2" hidden="1">Cleaned_Data!$A$1:$S$506</definedName>
    <definedName name="Slicer_Department">#N/A</definedName>
    <definedName name="Slicer_Insurance_Type">#N/A</definedName>
  </definedNames>
  <calcPr calcId="191028"/>
  <pivotCaches>
    <pivotCache cacheId="6"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8" l="1"/>
  <c r="G2" i="8"/>
  <c r="O2" i="6"/>
  <c r="Q35" i="6"/>
  <c r="R35" i="6" s="1"/>
  <c r="Q15" i="6"/>
  <c r="R15" i="6" s="1"/>
  <c r="S4" i="6"/>
  <c r="Q3" i="6"/>
  <c r="R3" i="6" s="1"/>
  <c r="Q4" i="6"/>
  <c r="R4" i="6" s="1"/>
  <c r="Q5" i="6"/>
  <c r="R5" i="6" s="1"/>
  <c r="Q6" i="6"/>
  <c r="R6" i="6" s="1"/>
  <c r="Q7" i="6"/>
  <c r="R7" i="6" s="1"/>
  <c r="Q8" i="6"/>
  <c r="R8" i="6" s="1"/>
  <c r="Q9" i="6"/>
  <c r="R9" i="6" s="1"/>
  <c r="Q10" i="6"/>
  <c r="R10" i="6" s="1"/>
  <c r="Q11" i="6"/>
  <c r="R11" i="6" s="1"/>
  <c r="Q12" i="6"/>
  <c r="R12" i="6" s="1"/>
  <c r="Q13" i="6"/>
  <c r="R13" i="6" s="1"/>
  <c r="Q14" i="6"/>
  <c r="R14" i="6" s="1"/>
  <c r="Q16" i="6"/>
  <c r="R16" i="6" s="1"/>
  <c r="Q17" i="6"/>
  <c r="R17" i="6" s="1"/>
  <c r="Q18" i="6"/>
  <c r="R18" i="6" s="1"/>
  <c r="Q19" i="6"/>
  <c r="R19" i="6" s="1"/>
  <c r="Q20" i="6"/>
  <c r="R20" i="6" s="1"/>
  <c r="Q21" i="6"/>
  <c r="R21" i="6" s="1"/>
  <c r="Q22" i="6"/>
  <c r="R22" i="6" s="1"/>
  <c r="Q23" i="6"/>
  <c r="R23" i="6" s="1"/>
  <c r="Q24" i="6"/>
  <c r="R24" i="6" s="1"/>
  <c r="Q25" i="6"/>
  <c r="R25" i="6" s="1"/>
  <c r="Q26" i="6"/>
  <c r="R26" i="6" s="1"/>
  <c r="Q27" i="6"/>
  <c r="R27" i="6" s="1"/>
  <c r="Q28" i="6"/>
  <c r="R28" i="6" s="1"/>
  <c r="Q29" i="6"/>
  <c r="R29" i="6" s="1"/>
  <c r="Q30" i="6"/>
  <c r="R30" i="6" s="1"/>
  <c r="Q31" i="6"/>
  <c r="R31" i="6" s="1"/>
  <c r="Q32" i="6"/>
  <c r="R32" i="6" s="1"/>
  <c r="Q33" i="6"/>
  <c r="R33" i="6" s="1"/>
  <c r="Q34" i="6"/>
  <c r="R34" i="6" s="1"/>
  <c r="Q36" i="6"/>
  <c r="R36" i="6" s="1"/>
  <c r="Q37" i="6"/>
  <c r="R37" i="6" s="1"/>
  <c r="Q38" i="6"/>
  <c r="R38" i="6" s="1"/>
  <c r="Q39" i="6"/>
  <c r="R39" i="6" s="1"/>
  <c r="Q40" i="6"/>
  <c r="R40" i="6" s="1"/>
  <c r="Q41" i="6"/>
  <c r="R41" i="6" s="1"/>
  <c r="Q42" i="6"/>
  <c r="R42" i="6" s="1"/>
  <c r="Q43" i="6"/>
  <c r="R43" i="6" s="1"/>
  <c r="Q44" i="6"/>
  <c r="R44" i="6" s="1"/>
  <c r="Q45" i="6"/>
  <c r="R45" i="6" s="1"/>
  <c r="Q46" i="6"/>
  <c r="R46" i="6" s="1"/>
  <c r="Q47" i="6"/>
  <c r="R47" i="6" s="1"/>
  <c r="Q48" i="6"/>
  <c r="R48" i="6" s="1"/>
  <c r="Q49" i="6"/>
  <c r="R49" i="6" s="1"/>
  <c r="Q50" i="6"/>
  <c r="R50" i="6" s="1"/>
  <c r="Q51" i="6"/>
  <c r="R51" i="6" s="1"/>
  <c r="Q52" i="6"/>
  <c r="R52" i="6" s="1"/>
  <c r="Q53" i="6"/>
  <c r="R53" i="6" s="1"/>
  <c r="Q54" i="6"/>
  <c r="R54" i="6" s="1"/>
  <c r="Q55" i="6"/>
  <c r="R55" i="6" s="1"/>
  <c r="Q56" i="6"/>
  <c r="R56" i="6" s="1"/>
  <c r="Q57" i="6"/>
  <c r="R57" i="6" s="1"/>
  <c r="Q58" i="6"/>
  <c r="R58" i="6" s="1"/>
  <c r="Q59" i="6"/>
  <c r="R59" i="6" s="1"/>
  <c r="Q60" i="6"/>
  <c r="R60" i="6" s="1"/>
  <c r="Q61" i="6"/>
  <c r="R61" i="6" s="1"/>
  <c r="Q62" i="6"/>
  <c r="R62" i="6" s="1"/>
  <c r="Q63" i="6"/>
  <c r="R63" i="6" s="1"/>
  <c r="Q64" i="6"/>
  <c r="R64" i="6" s="1"/>
  <c r="Q65" i="6"/>
  <c r="R65" i="6" s="1"/>
  <c r="Q66" i="6"/>
  <c r="R66" i="6" s="1"/>
  <c r="Q67" i="6"/>
  <c r="R67" i="6" s="1"/>
  <c r="Q68" i="6"/>
  <c r="R68" i="6" s="1"/>
  <c r="Q69" i="6"/>
  <c r="R69" i="6" s="1"/>
  <c r="Q70" i="6"/>
  <c r="R70" i="6" s="1"/>
  <c r="Q71" i="6"/>
  <c r="R71" i="6" s="1"/>
  <c r="Q72" i="6"/>
  <c r="R72" i="6" s="1"/>
  <c r="Q73" i="6"/>
  <c r="R73" i="6" s="1"/>
  <c r="Q74" i="6"/>
  <c r="R74" i="6" s="1"/>
  <c r="Q75" i="6"/>
  <c r="R75" i="6" s="1"/>
  <c r="Q76" i="6"/>
  <c r="R76" i="6" s="1"/>
  <c r="Q77" i="6"/>
  <c r="R77" i="6" s="1"/>
  <c r="Q78" i="6"/>
  <c r="R78" i="6" s="1"/>
  <c r="Q79" i="6"/>
  <c r="R79" i="6" s="1"/>
  <c r="Q80" i="6"/>
  <c r="R80" i="6" s="1"/>
  <c r="Q81" i="6"/>
  <c r="R81" i="6" s="1"/>
  <c r="Q82" i="6"/>
  <c r="R82" i="6" s="1"/>
  <c r="Q83" i="6"/>
  <c r="R83" i="6" s="1"/>
  <c r="Q84" i="6"/>
  <c r="R84" i="6" s="1"/>
  <c r="Q85" i="6"/>
  <c r="R85" i="6" s="1"/>
  <c r="Q86" i="6"/>
  <c r="R86" i="6" s="1"/>
  <c r="Q87" i="6"/>
  <c r="R87" i="6" s="1"/>
  <c r="Q88" i="6"/>
  <c r="R88" i="6" s="1"/>
  <c r="Q89" i="6"/>
  <c r="R89" i="6" s="1"/>
  <c r="Q90" i="6"/>
  <c r="R90" i="6" s="1"/>
  <c r="Q91" i="6"/>
  <c r="R91" i="6" s="1"/>
  <c r="Q92" i="6"/>
  <c r="R92" i="6" s="1"/>
  <c r="Q93" i="6"/>
  <c r="R93" i="6" s="1"/>
  <c r="Q94" i="6"/>
  <c r="R94" i="6" s="1"/>
  <c r="Q95" i="6"/>
  <c r="R95" i="6" s="1"/>
  <c r="Q96" i="6"/>
  <c r="R96" i="6" s="1"/>
  <c r="Q97" i="6"/>
  <c r="R97" i="6" s="1"/>
  <c r="Q98" i="6"/>
  <c r="R98" i="6" s="1"/>
  <c r="Q99" i="6"/>
  <c r="R99" i="6" s="1"/>
  <c r="Q100" i="6"/>
  <c r="R100" i="6" s="1"/>
  <c r="Q101" i="6"/>
  <c r="R101" i="6" s="1"/>
  <c r="Q102" i="6"/>
  <c r="R102" i="6" s="1"/>
  <c r="Q103" i="6"/>
  <c r="R103" i="6" s="1"/>
  <c r="Q104" i="6"/>
  <c r="R104" i="6" s="1"/>
  <c r="Q105" i="6"/>
  <c r="R105" i="6" s="1"/>
  <c r="Q106" i="6"/>
  <c r="R106" i="6" s="1"/>
  <c r="Q107" i="6"/>
  <c r="R107" i="6" s="1"/>
  <c r="Q108" i="6"/>
  <c r="R108" i="6" s="1"/>
  <c r="Q109" i="6"/>
  <c r="R109" i="6" s="1"/>
  <c r="Q110" i="6"/>
  <c r="R110" i="6" s="1"/>
  <c r="Q111" i="6"/>
  <c r="R111" i="6" s="1"/>
  <c r="Q112" i="6"/>
  <c r="R112" i="6" s="1"/>
  <c r="Q113" i="6"/>
  <c r="R113" i="6" s="1"/>
  <c r="Q114" i="6"/>
  <c r="R114" i="6" s="1"/>
  <c r="Q115" i="6"/>
  <c r="R115" i="6" s="1"/>
  <c r="Q116" i="6"/>
  <c r="R116" i="6" s="1"/>
  <c r="Q117" i="6"/>
  <c r="R117" i="6" s="1"/>
  <c r="Q118" i="6"/>
  <c r="R118" i="6" s="1"/>
  <c r="Q119" i="6"/>
  <c r="R119" i="6" s="1"/>
  <c r="Q120" i="6"/>
  <c r="R120" i="6" s="1"/>
  <c r="Q121" i="6"/>
  <c r="R121" i="6" s="1"/>
  <c r="Q122" i="6"/>
  <c r="R122" i="6" s="1"/>
  <c r="Q123" i="6"/>
  <c r="R123" i="6" s="1"/>
  <c r="Q124" i="6"/>
  <c r="R124" i="6" s="1"/>
  <c r="Q125" i="6"/>
  <c r="R125" i="6" s="1"/>
  <c r="Q126" i="6"/>
  <c r="R126" i="6" s="1"/>
  <c r="Q127" i="6"/>
  <c r="R127" i="6" s="1"/>
  <c r="Q128" i="6"/>
  <c r="R128" i="6" s="1"/>
  <c r="Q129" i="6"/>
  <c r="R129" i="6" s="1"/>
  <c r="Q130" i="6"/>
  <c r="R130" i="6" s="1"/>
  <c r="Q131" i="6"/>
  <c r="R131" i="6" s="1"/>
  <c r="Q132" i="6"/>
  <c r="R132" i="6" s="1"/>
  <c r="Q133" i="6"/>
  <c r="R133" i="6" s="1"/>
  <c r="Q134" i="6"/>
  <c r="R134" i="6" s="1"/>
  <c r="Q135" i="6"/>
  <c r="R135" i="6" s="1"/>
  <c r="Q136" i="6"/>
  <c r="R136" i="6" s="1"/>
  <c r="Q137" i="6"/>
  <c r="R137" i="6" s="1"/>
  <c r="Q138" i="6"/>
  <c r="R138" i="6" s="1"/>
  <c r="Q139" i="6"/>
  <c r="R139" i="6" s="1"/>
  <c r="Q140" i="6"/>
  <c r="R140" i="6" s="1"/>
  <c r="Q141" i="6"/>
  <c r="R141" i="6" s="1"/>
  <c r="Q142" i="6"/>
  <c r="R142" i="6" s="1"/>
  <c r="Q143" i="6"/>
  <c r="R143" i="6" s="1"/>
  <c r="Q144" i="6"/>
  <c r="R144" i="6" s="1"/>
  <c r="Q145" i="6"/>
  <c r="R145" i="6" s="1"/>
  <c r="Q146" i="6"/>
  <c r="R146" i="6" s="1"/>
  <c r="Q147" i="6"/>
  <c r="R147" i="6" s="1"/>
  <c r="Q148" i="6"/>
  <c r="R148" i="6" s="1"/>
  <c r="Q149" i="6"/>
  <c r="R149" i="6" s="1"/>
  <c r="Q150" i="6"/>
  <c r="R150" i="6" s="1"/>
  <c r="Q151" i="6"/>
  <c r="R151" i="6" s="1"/>
  <c r="Q152" i="6"/>
  <c r="R152" i="6" s="1"/>
  <c r="Q153" i="6"/>
  <c r="R153" i="6" s="1"/>
  <c r="Q154" i="6"/>
  <c r="R154" i="6" s="1"/>
  <c r="Q155" i="6"/>
  <c r="R155" i="6" s="1"/>
  <c r="Q156" i="6"/>
  <c r="R156" i="6" s="1"/>
  <c r="Q157" i="6"/>
  <c r="R157" i="6" s="1"/>
  <c r="Q158" i="6"/>
  <c r="R158" i="6" s="1"/>
  <c r="Q159" i="6"/>
  <c r="R159" i="6" s="1"/>
  <c r="Q160" i="6"/>
  <c r="R160" i="6" s="1"/>
  <c r="Q161" i="6"/>
  <c r="R161" i="6" s="1"/>
  <c r="Q162" i="6"/>
  <c r="R162" i="6" s="1"/>
  <c r="Q163" i="6"/>
  <c r="R163" i="6" s="1"/>
  <c r="Q164" i="6"/>
  <c r="R164" i="6" s="1"/>
  <c r="Q165" i="6"/>
  <c r="R165" i="6" s="1"/>
  <c r="Q166" i="6"/>
  <c r="R166" i="6" s="1"/>
  <c r="Q167" i="6"/>
  <c r="R167" i="6" s="1"/>
  <c r="Q168" i="6"/>
  <c r="R168" i="6" s="1"/>
  <c r="Q169" i="6"/>
  <c r="R169" i="6" s="1"/>
  <c r="Q170" i="6"/>
  <c r="R170" i="6" s="1"/>
  <c r="Q171" i="6"/>
  <c r="R171" i="6" s="1"/>
  <c r="Q172" i="6"/>
  <c r="R172" i="6" s="1"/>
  <c r="Q173" i="6"/>
  <c r="R173" i="6" s="1"/>
  <c r="Q174" i="6"/>
  <c r="R174" i="6" s="1"/>
  <c r="Q175" i="6"/>
  <c r="R175" i="6" s="1"/>
  <c r="Q176" i="6"/>
  <c r="R176" i="6" s="1"/>
  <c r="Q177" i="6"/>
  <c r="R177" i="6" s="1"/>
  <c r="Q178" i="6"/>
  <c r="R178" i="6" s="1"/>
  <c r="Q179" i="6"/>
  <c r="R179" i="6" s="1"/>
  <c r="Q180" i="6"/>
  <c r="R180" i="6" s="1"/>
  <c r="Q181" i="6"/>
  <c r="R181" i="6" s="1"/>
  <c r="Q182" i="6"/>
  <c r="R182" i="6" s="1"/>
  <c r="Q183" i="6"/>
  <c r="R183" i="6" s="1"/>
  <c r="Q184" i="6"/>
  <c r="R184" i="6" s="1"/>
  <c r="Q185" i="6"/>
  <c r="R185" i="6" s="1"/>
  <c r="Q186" i="6"/>
  <c r="R186" i="6" s="1"/>
  <c r="Q187" i="6"/>
  <c r="R187" i="6" s="1"/>
  <c r="Q188" i="6"/>
  <c r="R188" i="6" s="1"/>
  <c r="Q189" i="6"/>
  <c r="R189" i="6" s="1"/>
  <c r="Q190" i="6"/>
  <c r="R190" i="6" s="1"/>
  <c r="Q191" i="6"/>
  <c r="R191" i="6" s="1"/>
  <c r="Q192" i="6"/>
  <c r="R192" i="6" s="1"/>
  <c r="Q193" i="6"/>
  <c r="R193" i="6" s="1"/>
  <c r="Q194" i="6"/>
  <c r="R194" i="6" s="1"/>
  <c r="Q195" i="6"/>
  <c r="R195" i="6" s="1"/>
  <c r="Q196" i="6"/>
  <c r="R196" i="6" s="1"/>
  <c r="Q197" i="6"/>
  <c r="R197" i="6" s="1"/>
  <c r="Q198" i="6"/>
  <c r="R198" i="6" s="1"/>
  <c r="Q199" i="6"/>
  <c r="R199" i="6" s="1"/>
  <c r="Q200" i="6"/>
  <c r="R200" i="6" s="1"/>
  <c r="Q201" i="6"/>
  <c r="R201" i="6" s="1"/>
  <c r="Q202" i="6"/>
  <c r="R202" i="6" s="1"/>
  <c r="Q203" i="6"/>
  <c r="R203" i="6" s="1"/>
  <c r="Q204" i="6"/>
  <c r="R204" i="6" s="1"/>
  <c r="Q205" i="6"/>
  <c r="R205" i="6" s="1"/>
  <c r="Q206" i="6"/>
  <c r="R206" i="6" s="1"/>
  <c r="Q207" i="6"/>
  <c r="R207" i="6" s="1"/>
  <c r="Q208" i="6"/>
  <c r="R208" i="6" s="1"/>
  <c r="Q209" i="6"/>
  <c r="R209" i="6" s="1"/>
  <c r="Q210" i="6"/>
  <c r="R210" i="6" s="1"/>
  <c r="Q211" i="6"/>
  <c r="R211" i="6" s="1"/>
  <c r="Q212" i="6"/>
  <c r="R212" i="6" s="1"/>
  <c r="Q213" i="6"/>
  <c r="R213" i="6" s="1"/>
  <c r="Q214" i="6"/>
  <c r="R214" i="6" s="1"/>
  <c r="Q215" i="6"/>
  <c r="R215" i="6" s="1"/>
  <c r="Q216" i="6"/>
  <c r="R216" i="6" s="1"/>
  <c r="Q217" i="6"/>
  <c r="R217" i="6" s="1"/>
  <c r="Q218" i="6"/>
  <c r="R218" i="6" s="1"/>
  <c r="Q219" i="6"/>
  <c r="R219" i="6" s="1"/>
  <c r="Q220" i="6"/>
  <c r="R220" i="6" s="1"/>
  <c r="Q221" i="6"/>
  <c r="R221" i="6" s="1"/>
  <c r="Q222" i="6"/>
  <c r="R222" i="6" s="1"/>
  <c r="Q223" i="6"/>
  <c r="R223" i="6" s="1"/>
  <c r="Q224" i="6"/>
  <c r="R224" i="6" s="1"/>
  <c r="Q225" i="6"/>
  <c r="R225" i="6" s="1"/>
  <c r="Q226" i="6"/>
  <c r="R226" i="6" s="1"/>
  <c r="Q227" i="6"/>
  <c r="R227" i="6" s="1"/>
  <c r="Q228" i="6"/>
  <c r="R228" i="6" s="1"/>
  <c r="Q229" i="6"/>
  <c r="R229" i="6" s="1"/>
  <c r="Q230" i="6"/>
  <c r="R230" i="6" s="1"/>
  <c r="Q231" i="6"/>
  <c r="R231" i="6" s="1"/>
  <c r="Q232" i="6"/>
  <c r="R232" i="6" s="1"/>
  <c r="Q233" i="6"/>
  <c r="R233" i="6" s="1"/>
  <c r="Q234" i="6"/>
  <c r="R234" i="6" s="1"/>
  <c r="Q235" i="6"/>
  <c r="R235" i="6" s="1"/>
  <c r="Q236" i="6"/>
  <c r="R236" i="6" s="1"/>
  <c r="Q237" i="6"/>
  <c r="R237" i="6" s="1"/>
  <c r="Q238" i="6"/>
  <c r="R238" i="6" s="1"/>
  <c r="Q239" i="6"/>
  <c r="R239" i="6" s="1"/>
  <c r="Q240" i="6"/>
  <c r="R240" i="6" s="1"/>
  <c r="Q241" i="6"/>
  <c r="R241" i="6" s="1"/>
  <c r="Q242" i="6"/>
  <c r="R242" i="6" s="1"/>
  <c r="Q243" i="6"/>
  <c r="R243" i="6" s="1"/>
  <c r="Q244" i="6"/>
  <c r="R244" i="6" s="1"/>
  <c r="Q245" i="6"/>
  <c r="R245" i="6" s="1"/>
  <c r="Q246" i="6"/>
  <c r="R246" i="6" s="1"/>
  <c r="Q247" i="6"/>
  <c r="R247" i="6" s="1"/>
  <c r="Q248" i="6"/>
  <c r="R248" i="6" s="1"/>
  <c r="Q249" i="6"/>
  <c r="R249" i="6" s="1"/>
  <c r="Q250" i="6"/>
  <c r="R250" i="6" s="1"/>
  <c r="Q251" i="6"/>
  <c r="R251" i="6" s="1"/>
  <c r="Q252" i="6"/>
  <c r="R252" i="6" s="1"/>
  <c r="Q253" i="6"/>
  <c r="R253" i="6" s="1"/>
  <c r="Q254" i="6"/>
  <c r="R254" i="6" s="1"/>
  <c r="Q255" i="6"/>
  <c r="R255" i="6" s="1"/>
  <c r="Q256" i="6"/>
  <c r="R256" i="6" s="1"/>
  <c r="Q257" i="6"/>
  <c r="R257" i="6" s="1"/>
  <c r="Q258" i="6"/>
  <c r="R258" i="6" s="1"/>
  <c r="Q259" i="6"/>
  <c r="R259" i="6" s="1"/>
  <c r="Q260" i="6"/>
  <c r="R260" i="6" s="1"/>
  <c r="Q261" i="6"/>
  <c r="R261" i="6" s="1"/>
  <c r="Q262" i="6"/>
  <c r="R262" i="6" s="1"/>
  <c r="Q263" i="6"/>
  <c r="R263" i="6" s="1"/>
  <c r="Q264" i="6"/>
  <c r="R264" i="6" s="1"/>
  <c r="Q265" i="6"/>
  <c r="R265" i="6" s="1"/>
  <c r="Q266" i="6"/>
  <c r="R266" i="6" s="1"/>
  <c r="Q267" i="6"/>
  <c r="R267" i="6" s="1"/>
  <c r="Q268" i="6"/>
  <c r="R268" i="6" s="1"/>
  <c r="Q269" i="6"/>
  <c r="R269" i="6" s="1"/>
  <c r="Q270" i="6"/>
  <c r="R270" i="6" s="1"/>
  <c r="Q271" i="6"/>
  <c r="R271" i="6" s="1"/>
  <c r="Q272" i="6"/>
  <c r="R272" i="6" s="1"/>
  <c r="Q273" i="6"/>
  <c r="R273" i="6" s="1"/>
  <c r="Q274" i="6"/>
  <c r="R274" i="6" s="1"/>
  <c r="Q275" i="6"/>
  <c r="R275" i="6" s="1"/>
  <c r="Q276" i="6"/>
  <c r="R276" i="6" s="1"/>
  <c r="Q277" i="6"/>
  <c r="R277" i="6" s="1"/>
  <c r="Q278" i="6"/>
  <c r="R278" i="6" s="1"/>
  <c r="Q279" i="6"/>
  <c r="R279" i="6" s="1"/>
  <c r="Q280" i="6"/>
  <c r="R280" i="6" s="1"/>
  <c r="Q281" i="6"/>
  <c r="R281" i="6" s="1"/>
  <c r="Q282" i="6"/>
  <c r="R282" i="6" s="1"/>
  <c r="Q283" i="6"/>
  <c r="R283" i="6" s="1"/>
  <c r="Q284" i="6"/>
  <c r="R284" i="6" s="1"/>
  <c r="Q285" i="6"/>
  <c r="R285" i="6" s="1"/>
  <c r="Q286" i="6"/>
  <c r="R286" i="6" s="1"/>
  <c r="Q287" i="6"/>
  <c r="R287" i="6" s="1"/>
  <c r="Q288" i="6"/>
  <c r="R288" i="6" s="1"/>
  <c r="Q289" i="6"/>
  <c r="R289" i="6" s="1"/>
  <c r="Q290" i="6"/>
  <c r="R290" i="6" s="1"/>
  <c r="Q291" i="6"/>
  <c r="R291" i="6" s="1"/>
  <c r="Q292" i="6"/>
  <c r="R292" i="6" s="1"/>
  <c r="Q293" i="6"/>
  <c r="R293" i="6" s="1"/>
  <c r="Q294" i="6"/>
  <c r="R294" i="6" s="1"/>
  <c r="Q295" i="6"/>
  <c r="R295" i="6" s="1"/>
  <c r="Q296" i="6"/>
  <c r="R296" i="6" s="1"/>
  <c r="Q297" i="6"/>
  <c r="R297" i="6" s="1"/>
  <c r="Q298" i="6"/>
  <c r="R298" i="6" s="1"/>
  <c r="Q299" i="6"/>
  <c r="R299" i="6" s="1"/>
  <c r="Q300" i="6"/>
  <c r="R300" i="6" s="1"/>
  <c r="Q301" i="6"/>
  <c r="R301" i="6" s="1"/>
  <c r="Q302" i="6"/>
  <c r="R302" i="6" s="1"/>
  <c r="Q303" i="6"/>
  <c r="R303" i="6" s="1"/>
  <c r="Q304" i="6"/>
  <c r="R304" i="6" s="1"/>
  <c r="Q305" i="6"/>
  <c r="R305" i="6" s="1"/>
  <c r="Q306" i="6"/>
  <c r="R306" i="6" s="1"/>
  <c r="Q307" i="6"/>
  <c r="R307" i="6" s="1"/>
  <c r="Q308" i="6"/>
  <c r="R308" i="6" s="1"/>
  <c r="Q309" i="6"/>
  <c r="R309" i="6" s="1"/>
  <c r="Q310" i="6"/>
  <c r="R310" i="6" s="1"/>
  <c r="Q311" i="6"/>
  <c r="R311" i="6" s="1"/>
  <c r="Q312" i="6"/>
  <c r="R312" i="6" s="1"/>
  <c r="Q313" i="6"/>
  <c r="R313" i="6" s="1"/>
  <c r="Q314" i="6"/>
  <c r="R314" i="6" s="1"/>
  <c r="Q315" i="6"/>
  <c r="R315" i="6" s="1"/>
  <c r="Q316" i="6"/>
  <c r="R316" i="6" s="1"/>
  <c r="Q317" i="6"/>
  <c r="R317" i="6" s="1"/>
  <c r="Q318" i="6"/>
  <c r="R318" i="6" s="1"/>
  <c r="Q319" i="6"/>
  <c r="R319" i="6" s="1"/>
  <c r="Q320" i="6"/>
  <c r="R320" i="6" s="1"/>
  <c r="Q321" i="6"/>
  <c r="R321" i="6" s="1"/>
  <c r="Q322" i="6"/>
  <c r="R322" i="6" s="1"/>
  <c r="Q323" i="6"/>
  <c r="R323" i="6" s="1"/>
  <c r="Q324" i="6"/>
  <c r="R324" i="6" s="1"/>
  <c r="Q325" i="6"/>
  <c r="R325" i="6" s="1"/>
  <c r="Q326" i="6"/>
  <c r="R326" i="6" s="1"/>
  <c r="Q327" i="6"/>
  <c r="R327" i="6" s="1"/>
  <c r="Q328" i="6"/>
  <c r="R328" i="6" s="1"/>
  <c r="Q329" i="6"/>
  <c r="R329" i="6" s="1"/>
  <c r="Q330" i="6"/>
  <c r="R330" i="6" s="1"/>
  <c r="Q331" i="6"/>
  <c r="R331" i="6" s="1"/>
  <c r="Q332" i="6"/>
  <c r="R332" i="6" s="1"/>
  <c r="Q333" i="6"/>
  <c r="R333" i="6" s="1"/>
  <c r="Q334" i="6"/>
  <c r="R334" i="6" s="1"/>
  <c r="Q335" i="6"/>
  <c r="R335" i="6" s="1"/>
  <c r="Q336" i="6"/>
  <c r="R336" i="6" s="1"/>
  <c r="Q337" i="6"/>
  <c r="R337" i="6" s="1"/>
  <c r="Q338" i="6"/>
  <c r="R338" i="6" s="1"/>
  <c r="Q339" i="6"/>
  <c r="R339" i="6" s="1"/>
  <c r="Q340" i="6"/>
  <c r="R340" i="6" s="1"/>
  <c r="Q341" i="6"/>
  <c r="R341" i="6" s="1"/>
  <c r="Q342" i="6"/>
  <c r="R342" i="6" s="1"/>
  <c r="Q343" i="6"/>
  <c r="R343" i="6" s="1"/>
  <c r="Q344" i="6"/>
  <c r="R344" i="6" s="1"/>
  <c r="Q345" i="6"/>
  <c r="R345" i="6" s="1"/>
  <c r="Q346" i="6"/>
  <c r="R346" i="6" s="1"/>
  <c r="Q347" i="6"/>
  <c r="R347" i="6" s="1"/>
  <c r="Q348" i="6"/>
  <c r="R348" i="6" s="1"/>
  <c r="Q349" i="6"/>
  <c r="R349" i="6" s="1"/>
  <c r="Q350" i="6"/>
  <c r="R350" i="6" s="1"/>
  <c r="Q351" i="6"/>
  <c r="R351" i="6" s="1"/>
  <c r="Q352" i="6"/>
  <c r="R352" i="6" s="1"/>
  <c r="Q353" i="6"/>
  <c r="R353" i="6" s="1"/>
  <c r="Q354" i="6"/>
  <c r="R354" i="6" s="1"/>
  <c r="Q355" i="6"/>
  <c r="R355" i="6" s="1"/>
  <c r="Q356" i="6"/>
  <c r="R356" i="6" s="1"/>
  <c r="Q357" i="6"/>
  <c r="R357" i="6" s="1"/>
  <c r="Q358" i="6"/>
  <c r="R358" i="6" s="1"/>
  <c r="Q359" i="6"/>
  <c r="R359" i="6" s="1"/>
  <c r="Q360" i="6"/>
  <c r="R360" i="6" s="1"/>
  <c r="Q361" i="6"/>
  <c r="R361" i="6" s="1"/>
  <c r="Q362" i="6"/>
  <c r="R362" i="6" s="1"/>
  <c r="Q363" i="6"/>
  <c r="R363" i="6" s="1"/>
  <c r="Q364" i="6"/>
  <c r="R364" i="6" s="1"/>
  <c r="Q365" i="6"/>
  <c r="R365" i="6" s="1"/>
  <c r="Q366" i="6"/>
  <c r="R366" i="6" s="1"/>
  <c r="Q367" i="6"/>
  <c r="R367" i="6" s="1"/>
  <c r="Q368" i="6"/>
  <c r="R368" i="6" s="1"/>
  <c r="Q369" i="6"/>
  <c r="R369" i="6" s="1"/>
  <c r="Q370" i="6"/>
  <c r="R370" i="6" s="1"/>
  <c r="Q371" i="6"/>
  <c r="R371" i="6" s="1"/>
  <c r="Q372" i="6"/>
  <c r="R372" i="6" s="1"/>
  <c r="Q373" i="6"/>
  <c r="R373" i="6" s="1"/>
  <c r="Q374" i="6"/>
  <c r="R374" i="6" s="1"/>
  <c r="Q375" i="6"/>
  <c r="R375" i="6" s="1"/>
  <c r="Q376" i="6"/>
  <c r="R376" i="6" s="1"/>
  <c r="Q377" i="6"/>
  <c r="R377" i="6" s="1"/>
  <c r="Q378" i="6"/>
  <c r="R378" i="6" s="1"/>
  <c r="Q379" i="6"/>
  <c r="R379" i="6" s="1"/>
  <c r="Q380" i="6"/>
  <c r="R380" i="6" s="1"/>
  <c r="Q381" i="6"/>
  <c r="R381" i="6" s="1"/>
  <c r="Q382" i="6"/>
  <c r="R382" i="6" s="1"/>
  <c r="Q383" i="6"/>
  <c r="R383" i="6" s="1"/>
  <c r="Q384" i="6"/>
  <c r="R384" i="6" s="1"/>
  <c r="Q385" i="6"/>
  <c r="R385" i="6" s="1"/>
  <c r="Q386" i="6"/>
  <c r="R386" i="6" s="1"/>
  <c r="Q387" i="6"/>
  <c r="R387" i="6" s="1"/>
  <c r="Q388" i="6"/>
  <c r="R388" i="6" s="1"/>
  <c r="Q389" i="6"/>
  <c r="R389" i="6" s="1"/>
  <c r="Q390" i="6"/>
  <c r="R390" i="6" s="1"/>
  <c r="Q391" i="6"/>
  <c r="R391" i="6" s="1"/>
  <c r="Q392" i="6"/>
  <c r="R392" i="6" s="1"/>
  <c r="Q393" i="6"/>
  <c r="R393" i="6" s="1"/>
  <c r="Q394" i="6"/>
  <c r="R394" i="6" s="1"/>
  <c r="Q395" i="6"/>
  <c r="R395" i="6" s="1"/>
  <c r="Q396" i="6"/>
  <c r="R396" i="6" s="1"/>
  <c r="Q397" i="6"/>
  <c r="R397" i="6" s="1"/>
  <c r="Q398" i="6"/>
  <c r="R398" i="6" s="1"/>
  <c r="Q399" i="6"/>
  <c r="R399" i="6" s="1"/>
  <c r="Q400" i="6"/>
  <c r="R400" i="6" s="1"/>
  <c r="Q401" i="6"/>
  <c r="R401" i="6" s="1"/>
  <c r="Q402" i="6"/>
  <c r="R402" i="6" s="1"/>
  <c r="Q403" i="6"/>
  <c r="R403" i="6" s="1"/>
  <c r="Q404" i="6"/>
  <c r="R404" i="6" s="1"/>
  <c r="Q405" i="6"/>
  <c r="R405" i="6" s="1"/>
  <c r="Q406" i="6"/>
  <c r="R406" i="6" s="1"/>
  <c r="Q407" i="6"/>
  <c r="R407" i="6" s="1"/>
  <c r="Q408" i="6"/>
  <c r="R408" i="6" s="1"/>
  <c r="Q409" i="6"/>
  <c r="R409" i="6" s="1"/>
  <c r="Q410" i="6"/>
  <c r="R410" i="6" s="1"/>
  <c r="Q411" i="6"/>
  <c r="R411" i="6" s="1"/>
  <c r="Q412" i="6"/>
  <c r="R412" i="6" s="1"/>
  <c r="Q413" i="6"/>
  <c r="R413" i="6" s="1"/>
  <c r="Q414" i="6"/>
  <c r="R414" i="6" s="1"/>
  <c r="Q415" i="6"/>
  <c r="R415" i="6" s="1"/>
  <c r="Q416" i="6"/>
  <c r="R416" i="6" s="1"/>
  <c r="Q417" i="6"/>
  <c r="R417" i="6" s="1"/>
  <c r="Q418" i="6"/>
  <c r="R418" i="6" s="1"/>
  <c r="Q419" i="6"/>
  <c r="R419" i="6" s="1"/>
  <c r="Q420" i="6"/>
  <c r="R420" i="6" s="1"/>
  <c r="Q421" i="6"/>
  <c r="R421" i="6" s="1"/>
  <c r="Q422" i="6"/>
  <c r="R422" i="6" s="1"/>
  <c r="Q423" i="6"/>
  <c r="R423" i="6" s="1"/>
  <c r="Q424" i="6"/>
  <c r="R424" i="6" s="1"/>
  <c r="Q425" i="6"/>
  <c r="R425" i="6" s="1"/>
  <c r="Q426" i="6"/>
  <c r="R426" i="6" s="1"/>
  <c r="Q427" i="6"/>
  <c r="R427" i="6" s="1"/>
  <c r="Q428" i="6"/>
  <c r="R428" i="6" s="1"/>
  <c r="Q429" i="6"/>
  <c r="R429" i="6" s="1"/>
  <c r="Q430" i="6"/>
  <c r="R430" i="6" s="1"/>
  <c r="Q431" i="6"/>
  <c r="R431" i="6" s="1"/>
  <c r="Q432" i="6"/>
  <c r="R432" i="6" s="1"/>
  <c r="Q433" i="6"/>
  <c r="R433" i="6" s="1"/>
  <c r="Q434" i="6"/>
  <c r="R434" i="6" s="1"/>
  <c r="Q435" i="6"/>
  <c r="R435" i="6" s="1"/>
  <c r="Q436" i="6"/>
  <c r="R436" i="6" s="1"/>
  <c r="Q437" i="6"/>
  <c r="R437" i="6" s="1"/>
  <c r="Q438" i="6"/>
  <c r="R438" i="6" s="1"/>
  <c r="Q439" i="6"/>
  <c r="R439" i="6" s="1"/>
  <c r="Q440" i="6"/>
  <c r="R440" i="6" s="1"/>
  <c r="Q441" i="6"/>
  <c r="R441" i="6" s="1"/>
  <c r="Q442" i="6"/>
  <c r="R442" i="6" s="1"/>
  <c r="Q443" i="6"/>
  <c r="R443" i="6" s="1"/>
  <c r="Q444" i="6"/>
  <c r="R444" i="6" s="1"/>
  <c r="Q445" i="6"/>
  <c r="R445" i="6" s="1"/>
  <c r="Q446" i="6"/>
  <c r="R446" i="6" s="1"/>
  <c r="Q447" i="6"/>
  <c r="R447" i="6" s="1"/>
  <c r="Q448" i="6"/>
  <c r="R448" i="6" s="1"/>
  <c r="Q449" i="6"/>
  <c r="R449" i="6" s="1"/>
  <c r="Q450" i="6"/>
  <c r="R450" i="6" s="1"/>
  <c r="Q451" i="6"/>
  <c r="R451" i="6" s="1"/>
  <c r="Q452" i="6"/>
  <c r="R452" i="6" s="1"/>
  <c r="Q453" i="6"/>
  <c r="R453" i="6" s="1"/>
  <c r="Q454" i="6"/>
  <c r="R454" i="6" s="1"/>
  <c r="Q455" i="6"/>
  <c r="R455" i="6" s="1"/>
  <c r="Q456" i="6"/>
  <c r="R456" i="6" s="1"/>
  <c r="Q457" i="6"/>
  <c r="R457" i="6" s="1"/>
  <c r="Q458" i="6"/>
  <c r="R458" i="6" s="1"/>
  <c r="Q459" i="6"/>
  <c r="R459" i="6" s="1"/>
  <c r="Q460" i="6"/>
  <c r="R460" i="6" s="1"/>
  <c r="Q461" i="6"/>
  <c r="R461" i="6" s="1"/>
  <c r="Q462" i="6"/>
  <c r="R462" i="6" s="1"/>
  <c r="Q463" i="6"/>
  <c r="R463" i="6" s="1"/>
  <c r="Q464" i="6"/>
  <c r="R464" i="6" s="1"/>
  <c r="Q465" i="6"/>
  <c r="R465" i="6" s="1"/>
  <c r="Q466" i="6"/>
  <c r="R466" i="6" s="1"/>
  <c r="Q467" i="6"/>
  <c r="R467" i="6" s="1"/>
  <c r="Q468" i="6"/>
  <c r="R468" i="6" s="1"/>
  <c r="Q469" i="6"/>
  <c r="R469" i="6" s="1"/>
  <c r="Q470" i="6"/>
  <c r="R470" i="6" s="1"/>
  <c r="Q471" i="6"/>
  <c r="R471" i="6" s="1"/>
  <c r="Q472" i="6"/>
  <c r="R472" i="6" s="1"/>
  <c r="Q473" i="6"/>
  <c r="R473" i="6" s="1"/>
  <c r="Q474" i="6"/>
  <c r="R474" i="6" s="1"/>
  <c r="Q475" i="6"/>
  <c r="R475" i="6" s="1"/>
  <c r="Q476" i="6"/>
  <c r="R476" i="6" s="1"/>
  <c r="Q477" i="6"/>
  <c r="R477" i="6" s="1"/>
  <c r="Q478" i="6"/>
  <c r="R478" i="6" s="1"/>
  <c r="Q479" i="6"/>
  <c r="R479" i="6" s="1"/>
  <c r="Q480" i="6"/>
  <c r="R480" i="6" s="1"/>
  <c r="Q481" i="6"/>
  <c r="R481" i="6" s="1"/>
  <c r="Q482" i="6"/>
  <c r="R482" i="6" s="1"/>
  <c r="Q483" i="6"/>
  <c r="R483" i="6" s="1"/>
  <c r="Q484" i="6"/>
  <c r="R484" i="6" s="1"/>
  <c r="Q485" i="6"/>
  <c r="R485" i="6" s="1"/>
  <c r="Q486" i="6"/>
  <c r="R486" i="6" s="1"/>
  <c r="Q487" i="6"/>
  <c r="R487" i="6" s="1"/>
  <c r="Q488" i="6"/>
  <c r="R488" i="6" s="1"/>
  <c r="Q489" i="6"/>
  <c r="R489" i="6" s="1"/>
  <c r="Q490" i="6"/>
  <c r="R490" i="6" s="1"/>
  <c r="Q491" i="6"/>
  <c r="R491" i="6" s="1"/>
  <c r="Q492" i="6"/>
  <c r="R492" i="6" s="1"/>
  <c r="Q493" i="6"/>
  <c r="R493" i="6" s="1"/>
  <c r="Q494" i="6"/>
  <c r="R494" i="6" s="1"/>
  <c r="Q495" i="6"/>
  <c r="R495" i="6" s="1"/>
  <c r="Q496" i="6"/>
  <c r="R496" i="6" s="1"/>
  <c r="Q497" i="6"/>
  <c r="R497" i="6" s="1"/>
  <c r="Q498" i="6"/>
  <c r="R498" i="6" s="1"/>
  <c r="Q499" i="6"/>
  <c r="R499" i="6" s="1"/>
  <c r="Q500" i="6"/>
  <c r="R500" i="6" s="1"/>
  <c r="Q501" i="6"/>
  <c r="R501" i="6" s="1"/>
  <c r="Q502" i="6"/>
  <c r="R502" i="6" s="1"/>
  <c r="Q503" i="6"/>
  <c r="R503" i="6" s="1"/>
  <c r="Q504" i="6"/>
  <c r="R504" i="6" s="1"/>
  <c r="Q505" i="6"/>
  <c r="R505" i="6" s="1"/>
  <c r="Q506" i="6"/>
  <c r="R506" i="6" s="1"/>
  <c r="Q2" i="6"/>
  <c r="R2" i="6" s="1"/>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C2" i="8"/>
  <c r="E2" i="8"/>
  <c r="A2" i="8"/>
  <c r="C3" i="8" l="1"/>
  <c r="E3" i="8"/>
  <c r="A3" i="8"/>
  <c r="S3" i="6"/>
  <c r="S2" i="6"/>
</calcChain>
</file>

<file path=xl/sharedStrings.xml><?xml version="1.0" encoding="utf-8"?>
<sst xmlns="http://schemas.openxmlformats.org/spreadsheetml/2006/main" count="10324" uniqueCount="1718">
  <si>
    <t>Admission_ID</t>
  </si>
  <si>
    <t>Patient_ID</t>
  </si>
  <si>
    <t>Admission_Date</t>
  </si>
  <si>
    <t>Discharge_Date</t>
  </si>
  <si>
    <t>Department</t>
  </si>
  <si>
    <t>Diagnosis</t>
  </si>
  <si>
    <t>Age</t>
  </si>
  <si>
    <t>Gender</t>
  </si>
  <si>
    <t>Attending_Doctor</t>
  </si>
  <si>
    <t>Insurance_Type</t>
  </si>
  <si>
    <t>Treatment_Cost_GBP</t>
  </si>
  <si>
    <t>Length_of_Stay_Days</t>
  </si>
  <si>
    <t>Bed_Occupied</t>
  </si>
  <si>
    <t>Follow_Up_Required</t>
  </si>
  <si>
    <t>A10500</t>
  </si>
  <si>
    <t>P1046</t>
  </si>
  <si>
    <t>22/11/2025</t>
  </si>
  <si>
    <t>2025-11-25</t>
  </si>
  <si>
    <t>Oncology</t>
  </si>
  <si>
    <t>Covid 19</t>
  </si>
  <si>
    <t>M</t>
  </si>
  <si>
    <t>Dr A Jones</t>
  </si>
  <si>
    <t>NHS</t>
  </si>
  <si>
    <t>N</t>
  </si>
  <si>
    <t>Y</t>
  </si>
  <si>
    <t>A10175</t>
  </si>
  <si>
    <t>P1326</t>
  </si>
  <si>
    <t>19 Sep 2025</t>
  </si>
  <si>
    <t>2025-09-26</t>
  </si>
  <si>
    <t>Cardiology</t>
  </si>
  <si>
    <t>MI - Heart Attack</t>
  </si>
  <si>
    <t>DR. PATEL</t>
  </si>
  <si>
    <t>Self-Pay</t>
  </si>
  <si>
    <t>No</t>
  </si>
  <si>
    <t>A10393</t>
  </si>
  <si>
    <t>P1338</t>
  </si>
  <si>
    <t>6 Jan 2025</t>
  </si>
  <si>
    <t>11 Jan 2025</t>
  </si>
  <si>
    <t>E.R.</t>
  </si>
  <si>
    <t>Asthma</t>
  </si>
  <si>
    <t>Private - BUPA</t>
  </si>
  <si>
    <t>no</t>
  </si>
  <si>
    <t>A10191</t>
  </si>
  <si>
    <t>P1329</t>
  </si>
  <si>
    <t>2025-03-01</t>
  </si>
  <si>
    <t>12/03/2025</t>
  </si>
  <si>
    <t>Gen Medicine</t>
  </si>
  <si>
    <t>Diab Type II</t>
  </si>
  <si>
    <t>Other</t>
  </si>
  <si>
    <t>Dr. A. Jones</t>
  </si>
  <si>
    <t>SELF-PAY</t>
  </si>
  <si>
    <t>yes</t>
  </si>
  <si>
    <t>Yes</t>
  </si>
  <si>
    <t>A10338</t>
  </si>
  <si>
    <t>P1166</t>
  </si>
  <si>
    <t>2025-03-28</t>
  </si>
  <si>
    <t>2025-04-13</t>
  </si>
  <si>
    <t>oncology</t>
  </si>
  <si>
    <t>male</t>
  </si>
  <si>
    <t>smith</t>
  </si>
  <si>
    <t>A10026</t>
  </si>
  <si>
    <t>P1341</t>
  </si>
  <si>
    <t>2025-05-13</t>
  </si>
  <si>
    <t>2025-05-16</t>
  </si>
  <si>
    <t>CARDIO</t>
  </si>
  <si>
    <t>Dr. Smith</t>
  </si>
  <si>
    <t>A10392</t>
  </si>
  <si>
    <t>P1156</t>
  </si>
  <si>
    <t>ORTHOPAEDICS</t>
  </si>
  <si>
    <t>fracture femur</t>
  </si>
  <si>
    <t>female</t>
  </si>
  <si>
    <t>bupa private</t>
  </si>
  <si>
    <t>1223 GBP</t>
  </si>
  <si>
    <t>A10133</t>
  </si>
  <si>
    <t>P1228</t>
  </si>
  <si>
    <t>2025-07-28</t>
  </si>
  <si>
    <t>01/08/2025</t>
  </si>
  <si>
    <t>Myocardial Infarction</t>
  </si>
  <si>
    <t>A10051</t>
  </si>
  <si>
    <t>P1385</t>
  </si>
  <si>
    <t>27 Mar 2025</t>
  </si>
  <si>
    <t>12/04/2025</t>
  </si>
  <si>
    <t>ONCOLOGY</t>
  </si>
  <si>
    <t>COVID-19</t>
  </si>
  <si>
    <t>Male</t>
  </si>
  <si>
    <t>A10037</t>
  </si>
  <si>
    <t>P1245</t>
  </si>
  <si>
    <t>31/03/2025</t>
  </si>
  <si>
    <t>2025-04-03</t>
  </si>
  <si>
    <t>nhs</t>
  </si>
  <si>
    <t>3514 GBP</t>
  </si>
  <si>
    <t>A10327</t>
  </si>
  <si>
    <t>P1038</t>
  </si>
  <si>
    <t>2025-09-20</t>
  </si>
  <si>
    <t>2025-09-30</t>
  </si>
  <si>
    <t>Paeds</t>
  </si>
  <si>
    <t>Hypertension</t>
  </si>
  <si>
    <t>8 years</t>
  </si>
  <si>
    <t>A10293</t>
  </si>
  <si>
    <t>P1349</t>
  </si>
  <si>
    <t>12 Oct 2025</t>
  </si>
  <si>
    <t>1 Nov 2025</t>
  </si>
  <si>
    <t>heart attack</t>
  </si>
  <si>
    <t>56 years</t>
  </si>
  <si>
    <t>Female</t>
  </si>
  <si>
    <t>A10069</t>
  </si>
  <si>
    <t>P1174</t>
  </si>
  <si>
    <t>2025-05-05</t>
  </si>
  <si>
    <t>general medicine</t>
  </si>
  <si>
    <t>Type 2 Diabetes</t>
  </si>
  <si>
    <t>Dr Patel</t>
  </si>
  <si>
    <t>A10443</t>
  </si>
  <si>
    <t>P1159</t>
  </si>
  <si>
    <t>04/08/2025</t>
  </si>
  <si>
    <t>HYPERTENSION</t>
  </si>
  <si>
    <t>Dr Smith</t>
  </si>
  <si>
    <t>A10066</t>
  </si>
  <si>
    <t>P1185</t>
  </si>
  <si>
    <t>04/01/2025</t>
  </si>
  <si>
    <t>2025-01-13</t>
  </si>
  <si>
    <t>Emergency</t>
  </si>
  <si>
    <t>A10405</t>
  </si>
  <si>
    <t>P1279</t>
  </si>
  <si>
    <t>28/05/2025</t>
  </si>
  <si>
    <t>14 Jun 2025</t>
  </si>
  <si>
    <t>Orthopaedics</t>
  </si>
  <si>
    <t>Fracture - Femur</t>
  </si>
  <si>
    <t>Dr. Patel</t>
  </si>
  <si>
    <t>A10179</t>
  </si>
  <si>
    <t>P1078</t>
  </si>
  <si>
    <t>29/09/2025</t>
  </si>
  <si>
    <t>16/10/2025</t>
  </si>
  <si>
    <t>covid</t>
  </si>
  <si>
    <t>A10295</t>
  </si>
  <si>
    <t>P1215</t>
  </si>
  <si>
    <t>10/02/2025</t>
  </si>
  <si>
    <t>2025-02-12</t>
  </si>
  <si>
    <t>cardiology</t>
  </si>
  <si>
    <t>A10006</t>
  </si>
  <si>
    <t>P1283</t>
  </si>
  <si>
    <t>3 Aug 2025</t>
  </si>
  <si>
    <t>16/08/2025</t>
  </si>
  <si>
    <t>emergency</t>
  </si>
  <si>
    <t>ASTHMA</t>
  </si>
  <si>
    <t>F</t>
  </si>
  <si>
    <t>A10265</t>
  </si>
  <si>
    <t>P1200</t>
  </si>
  <si>
    <t>5 Feb 2025</t>
  </si>
  <si>
    <t>23 Feb 2025</t>
  </si>
  <si>
    <t>General Medicine</t>
  </si>
  <si>
    <t>A10171</t>
  </si>
  <si>
    <t>P1110</t>
  </si>
  <si>
    <t>26/03/2025</t>
  </si>
  <si>
    <t>Dr. Lee</t>
  </si>
  <si>
    <t>£12,139</t>
  </si>
  <si>
    <t>A10308</t>
  </si>
  <si>
    <t>P1176</t>
  </si>
  <si>
    <t>20/07/2025</t>
  </si>
  <si>
    <t>5 Aug 2025</t>
  </si>
  <si>
    <t>1 years</t>
  </si>
  <si>
    <t>A10491</t>
  </si>
  <si>
    <t>P1077</t>
  </si>
  <si>
    <t>07/07/2025</t>
  </si>
  <si>
    <t>2025-07-16</t>
  </si>
  <si>
    <t>asthma</t>
  </si>
  <si>
    <t>A10030</t>
  </si>
  <si>
    <t>P1384</t>
  </si>
  <si>
    <t>2025-05-11</t>
  </si>
  <si>
    <t>27/05/2025</t>
  </si>
  <si>
    <t>ER</t>
  </si>
  <si>
    <t>2,548</t>
  </si>
  <si>
    <t>A10128</t>
  </si>
  <si>
    <t>P1368</t>
  </si>
  <si>
    <t>03/06/2025</t>
  </si>
  <si>
    <t>20 Jun 2025</t>
  </si>
  <si>
    <t>PAEDIATRICS</t>
  </si>
  <si>
    <t>A10277</t>
  </si>
  <si>
    <t>P1062</t>
  </si>
  <si>
    <t>04/10/2025</t>
  </si>
  <si>
    <t>A10093</t>
  </si>
  <si>
    <t>P1175</t>
  </si>
  <si>
    <t>2025-07-07</t>
  </si>
  <si>
    <t>orthopaedics</t>
  </si>
  <si>
    <t>Femur Fracture</t>
  </si>
  <si>
    <t>32 years</t>
  </si>
  <si>
    <t>11,202</t>
  </si>
  <si>
    <t>YES</t>
  </si>
  <si>
    <t>A10362</t>
  </si>
  <si>
    <t>P1273</t>
  </si>
  <si>
    <t>22/07/2025</t>
  </si>
  <si>
    <t>A10095</t>
  </si>
  <si>
    <t>P1278</t>
  </si>
  <si>
    <t>2025-11-03</t>
  </si>
  <si>
    <t>5 Nov 2025</t>
  </si>
  <si>
    <t>41 years</t>
  </si>
  <si>
    <t>A10329</t>
  </si>
  <si>
    <t>P1189</t>
  </si>
  <si>
    <t>31/02/2025</t>
  </si>
  <si>
    <t>2025-07-21</t>
  </si>
  <si>
    <t>diabetes t2</t>
  </si>
  <si>
    <t>A10321</t>
  </si>
  <si>
    <t>P1244</t>
  </si>
  <si>
    <t>2025-11-02</t>
  </si>
  <si>
    <t>2025-11-12</t>
  </si>
  <si>
    <t>10,550</t>
  </si>
  <si>
    <t>A10423</t>
  </si>
  <si>
    <t>P1039</t>
  </si>
  <si>
    <t>2025-12-05</t>
  </si>
  <si>
    <t>2025-12-23</t>
  </si>
  <si>
    <t>hypertension</t>
  </si>
  <si>
    <t>BUPA</t>
  </si>
  <si>
    <t>A10023</t>
  </si>
  <si>
    <t>P1375</t>
  </si>
  <si>
    <t>26 Sep 2025</t>
  </si>
  <si>
    <t>2025-10-15</t>
  </si>
  <si>
    <t>£11,257</t>
  </si>
  <si>
    <t>A10206</t>
  </si>
  <si>
    <t>P1029</t>
  </si>
  <si>
    <t>01/05/2025</t>
  </si>
  <si>
    <t>A10451</t>
  </si>
  <si>
    <t>P1037</t>
  </si>
  <si>
    <t>31/01/2025</t>
  </si>
  <si>
    <t>A10048</t>
  </si>
  <si>
    <t>P1114</t>
  </si>
  <si>
    <t>06/04/2025</t>
  </si>
  <si>
    <t>A10073</t>
  </si>
  <si>
    <t>P1316</t>
  </si>
  <si>
    <t>2025-10-10</t>
  </si>
  <si>
    <t>23/10/2025</t>
  </si>
  <si>
    <t>60 years</t>
  </si>
  <si>
    <t>self pay</t>
  </si>
  <si>
    <t>A10130</t>
  </si>
  <si>
    <t>P1292</t>
  </si>
  <si>
    <t>2025-08-26</t>
  </si>
  <si>
    <t>04/09/2025</t>
  </si>
  <si>
    <t>34 years</t>
  </si>
  <si>
    <t>11831 GBP</t>
  </si>
  <si>
    <t>A10117</t>
  </si>
  <si>
    <t>P1144</t>
  </si>
  <si>
    <t>30 Oct 2025</t>
  </si>
  <si>
    <t>61 years</t>
  </si>
  <si>
    <t>7529 GBP</t>
  </si>
  <si>
    <t>A10054</t>
  </si>
  <si>
    <t>P1056</t>
  </si>
  <si>
    <t>28 Apr 2025</t>
  </si>
  <si>
    <t>2025-05-07</t>
  </si>
  <si>
    <t>A10460</t>
  </si>
  <si>
    <t>P1081</t>
  </si>
  <si>
    <t>10/11/2025</t>
  </si>
  <si>
    <t>Paediatrics</t>
  </si>
  <si>
    <t>A10195</t>
  </si>
  <si>
    <t>20/10/2025</t>
  </si>
  <si>
    <t>24 Oct 2025</t>
  </si>
  <si>
    <t>A10314</t>
  </si>
  <si>
    <t>P1168</t>
  </si>
  <si>
    <t>25 May 2025</t>
  </si>
  <si>
    <t>6 Jun 2025</t>
  </si>
  <si>
    <t>A10146</t>
  </si>
  <si>
    <t>P1054</t>
  </si>
  <si>
    <t>2025-09-03</t>
  </si>
  <si>
    <t>22 Sep 2025</t>
  </si>
  <si>
    <t>£14,398</t>
  </si>
  <si>
    <t>A10041</t>
  </si>
  <si>
    <t>14/11/2025</t>
  </si>
  <si>
    <t>2 Dec 2025</t>
  </si>
  <si>
    <t>A10326</t>
  </si>
  <si>
    <t>P1142</t>
  </si>
  <si>
    <t>2025-01-09</t>
  </si>
  <si>
    <t>2025-01-26</t>
  </si>
  <si>
    <t>52 years</t>
  </si>
  <si>
    <t>N/A</t>
  </si>
  <si>
    <t>A10239</t>
  </si>
  <si>
    <t>P1035</t>
  </si>
  <si>
    <t>2025-09-05</t>
  </si>
  <si>
    <t>A10106</t>
  </si>
  <si>
    <t>P1263</t>
  </si>
  <si>
    <t>13/06/2025</t>
  </si>
  <si>
    <t>01/07/2025</t>
  </si>
  <si>
    <t>A10102</t>
  </si>
  <si>
    <t>P1089</t>
  </si>
  <si>
    <t>8 Aug 2025</t>
  </si>
  <si>
    <t>27/08/2025</t>
  </si>
  <si>
    <t>A10387</t>
  </si>
  <si>
    <t>P1171</t>
  </si>
  <si>
    <t>20/02/2025</t>
  </si>
  <si>
    <t>2025-02-28</t>
  </si>
  <si>
    <t>15 years</t>
  </si>
  <si>
    <t>895</t>
  </si>
  <si>
    <t>A10494</t>
  </si>
  <si>
    <t>P1153</t>
  </si>
  <si>
    <t>20/08/2025</t>
  </si>
  <si>
    <t>A10036</t>
  </si>
  <si>
    <t>P1170</t>
  </si>
  <si>
    <t>15/10/2025</t>
  </si>
  <si>
    <t>01/11/2025</t>
  </si>
  <si>
    <t>A10008</t>
  </si>
  <si>
    <t>07/03/2025</t>
  </si>
  <si>
    <t>16/03/2025</t>
  </si>
  <si>
    <t>A10199</t>
  </si>
  <si>
    <t>P1177</t>
  </si>
  <si>
    <t>2025-07-22</t>
  </si>
  <si>
    <t>7 Aug 2025</t>
  </si>
  <si>
    <t>2261 GBP</t>
  </si>
  <si>
    <t>?</t>
  </si>
  <si>
    <t>A10264</t>
  </si>
  <si>
    <t>2025-11-24</t>
  </si>
  <si>
    <t>07/12/2025</t>
  </si>
  <si>
    <t>42 years</t>
  </si>
  <si>
    <t>£5,289</t>
  </si>
  <si>
    <t>A10086</t>
  </si>
  <si>
    <t>P1131</t>
  </si>
  <si>
    <t>07/02/2025</t>
  </si>
  <si>
    <t>A10357</t>
  </si>
  <si>
    <t>P1112</t>
  </si>
  <si>
    <t>2025-08-21</t>
  </si>
  <si>
    <t>31/08/2025</t>
  </si>
  <si>
    <t>92 years</t>
  </si>
  <si>
    <t>£7,995</t>
  </si>
  <si>
    <t>A10252</t>
  </si>
  <si>
    <t>P1271</t>
  </si>
  <si>
    <t>4 Aug 2025</t>
  </si>
  <si>
    <t>2025-08-10</t>
  </si>
  <si>
    <t>A10350</t>
  </si>
  <si>
    <t>P1377</t>
  </si>
  <si>
    <t>2025-02-22</t>
  </si>
  <si>
    <t>2025-02-27</t>
  </si>
  <si>
    <t>A10020</t>
  </si>
  <si>
    <t>P1335</t>
  </si>
  <si>
    <t>01/04/2025</t>
  </si>
  <si>
    <t>3 Apr 2025</t>
  </si>
  <si>
    <t>unknown</t>
  </si>
  <si>
    <t>1,968</t>
  </si>
  <si>
    <t>A10017</t>
  </si>
  <si>
    <t>P1262</t>
  </si>
  <si>
    <t>02/11/2025</t>
  </si>
  <si>
    <t>2025-11-07</t>
  </si>
  <si>
    <t>A10259</t>
  </si>
  <si>
    <t>P1188</t>
  </si>
  <si>
    <t>2025-06-10</t>
  </si>
  <si>
    <t>11 Jun 2025</t>
  </si>
  <si>
    <t>£3,466</t>
  </si>
  <si>
    <t>A10414</t>
  </si>
  <si>
    <t>P1221</t>
  </si>
  <si>
    <t>5 Jan 2025</t>
  </si>
  <si>
    <t>13618 GBP</t>
  </si>
  <si>
    <t>A10484</t>
  </si>
  <si>
    <t>P1086</t>
  </si>
  <si>
    <t>2025-01-23</t>
  </si>
  <si>
    <t>A10390</t>
  </si>
  <si>
    <t>2025-11-16</t>
  </si>
  <si>
    <t>5 Dec 2025</t>
  </si>
  <si>
    <t>83 years</t>
  </si>
  <si>
    <t>£2,935</t>
  </si>
  <si>
    <t>A10391</t>
  </si>
  <si>
    <t>P1130</t>
  </si>
  <si>
    <t>1 Jun 2025</t>
  </si>
  <si>
    <t>21/06/2025</t>
  </si>
  <si>
    <t>Ortho</t>
  </si>
  <si>
    <t>TBC</t>
  </si>
  <si>
    <t>A10228</t>
  </si>
  <si>
    <t>P1360</t>
  </si>
  <si>
    <t>2025-10-01</t>
  </si>
  <si>
    <t>19 Oct 2025</t>
  </si>
  <si>
    <t>A10011</t>
  </si>
  <si>
    <t>P1122</t>
  </si>
  <si>
    <t>13 Jul 2025</t>
  </si>
  <si>
    <t>29/07/2025</t>
  </si>
  <si>
    <t>A10230</t>
  </si>
  <si>
    <t>P1197</t>
  </si>
  <si>
    <t>2025-03-17</t>
  </si>
  <si>
    <t>A10099</t>
  </si>
  <si>
    <t>P1107</t>
  </si>
  <si>
    <t>2025-08-18</t>
  </si>
  <si>
    <t>29 Aug 2025</t>
  </si>
  <si>
    <t>6,799</t>
  </si>
  <si>
    <t>A10131</t>
  </si>
  <si>
    <t>P1157</t>
  </si>
  <si>
    <t>A10203</t>
  </si>
  <si>
    <t>P1013</t>
  </si>
  <si>
    <t>12 Dec 2025</t>
  </si>
  <si>
    <t>A10091</t>
  </si>
  <si>
    <t>P1306</t>
  </si>
  <si>
    <t>15 Mar 2025</t>
  </si>
  <si>
    <t>11892 GBP</t>
  </si>
  <si>
    <t>A10267</t>
  </si>
  <si>
    <t>P1173</t>
  </si>
  <si>
    <t>1 Feb 2025</t>
  </si>
  <si>
    <t>13/02/2025</t>
  </si>
  <si>
    <t>A10057</t>
  </si>
  <si>
    <t>21 Feb 2025</t>
  </si>
  <si>
    <t>01/03/2025</t>
  </si>
  <si>
    <t>A10047</t>
  </si>
  <si>
    <t>P1269</t>
  </si>
  <si>
    <t>06/06/2025</t>
  </si>
  <si>
    <t>A10270</t>
  </si>
  <si>
    <t>2025-01-03</t>
  </si>
  <si>
    <t>19/01/2025</t>
  </si>
  <si>
    <t>A10083</t>
  </si>
  <si>
    <t>04/07/2025</t>
  </si>
  <si>
    <t>65 years</t>
  </si>
  <si>
    <t>A10342</t>
  </si>
  <si>
    <t>2025-05-21</t>
  </si>
  <si>
    <t>2025-05-22</t>
  </si>
  <si>
    <t>1 days</t>
  </si>
  <si>
    <t>A10354</t>
  </si>
  <si>
    <t>P1225</t>
  </si>
  <si>
    <t>2025-09-28</t>
  </si>
  <si>
    <t>16 Oct 2025</t>
  </si>
  <si>
    <t>A10337</t>
  </si>
  <si>
    <t>P1147</t>
  </si>
  <si>
    <t>18/03/2025</t>
  </si>
  <si>
    <t>14,115</t>
  </si>
  <si>
    <t>A10301</t>
  </si>
  <si>
    <t>P1206</t>
  </si>
  <si>
    <t>2025-04-26</t>
  </si>
  <si>
    <t>paediatrics</t>
  </si>
  <si>
    <t>£6,816</t>
  </si>
  <si>
    <t>A10096</t>
  </si>
  <si>
    <t>P1140</t>
  </si>
  <si>
    <t>21 Jun 2025</t>
  </si>
  <si>
    <t>4 Jul 2025</t>
  </si>
  <si>
    <t>A10339</t>
  </si>
  <si>
    <t>P1376</t>
  </si>
  <si>
    <t>29 Apr 2025</t>
  </si>
  <si>
    <t>18 May 2025</t>
  </si>
  <si>
    <t>18 years</t>
  </si>
  <si>
    <t>A10229</t>
  </si>
  <si>
    <t>P1079</t>
  </si>
  <si>
    <t>2025-03-07</t>
  </si>
  <si>
    <t>14/03/2025</t>
  </si>
  <si>
    <t>A10141</t>
  </si>
  <si>
    <t>P1210</t>
  </si>
  <si>
    <t>06/08/2025</t>
  </si>
  <si>
    <t>20 Aug 2025</t>
  </si>
  <si>
    <t>A10340</t>
  </si>
  <si>
    <t>P1151</t>
  </si>
  <si>
    <t>2025-03-10</t>
  </si>
  <si>
    <t>A10296</t>
  </si>
  <si>
    <t>P1104</t>
  </si>
  <si>
    <t>14 May 2025</t>
  </si>
  <si>
    <t>2025-06-01</t>
  </si>
  <si>
    <t>A10160</t>
  </si>
  <si>
    <t>P1340</t>
  </si>
  <si>
    <t>13 Dec 2025</t>
  </si>
  <si>
    <t>£9,854</t>
  </si>
  <si>
    <t>A10411</t>
  </si>
  <si>
    <t>P1136</t>
  </si>
  <si>
    <t>08/12/2025</t>
  </si>
  <si>
    <t>A10111</t>
  </si>
  <si>
    <t>03/07/2025</t>
  </si>
  <si>
    <t>17 Jul 2025</t>
  </si>
  <si>
    <t>3657 GBP</t>
  </si>
  <si>
    <t>A10312</t>
  </si>
  <si>
    <t>P1291</t>
  </si>
  <si>
    <t>19/03/2025</t>
  </si>
  <si>
    <t>28/03/2025</t>
  </si>
  <si>
    <t>20 years</t>
  </si>
  <si>
    <t>A10076</t>
  </si>
  <si>
    <t>P1267</t>
  </si>
  <si>
    <t>2025-10-29</t>
  </si>
  <si>
    <t>16 Nov 2025</t>
  </si>
  <si>
    <t>79 years</t>
  </si>
  <si>
    <t>A10173</t>
  </si>
  <si>
    <t>P1016</t>
  </si>
  <si>
    <t>28/01/2025</t>
  </si>
  <si>
    <t>12/02/2025</t>
  </si>
  <si>
    <t>A10124</t>
  </si>
  <si>
    <t>2025-08-04</t>
  </si>
  <si>
    <t>A10168</t>
  </si>
  <si>
    <t>P1381</t>
  </si>
  <si>
    <t>15 Jul 2025</t>
  </si>
  <si>
    <t>16 Jul 2025</t>
  </si>
  <si>
    <t>A10446</t>
  </si>
  <si>
    <t>P1204</t>
  </si>
  <si>
    <t>12 Jan 2025</t>
  </si>
  <si>
    <t>23/01/2025</t>
  </si>
  <si>
    <t>21 years</t>
  </si>
  <si>
    <t>A10335</t>
  </si>
  <si>
    <t>04/03/2025</t>
  </si>
  <si>
    <t>£12,064</t>
  </si>
  <si>
    <t>A10429</t>
  </si>
  <si>
    <t>P1160</t>
  </si>
  <si>
    <t>26/09/2025</t>
  </si>
  <si>
    <t>2025-10-02</t>
  </si>
  <si>
    <t>54 years</t>
  </si>
  <si>
    <t>A10235</t>
  </si>
  <si>
    <t>P1260</t>
  </si>
  <si>
    <t>22/01/2025</t>
  </si>
  <si>
    <t>23 Jan 2025</t>
  </si>
  <si>
    <t>A10297</t>
  </si>
  <si>
    <t>P1024</t>
  </si>
  <si>
    <t>2025-11-09</t>
  </si>
  <si>
    <t>2024-12-01</t>
  </si>
  <si>
    <t>A10472</t>
  </si>
  <si>
    <t>P1059</t>
  </si>
  <si>
    <t>6 Apr 2025</t>
  </si>
  <si>
    <t>A10209</t>
  </si>
  <si>
    <t>31/07/2025</t>
  </si>
  <si>
    <t>A10062</t>
  </si>
  <si>
    <t>2025-10-13</t>
  </si>
  <si>
    <t>15 Oct 2025</t>
  </si>
  <si>
    <t>A10031</t>
  </si>
  <si>
    <t>P1346</t>
  </si>
  <si>
    <t>15/06/2025</t>
  </si>
  <si>
    <t>22/06/2025</t>
  </si>
  <si>
    <t>£10,765</t>
  </si>
  <si>
    <t>A10379</t>
  </si>
  <si>
    <t>P1363</t>
  </si>
  <si>
    <t>2025-02-01</t>
  </si>
  <si>
    <t>10 Feb 2025</t>
  </si>
  <si>
    <t>£9,188</t>
  </si>
  <si>
    <t>A10322</t>
  </si>
  <si>
    <t>P1289</t>
  </si>
  <si>
    <t>2025-11-10</t>
  </si>
  <si>
    <t>28 Nov 2025</t>
  </si>
  <si>
    <t>A10447</t>
  </si>
  <si>
    <t>P1364</t>
  </si>
  <si>
    <t>9 Sep 2025</t>
  </si>
  <si>
    <t>A10034</t>
  </si>
  <si>
    <t>P1354</t>
  </si>
  <si>
    <t>2025-09-04</t>
  </si>
  <si>
    <t>2025-09-18</t>
  </si>
  <si>
    <t>£3,342</t>
  </si>
  <si>
    <t>A10320</t>
  </si>
  <si>
    <t>09/04/2025</t>
  </si>
  <si>
    <t>A10416</t>
  </si>
  <si>
    <t>P1352</t>
  </si>
  <si>
    <t>15/11/2025</t>
  </si>
  <si>
    <t>1 Dec 2025</t>
  </si>
  <si>
    <t>A10492</t>
  </si>
  <si>
    <t>P1287</t>
  </si>
  <si>
    <t>20 Jan 2025</t>
  </si>
  <si>
    <t>2025-02-04</t>
  </si>
  <si>
    <t>6955 GBP</t>
  </si>
  <si>
    <t>A10202</t>
  </si>
  <si>
    <t>05/04/2025</t>
  </si>
  <si>
    <t>11,604</t>
  </si>
  <si>
    <t>A10288</t>
  </si>
  <si>
    <t>P1096</t>
  </si>
  <si>
    <t>07/08/2025</t>
  </si>
  <si>
    <t>843</t>
  </si>
  <si>
    <t>A10360</t>
  </si>
  <si>
    <t>05/07/2025</t>
  </si>
  <si>
    <t>7 Jul 2025</t>
  </si>
  <si>
    <t>A10302</t>
  </si>
  <si>
    <t>P1003</t>
  </si>
  <si>
    <t>02/04/2025</t>
  </si>
  <si>
    <t>2025-04-22</t>
  </si>
  <si>
    <t>A10059</t>
  </si>
  <si>
    <t>P1057</t>
  </si>
  <si>
    <t>2025-12-16</t>
  </si>
  <si>
    <t>19/12/2025</t>
  </si>
  <si>
    <t>£3,153</t>
  </si>
  <si>
    <t>A10162</t>
  </si>
  <si>
    <t>P1248</t>
  </si>
  <si>
    <t>A10418</t>
  </si>
  <si>
    <t>P1146</t>
  </si>
  <si>
    <t>2025-11-23</t>
  </si>
  <si>
    <t>2025-12-12</t>
  </si>
  <si>
    <t>72 years</t>
  </si>
  <si>
    <t>A10356</t>
  </si>
  <si>
    <t>2025-05-20</t>
  </si>
  <si>
    <t>4 Jun 2025</t>
  </si>
  <si>
    <t>64 years</t>
  </si>
  <si>
    <t>A10158</t>
  </si>
  <si>
    <t>P1367</t>
  </si>
  <si>
    <t>18 Feb 2025</t>
  </si>
  <si>
    <t>6 Mar 2025</t>
  </si>
  <si>
    <t>A10218</t>
  </si>
  <si>
    <t>P1275</t>
  </si>
  <si>
    <t>2025-01-08</t>
  </si>
  <si>
    <t>09/01/2025</t>
  </si>
  <si>
    <t>A10156</t>
  </si>
  <si>
    <t>2025-07-27</t>
  </si>
  <si>
    <t>A10306</t>
  </si>
  <si>
    <t>P1342</t>
  </si>
  <si>
    <t>2025-02-09</t>
  </si>
  <si>
    <t>A10466</t>
  </si>
  <si>
    <t>2025-01-21</t>
  </si>
  <si>
    <t>A10167</t>
  </si>
  <si>
    <t>P1015</t>
  </si>
  <si>
    <t>17 Jun 2025</t>
  </si>
  <si>
    <t>2025-07-06</t>
  </si>
  <si>
    <t>A10028</t>
  </si>
  <si>
    <t>P1226</t>
  </si>
  <si>
    <t>21/02/2025</t>
  </si>
  <si>
    <t>2025-02-23</t>
  </si>
  <si>
    <t>A10120</t>
  </si>
  <si>
    <t>P1133</t>
  </si>
  <si>
    <t>28 Aug 2025</t>
  </si>
  <si>
    <t>10066 GBP</t>
  </si>
  <si>
    <t>A10313</t>
  </si>
  <si>
    <t>P1099</t>
  </si>
  <si>
    <t>2025-09-09</t>
  </si>
  <si>
    <t>A10289</t>
  </si>
  <si>
    <t>P1374</t>
  </si>
  <si>
    <t>2025-05-02</t>
  </si>
  <si>
    <t>2025-05-10</t>
  </si>
  <si>
    <t>3370 GBP</t>
  </si>
  <si>
    <t>A10361</t>
  </si>
  <si>
    <t>P1102</t>
  </si>
  <si>
    <t>2025-04-08</t>
  </si>
  <si>
    <t>17/04/2025</t>
  </si>
  <si>
    <t>A10078</t>
  </si>
  <si>
    <t>P1154</t>
  </si>
  <si>
    <t>19/10/2025</t>
  </si>
  <si>
    <t>03/11/2025</t>
  </si>
  <si>
    <t>25 years</t>
  </si>
  <si>
    <t>A10165</t>
  </si>
  <si>
    <t>28 Jul 2025</t>
  </si>
  <si>
    <t>4,149</t>
  </si>
  <si>
    <t>A10224</t>
  </si>
  <si>
    <t>P1286</t>
  </si>
  <si>
    <t>27 Apr 2025</t>
  </si>
  <si>
    <t>06/05/2025</t>
  </si>
  <si>
    <t>12 years</t>
  </si>
  <si>
    <t>A10261</t>
  </si>
  <si>
    <t>2025-06-02</t>
  </si>
  <si>
    <t>7 Jun 2025</t>
  </si>
  <si>
    <t>A10368</t>
  </si>
  <si>
    <t>P1237</t>
  </si>
  <si>
    <t>14/04/2025</t>
  </si>
  <si>
    <t>22 Apr 2025</t>
  </si>
  <si>
    <t>782</t>
  </si>
  <si>
    <t>A10398</t>
  </si>
  <si>
    <t>P1264</t>
  </si>
  <si>
    <t>14/08/2025</t>
  </si>
  <si>
    <t>A10004</t>
  </si>
  <si>
    <t>P1288</t>
  </si>
  <si>
    <t>27/10/2025</t>
  </si>
  <si>
    <t>29/10/2025</t>
  </si>
  <si>
    <t>58 years</t>
  </si>
  <si>
    <t>A10040</t>
  </si>
  <si>
    <t>2025-12-11</t>
  </si>
  <si>
    <t>18/12/2025</t>
  </si>
  <si>
    <t>A10222</t>
  </si>
  <si>
    <t>P1084</t>
  </si>
  <si>
    <t>A10024</t>
  </si>
  <si>
    <t>29/03/2025</t>
  </si>
  <si>
    <t>A10196</t>
  </si>
  <si>
    <t>P1192</t>
  </si>
  <si>
    <t>2025-08-06</t>
  </si>
  <si>
    <t>A10221</t>
  </si>
  <si>
    <t>P1314</t>
  </si>
  <si>
    <t>2025-11-20</t>
  </si>
  <si>
    <t>09/12/2025</t>
  </si>
  <si>
    <t>19 days</t>
  </si>
  <si>
    <t>A10253</t>
  </si>
  <si>
    <t>P1233</t>
  </si>
  <si>
    <t>2025-01-10</t>
  </si>
  <si>
    <t>3,841</t>
  </si>
  <si>
    <t>A10220</t>
  </si>
  <si>
    <t>P1072</t>
  </si>
  <si>
    <t>2025-06-18</t>
  </si>
  <si>
    <t>A10323</t>
  </si>
  <si>
    <t>A10346</t>
  </si>
  <si>
    <t>A10236</t>
  </si>
  <si>
    <t>27/02/2025</t>
  </si>
  <si>
    <t>A10132</t>
  </si>
  <si>
    <t>P1285</t>
  </si>
  <si>
    <t>13 Sep 2025</t>
  </si>
  <si>
    <t>15/09/2025</t>
  </si>
  <si>
    <t>£8,625</t>
  </si>
  <si>
    <t>A10298</t>
  </si>
  <si>
    <t>23 Apr 2025</t>
  </si>
  <si>
    <t>A10084</t>
  </si>
  <si>
    <t>P1232</t>
  </si>
  <si>
    <t>12/07/2025</t>
  </si>
  <si>
    <t>A10064</t>
  </si>
  <si>
    <t>P1143</t>
  </si>
  <si>
    <t>17/01/2025</t>
  </si>
  <si>
    <t>2025-01-24</t>
  </si>
  <si>
    <t>24 years</t>
  </si>
  <si>
    <t>A10193</t>
  </si>
  <si>
    <t>15 Feb 2025</t>
  </si>
  <si>
    <t>26/02/2025</t>
  </si>
  <si>
    <t>A10332</t>
  </si>
  <si>
    <t>P1082</t>
  </si>
  <si>
    <t>7 Apr 2025</t>
  </si>
  <si>
    <t>A10085</t>
  </si>
  <si>
    <t>12/06/2025</t>
  </si>
  <si>
    <t>22 Jun 2025</t>
  </si>
  <si>
    <t>A10305</t>
  </si>
  <si>
    <t>P1362</t>
  </si>
  <si>
    <t>18/10/2025</t>
  </si>
  <si>
    <t>A10074</t>
  </si>
  <si>
    <t>25/10/2025</t>
  </si>
  <si>
    <t>2025-11-13</t>
  </si>
  <si>
    <t>35 years</t>
  </si>
  <si>
    <t>A10044</t>
  </si>
  <si>
    <t>P1103</t>
  </si>
  <si>
    <t>23/04/2025</t>
  </si>
  <si>
    <t>11/05/2025</t>
  </si>
  <si>
    <t>23 years</t>
  </si>
  <si>
    <t>A10198</t>
  </si>
  <si>
    <t>2025-04-11</t>
  </si>
  <si>
    <t>567</t>
  </si>
  <si>
    <t>A10189</t>
  </si>
  <si>
    <t>P1048</t>
  </si>
  <si>
    <t>2025-04-24</t>
  </si>
  <si>
    <t>14/05/2025</t>
  </si>
  <si>
    <t>A10208</t>
  </si>
  <si>
    <t>7 Mar 2025</t>
  </si>
  <si>
    <t>A10410</t>
  </si>
  <si>
    <t>P1230</t>
  </si>
  <si>
    <t>2025-05-31</t>
  </si>
  <si>
    <t>A10274</t>
  </si>
  <si>
    <t>P1387</t>
  </si>
  <si>
    <t>A10328</t>
  </si>
  <si>
    <t>P1120</t>
  </si>
  <si>
    <t>16 Mar 2025</t>
  </si>
  <si>
    <t>31 Mar 2025</t>
  </si>
  <si>
    <t>A10343</t>
  </si>
  <si>
    <t>P1234</t>
  </si>
  <si>
    <t>2025-02-07</t>
  </si>
  <si>
    <t>16/02/2025</t>
  </si>
  <si>
    <t>A10050</t>
  </si>
  <si>
    <t>07/10/2025</t>
  </si>
  <si>
    <t>5,907</t>
  </si>
  <si>
    <t>A10214</t>
  </si>
  <si>
    <t>23 Jun 2025</t>
  </si>
  <si>
    <t>A10432</t>
  </si>
  <si>
    <t>P1001</t>
  </si>
  <si>
    <t>2025-09-01</t>
  </si>
  <si>
    <t>2025-09-16</t>
  </si>
  <si>
    <t>10860 GBP</t>
  </si>
  <si>
    <t>A10068</t>
  </si>
  <si>
    <t>P1304</t>
  </si>
  <si>
    <t>11/11/2025</t>
  </si>
  <si>
    <t>15 Nov 2025</t>
  </si>
  <si>
    <t>A10284</t>
  </si>
  <si>
    <t>21 May 2025</t>
  </si>
  <si>
    <t>5,929</t>
  </si>
  <si>
    <t>A10499</t>
  </si>
  <si>
    <t>P1313</t>
  </si>
  <si>
    <t>09/03/2025</t>
  </si>
  <si>
    <t>81 years</t>
  </si>
  <si>
    <t>8726 GBP</t>
  </si>
  <si>
    <t>A10463</t>
  </si>
  <si>
    <t>22 Jul 2025</t>
  </si>
  <si>
    <t>2025-07-25</t>
  </si>
  <si>
    <t>A10187</t>
  </si>
  <si>
    <t>P1345</t>
  </si>
  <si>
    <t>13 May 2025</t>
  </si>
  <si>
    <t>26 May 2025</t>
  </si>
  <si>
    <t>2,120</t>
  </si>
  <si>
    <t>A10470</t>
  </si>
  <si>
    <t>P1145</t>
  </si>
  <si>
    <t>30 Nov 2025</t>
  </si>
  <si>
    <t>A10219</t>
  </si>
  <si>
    <t>P1246</t>
  </si>
  <si>
    <t>2025-06-08</t>
  </si>
  <si>
    <t>27/06/2025</t>
  </si>
  <si>
    <t>A10444</t>
  </si>
  <si>
    <t>23/11/2025</t>
  </si>
  <si>
    <t>04/12/2025</t>
  </si>
  <si>
    <t>63 years</t>
  </si>
  <si>
    <t>7895 GBP</t>
  </si>
  <si>
    <t>A10430</t>
  </si>
  <si>
    <t>P1239</t>
  </si>
  <si>
    <t>23 Nov 2025</t>
  </si>
  <si>
    <t>A10143</t>
  </si>
  <si>
    <t>P1095</t>
  </si>
  <si>
    <t>09/07/2025</t>
  </si>
  <si>
    <t>A10304</t>
  </si>
  <si>
    <t>P1327</t>
  </si>
  <si>
    <t>2025-12-10</t>
  </si>
  <si>
    <t>2025-12-18</t>
  </si>
  <si>
    <t>A10115</t>
  </si>
  <si>
    <t>P1025</t>
  </si>
  <si>
    <t>27 Jan 2025</t>
  </si>
  <si>
    <t>11/02/2025</t>
  </si>
  <si>
    <t>A10159</t>
  </si>
  <si>
    <t>P1220</t>
  </si>
  <si>
    <t>12/09/2025</t>
  </si>
  <si>
    <t>28 Sep 2025</t>
  </si>
  <si>
    <t>A10077</t>
  </si>
  <si>
    <t>P1119</t>
  </si>
  <si>
    <t>14/07/2025</t>
  </si>
  <si>
    <t>A10275</t>
  </si>
  <si>
    <t>P1274</t>
  </si>
  <si>
    <t>2025-09-07</t>
  </si>
  <si>
    <t>A10483</t>
  </si>
  <si>
    <t>P1224</t>
  </si>
  <si>
    <t>01/10/2025</t>
  </si>
  <si>
    <t>13 Oct 2025</t>
  </si>
  <si>
    <t>8589 GBP</t>
  </si>
  <si>
    <t>A10125</t>
  </si>
  <si>
    <t>P1315</t>
  </si>
  <si>
    <t>02/05/2025</t>
  </si>
  <si>
    <t>08/05/2025</t>
  </si>
  <si>
    <t>A10147</t>
  </si>
  <si>
    <t>4 Nov 2025</t>
  </si>
  <si>
    <t>A10129</t>
  </si>
  <si>
    <t>P1212</t>
  </si>
  <si>
    <t>10 Oct 2025</t>
  </si>
  <si>
    <t>26/10/2025</t>
  </si>
  <si>
    <t>67 years</t>
  </si>
  <si>
    <t>A10014</t>
  </si>
  <si>
    <t>08/06/2025</t>
  </si>
  <si>
    <t>A10248</t>
  </si>
  <si>
    <t>P1186</t>
  </si>
  <si>
    <t>2025-04-12</t>
  </si>
  <si>
    <t>15/04/2025</t>
  </si>
  <si>
    <t>A10456</t>
  </si>
  <si>
    <t>P1388</t>
  </si>
  <si>
    <t>2025-01-27</t>
  </si>
  <si>
    <t>09/02/2025</t>
  </si>
  <si>
    <t>A10225</t>
  </si>
  <si>
    <t>5 Sep 2025</t>
  </si>
  <si>
    <t>A10123</t>
  </si>
  <si>
    <t>P1202</t>
  </si>
  <si>
    <t>2025-12-02</t>
  </si>
  <si>
    <t>2025-12-03</t>
  </si>
  <si>
    <t>A10088</t>
  </si>
  <si>
    <t>19/02/2025</t>
  </si>
  <si>
    <t>11/03/2025</t>
  </si>
  <si>
    <t>53 years</t>
  </si>
  <si>
    <t>A10192</t>
  </si>
  <si>
    <t>01/09/2025</t>
  </si>
  <si>
    <t>A10063</t>
  </si>
  <si>
    <t>P1183</t>
  </si>
  <si>
    <t>31 May 2025</t>
  </si>
  <si>
    <t>2025-06-05</t>
  </si>
  <si>
    <t>11990 GBP</t>
  </si>
  <si>
    <t>A10182</t>
  </si>
  <si>
    <t>P1317</t>
  </si>
  <si>
    <t>21 Jan 2025</t>
  </si>
  <si>
    <t>05/02/2025</t>
  </si>
  <si>
    <t>A10122</t>
  </si>
  <si>
    <t>21/08/2025</t>
  </si>
  <si>
    <t>22/08/2025</t>
  </si>
  <si>
    <t>A10307</t>
  </si>
  <si>
    <t>P1066</t>
  </si>
  <si>
    <t>18/09/2025</t>
  </si>
  <si>
    <t>A10039</t>
  </si>
  <si>
    <t>25 Feb 2025</t>
  </si>
  <si>
    <t>A10005</t>
  </si>
  <si>
    <t>P1117</t>
  </si>
  <si>
    <t>2025-06-29</t>
  </si>
  <si>
    <t>A10426</t>
  </si>
  <si>
    <t>P1311</t>
  </si>
  <si>
    <t>A10315</t>
  </si>
  <si>
    <t>18 Mar 2025</t>
  </si>
  <si>
    <t>2025-04-01</t>
  </si>
  <si>
    <t>A10018</t>
  </si>
  <si>
    <t>P1148</t>
  </si>
  <si>
    <t>10 Mar 2025</t>
  </si>
  <si>
    <t>A10427</t>
  </si>
  <si>
    <t>P1323</t>
  </si>
  <si>
    <t>20/11/2025</t>
  </si>
  <si>
    <t>A10439</t>
  </si>
  <si>
    <t>2025-04-23</t>
  </si>
  <si>
    <t>2025-04-29</t>
  </si>
  <si>
    <t>A10153</t>
  </si>
  <si>
    <t>P1116</t>
  </si>
  <si>
    <t>11 Jul 2025</t>
  </si>
  <si>
    <t>A10365</t>
  </si>
  <si>
    <t>P1134</t>
  </si>
  <si>
    <t>16 Sep 2025</t>
  </si>
  <si>
    <t>30/09/2025</t>
  </si>
  <si>
    <t>A10025</t>
  </si>
  <si>
    <t>19 Nov 2025</t>
  </si>
  <si>
    <t>2025-12-07</t>
  </si>
  <si>
    <t>4498 GBP</t>
  </si>
  <si>
    <t>A10166</t>
  </si>
  <si>
    <t>P1231</t>
  </si>
  <si>
    <t>2025-12-04</t>
  </si>
  <si>
    <t>05/12/2025</t>
  </si>
  <si>
    <t>A10097</t>
  </si>
  <si>
    <t>27 May 2025</t>
  </si>
  <si>
    <t>A10246</t>
  </si>
  <si>
    <t>P1199</t>
  </si>
  <si>
    <t>02/10/2025</t>
  </si>
  <si>
    <t>A10144</t>
  </si>
  <si>
    <t>P1208</t>
  </si>
  <si>
    <t>2025-12-31</t>
  </si>
  <si>
    <t>A10038</t>
  </si>
  <si>
    <t>P1195</t>
  </si>
  <si>
    <t>2025-08-01</t>
  </si>
  <si>
    <t>A10318</t>
  </si>
  <si>
    <t>2025-01-29</t>
  </si>
  <si>
    <t>17/02/2025</t>
  </si>
  <si>
    <t>A10067</t>
  </si>
  <si>
    <t>11 Feb 2025</t>
  </si>
  <si>
    <t>15 days</t>
  </si>
  <si>
    <t>A10098</t>
  </si>
  <si>
    <t>P1162</t>
  </si>
  <si>
    <t>19 Mar 2025</t>
  </si>
  <si>
    <t>A10174</t>
  </si>
  <si>
    <t>11 Mar 2025</t>
  </si>
  <si>
    <t>A10032</t>
  </si>
  <si>
    <t>02/07/2025</t>
  </si>
  <si>
    <t>A10247</t>
  </si>
  <si>
    <t>5 Mar 2025</t>
  </si>
  <si>
    <t>A10161</t>
  </si>
  <si>
    <t>P1068</t>
  </si>
  <si>
    <t>30 Jan 2025</t>
  </si>
  <si>
    <t>2025-02-08</t>
  </si>
  <si>
    <t>A10458</t>
  </si>
  <si>
    <t>04/05/2025</t>
  </si>
  <si>
    <t>2025-05-12</t>
  </si>
  <si>
    <t>A10467</t>
  </si>
  <si>
    <t>20/09/2025</t>
  </si>
  <si>
    <t>27 Sep 2025</t>
  </si>
  <si>
    <t>A10010</t>
  </si>
  <si>
    <t>P1216</t>
  </si>
  <si>
    <t>8 Dec 2025</t>
  </si>
  <si>
    <t>17 Dec 2025</t>
  </si>
  <si>
    <t>A10163</t>
  </si>
  <si>
    <t>P1370</t>
  </si>
  <si>
    <t>3 Oct 2025</t>
  </si>
  <si>
    <t>5 Oct 2025</t>
  </si>
  <si>
    <t>A10207</t>
  </si>
  <si>
    <t>A10465</t>
  </si>
  <si>
    <t>P1320</t>
  </si>
  <si>
    <t>2025-04-19</t>
  </si>
  <si>
    <t>A10448</t>
  </si>
  <si>
    <t>P1310</t>
  </si>
  <si>
    <t>12/10/2025</t>
  </si>
  <si>
    <t>A10107</t>
  </si>
  <si>
    <t>P1259</t>
  </si>
  <si>
    <t>06/02/2025</t>
  </si>
  <si>
    <t>9756 GBP</t>
  </si>
  <si>
    <t>A10341</t>
  </si>
  <si>
    <t>P1067</t>
  </si>
  <si>
    <t>7,102</t>
  </si>
  <si>
    <t>A10137</t>
  </si>
  <si>
    <t>3 Sep 2025</t>
  </si>
  <si>
    <t>A10015</t>
  </si>
  <si>
    <t>9 Oct 2025</t>
  </si>
  <si>
    <t>11/10/2025</t>
  </si>
  <si>
    <t>A10477</t>
  </si>
  <si>
    <t>P1047</t>
  </si>
  <si>
    <t>A10003</t>
  </si>
  <si>
    <t>P1247</t>
  </si>
  <si>
    <t>A10303</t>
  </si>
  <si>
    <t>28 years</t>
  </si>
  <si>
    <t>A10029</t>
  </si>
  <si>
    <t>P1266</t>
  </si>
  <si>
    <t>2025-05-15</t>
  </si>
  <si>
    <t>28 May 2025</t>
  </si>
  <si>
    <t>A10403</t>
  </si>
  <si>
    <t>2025-09-06</t>
  </si>
  <si>
    <t>2025-09-08</t>
  </si>
  <si>
    <t>A10213</t>
  </si>
  <si>
    <t>2 Mar 2025</t>
  </si>
  <si>
    <t>13/03/2025</t>
  </si>
  <si>
    <t>A10478</t>
  </si>
  <si>
    <t>2025-10-19</t>
  </si>
  <si>
    <t>2025-10-28</t>
  </si>
  <si>
    <t>884 GBP</t>
  </si>
  <si>
    <t>A10449</t>
  </si>
  <si>
    <t>P1137</t>
  </si>
  <si>
    <t>2025-04-14</t>
  </si>
  <si>
    <t>18/04/2025</t>
  </si>
  <si>
    <t>A10119</t>
  </si>
  <si>
    <t>26/05/2025</t>
  </si>
  <si>
    <t>10/06/2025</t>
  </si>
  <si>
    <t>A10087</t>
  </si>
  <si>
    <t>2025-03-29</t>
  </si>
  <si>
    <t>A10386</t>
  </si>
  <si>
    <t>31/05/2025</t>
  </si>
  <si>
    <t>8 Jun 2025</t>
  </si>
  <si>
    <t>A10319</t>
  </si>
  <si>
    <t>19 Jun 2025</t>
  </si>
  <si>
    <t>2025-06-26</t>
  </si>
  <si>
    <t>A10285</t>
  </si>
  <si>
    <t>23 May 2025</t>
  </si>
  <si>
    <t>2025-06-04</t>
  </si>
  <si>
    <t>A10374</t>
  </si>
  <si>
    <t>P1055</t>
  </si>
  <si>
    <t>23/06/2025</t>
  </si>
  <si>
    <t>A10101</t>
  </si>
  <si>
    <t>P1383</t>
  </si>
  <si>
    <t>1 May 2025</t>
  </si>
  <si>
    <t>A10404</t>
  </si>
  <si>
    <t>P1135</t>
  </si>
  <si>
    <t>16/09/2025</t>
  </si>
  <si>
    <t>17 Sep 2025</t>
  </si>
  <si>
    <t>A10260</t>
  </si>
  <si>
    <t>2025-09-19</t>
  </si>
  <si>
    <t>1220 GBP</t>
  </si>
  <si>
    <t>A10431</t>
  </si>
  <si>
    <t>4 May 2025</t>
  </si>
  <si>
    <t>16/05/2025</t>
  </si>
  <si>
    <t>A10238</t>
  </si>
  <si>
    <t>P1043</t>
  </si>
  <si>
    <t>2025-03-18</t>
  </si>
  <si>
    <t>A10406</t>
  </si>
  <si>
    <t>P1017</t>
  </si>
  <si>
    <t>30 May 2025</t>
  </si>
  <si>
    <t>A10244</t>
  </si>
  <si>
    <t>P1242</t>
  </si>
  <si>
    <t>18/02/2025</t>
  </si>
  <si>
    <t>A10459</t>
  </si>
  <si>
    <t>P1097</t>
  </si>
  <si>
    <t>9 Feb 2025</t>
  </si>
  <si>
    <t>37 years</t>
  </si>
  <si>
    <t>A10282</t>
  </si>
  <si>
    <t>P1115</t>
  </si>
  <si>
    <t>2025-07-04</t>
  </si>
  <si>
    <t>3,730</t>
  </si>
  <si>
    <t>A10358</t>
  </si>
  <si>
    <t>P1180</t>
  </si>
  <si>
    <t>2025-05-19</t>
  </si>
  <si>
    <t>8133 GBP</t>
  </si>
  <si>
    <t>A10490</t>
  </si>
  <si>
    <t>P1207</t>
  </si>
  <si>
    <t>08/02/2025</t>
  </si>
  <si>
    <t>2025-02-18</t>
  </si>
  <si>
    <t>A10215</t>
  </si>
  <si>
    <t>P1386</t>
  </si>
  <si>
    <t>2025-02-02</t>
  </si>
  <si>
    <t>A10016</t>
  </si>
  <si>
    <t>2025-11-14</t>
  </si>
  <si>
    <t>A10268</t>
  </si>
  <si>
    <t>P1070</t>
  </si>
  <si>
    <t>10 Apr 2025</t>
  </si>
  <si>
    <t>A10437</t>
  </si>
  <si>
    <t>2025-03-16</t>
  </si>
  <si>
    <t>17/03/2025</t>
  </si>
  <si>
    <t>A10415</t>
  </si>
  <si>
    <t>16 Jan 2025</t>
  </si>
  <si>
    <t>A10227</t>
  </si>
  <si>
    <t>P1022</t>
  </si>
  <si>
    <t>30/08/2025</t>
  </si>
  <si>
    <t>2025-08-31</t>
  </si>
  <si>
    <t>66 years</t>
  </si>
  <si>
    <t>A10112</t>
  </si>
  <si>
    <t>P1205</t>
  </si>
  <si>
    <t>A10210</t>
  </si>
  <si>
    <t>2025-11-11</t>
  </si>
  <si>
    <t>11 days</t>
  </si>
  <si>
    <t>A10184</t>
  </si>
  <si>
    <t>A10226</t>
  </si>
  <si>
    <t>2025-03-12</t>
  </si>
  <si>
    <t>A10081</t>
  </si>
  <si>
    <t>P1094</t>
  </si>
  <si>
    <t>2025-11-27</t>
  </si>
  <si>
    <t>3 Dec 2025</t>
  </si>
  <si>
    <t>A10364</t>
  </si>
  <si>
    <t>P1265</t>
  </si>
  <si>
    <t>06/11/2025</t>
  </si>
  <si>
    <t>A10371</t>
  </si>
  <si>
    <t>A10197</t>
  </si>
  <si>
    <t>P1182</t>
  </si>
  <si>
    <t>2025-03-19</t>
  </si>
  <si>
    <t>A10079</t>
  </si>
  <si>
    <t>12 Mar 2025</t>
  </si>
  <si>
    <t>A10183</t>
  </si>
  <si>
    <t>P1005</t>
  </si>
  <si>
    <t>6 Nov 2025</t>
  </si>
  <si>
    <t>8 Nov 2025</t>
  </si>
  <si>
    <t>A10279</t>
  </si>
  <si>
    <t>P1240</t>
  </si>
  <si>
    <t>12 Apr 2025</t>
  </si>
  <si>
    <t>A10243</t>
  </si>
  <si>
    <t>P1008</t>
  </si>
  <si>
    <t>4,606</t>
  </si>
  <si>
    <t>A10488</t>
  </si>
  <si>
    <t>28/02/2025</t>
  </si>
  <si>
    <t>2025-03-14</t>
  </si>
  <si>
    <t>A10485</t>
  </si>
  <si>
    <t>2025-08-05</t>
  </si>
  <si>
    <t>2025-08-13</t>
  </si>
  <si>
    <t>5867 GBP</t>
  </si>
  <si>
    <t>A10035</t>
  </si>
  <si>
    <t>P1258</t>
  </si>
  <si>
    <t>A10152</t>
  </si>
  <si>
    <t>P1298</t>
  </si>
  <si>
    <t>3,725</t>
  </si>
  <si>
    <t>A10211</t>
  </si>
  <si>
    <t>24/05/2025</t>
  </si>
  <si>
    <t>29 May 2025</t>
  </si>
  <si>
    <t>A10366</t>
  </si>
  <si>
    <t>19/04/2025</t>
  </si>
  <si>
    <t>36 years</t>
  </si>
  <si>
    <t>14,056</t>
  </si>
  <si>
    <t>A10181</t>
  </si>
  <si>
    <t>P1270</t>
  </si>
  <si>
    <t>2025-04-07</t>
  </si>
  <si>
    <t>A10384</t>
  </si>
  <si>
    <t>P1179</t>
  </si>
  <si>
    <t>2025-10-30</t>
  </si>
  <si>
    <t>12/11/2025</t>
  </si>
  <si>
    <t>A10250</t>
  </si>
  <si>
    <t>P1339</t>
  </si>
  <si>
    <t>2025-09-21</t>
  </si>
  <si>
    <t>23/09/2025</t>
  </si>
  <si>
    <t>£8,584</t>
  </si>
  <si>
    <t>A10495</t>
  </si>
  <si>
    <t>22/02/2025</t>
  </si>
  <si>
    <t>2025-03-08</t>
  </si>
  <si>
    <t>A10336</t>
  </si>
  <si>
    <t>P1281</t>
  </si>
  <si>
    <t>11/12/2025</t>
  </si>
  <si>
    <t>A10100</t>
  </si>
  <si>
    <t>3 days</t>
  </si>
  <si>
    <t>A10481</t>
  </si>
  <si>
    <t>A10249</t>
  </si>
  <si>
    <t>2025-08-20</t>
  </si>
  <si>
    <t>69 years</t>
  </si>
  <si>
    <t>A10269</t>
  </si>
  <si>
    <t>A10376</t>
  </si>
  <si>
    <t>2025-10-23</t>
  </si>
  <si>
    <t>A10385</t>
  </si>
  <si>
    <t>P1006</t>
  </si>
  <si>
    <t>2025-10-08</t>
  </si>
  <si>
    <t>A10042</t>
  </si>
  <si>
    <t>P1379</t>
  </si>
  <si>
    <t>11939 GBP</t>
  </si>
  <si>
    <t>A10176</t>
  </si>
  <si>
    <t>10 Dec 2025</t>
  </si>
  <si>
    <t>87 years</t>
  </si>
  <si>
    <t>A10245</t>
  </si>
  <si>
    <t>P1373</t>
  </si>
  <si>
    <t>2025-03-25</t>
  </si>
  <si>
    <t>27/03/2025</t>
  </si>
  <si>
    <t>A10496</t>
  </si>
  <si>
    <t>21 Oct 2025</t>
  </si>
  <si>
    <t>A10291</t>
  </si>
  <si>
    <t>P1366</t>
  </si>
  <si>
    <t>21 Sep 2025</t>
  </si>
  <si>
    <t>A10359</t>
  </si>
  <si>
    <t>2025-02-13</t>
  </si>
  <si>
    <t>05/03/2025</t>
  </si>
  <si>
    <t>A10164</t>
  </si>
  <si>
    <t>P1190</t>
  </si>
  <si>
    <t>25/09/2025</t>
  </si>
  <si>
    <t>10/10/2025</t>
  </si>
  <si>
    <t>A10375</t>
  </si>
  <si>
    <t>P1045</t>
  </si>
  <si>
    <t>A10045</t>
  </si>
  <si>
    <t>P1187</t>
  </si>
  <si>
    <t>26 Nov 2025</t>
  </si>
  <si>
    <t>29 Nov 2025</t>
  </si>
  <si>
    <t>£4,145</t>
  </si>
  <si>
    <t>A10060</t>
  </si>
  <si>
    <t>P1019</t>
  </si>
  <si>
    <t>A10232</t>
  </si>
  <si>
    <t>2025-01-14</t>
  </si>
  <si>
    <t>2025-01-19</t>
  </si>
  <si>
    <t>1,844</t>
  </si>
  <si>
    <t>A10455</t>
  </si>
  <si>
    <t>P1080</t>
  </si>
  <si>
    <t>14 Aug 2025</t>
  </si>
  <si>
    <t>A10135</t>
  </si>
  <si>
    <t>P1155</t>
  </si>
  <si>
    <t>29/04/2025</t>
  </si>
  <si>
    <t>10 May 2025</t>
  </si>
  <si>
    <t>6969 GBP</t>
  </si>
  <si>
    <t>A10237</t>
  </si>
  <si>
    <t>P1380</t>
  </si>
  <si>
    <t>13/12/2025</t>
  </si>
  <si>
    <t>2 Jan 2026</t>
  </si>
  <si>
    <t>4,924</t>
  </si>
  <si>
    <t>A10383</t>
  </si>
  <si>
    <t>P1397</t>
  </si>
  <si>
    <t>2025-03-22</t>
  </si>
  <si>
    <t>A10370</t>
  </si>
  <si>
    <t>P1091</t>
  </si>
  <si>
    <t>2025-08-14</t>
  </si>
  <si>
    <t>55 years</t>
  </si>
  <si>
    <t>A10453</t>
  </si>
  <si>
    <t>A10440</t>
  </si>
  <si>
    <t>2025-06-03</t>
  </si>
  <si>
    <t>A10394</t>
  </si>
  <si>
    <t>2025-08-02</t>
  </si>
  <si>
    <t>A10007</t>
  </si>
  <si>
    <t>P1236</t>
  </si>
  <si>
    <t>9 Aug 2025</t>
  </si>
  <si>
    <t>2025-08-27</t>
  </si>
  <si>
    <t>£14,138</t>
  </si>
  <si>
    <t>A10369</t>
  </si>
  <si>
    <t>19 May 2025</t>
  </si>
  <si>
    <t>A10072</t>
  </si>
  <si>
    <t>19 Feb 2025</t>
  </si>
  <si>
    <t>A10105</t>
  </si>
  <si>
    <t>2025-09-22</t>
  </si>
  <si>
    <t>A10493</t>
  </si>
  <si>
    <t>27 Jun 2025</t>
  </si>
  <si>
    <t>A10113</t>
  </si>
  <si>
    <t>P1330</t>
  </si>
  <si>
    <t>A10473</t>
  </si>
  <si>
    <t>P1011</t>
  </si>
  <si>
    <t>2025-05-18</t>
  </si>
  <si>
    <t>20/05/2025</t>
  </si>
  <si>
    <t>1,429</t>
  </si>
  <si>
    <t>A10445</t>
  </si>
  <si>
    <t>2025-06-25</t>
  </si>
  <si>
    <t>A10118</t>
  </si>
  <si>
    <t>P1193</t>
  </si>
  <si>
    <t>26 Jun 2025</t>
  </si>
  <si>
    <t>2025-07-05</t>
  </si>
  <si>
    <t>A10464</t>
  </si>
  <si>
    <t>P1060</t>
  </si>
  <si>
    <t>21/03/2025</t>
  </si>
  <si>
    <t>A10241</t>
  </si>
  <si>
    <t>25/04/2025</t>
  </si>
  <si>
    <t>15 May 2025</t>
  </si>
  <si>
    <t>£13,827</t>
  </si>
  <si>
    <t>A10420</t>
  </si>
  <si>
    <t>P1238</t>
  </si>
  <si>
    <t>19 Jul 2025</t>
  </si>
  <si>
    <t>3,379</t>
  </si>
  <si>
    <t>A10217</t>
  </si>
  <si>
    <t>2025-03-24</t>
  </si>
  <si>
    <t>10/04/2025</t>
  </si>
  <si>
    <t>A10487</t>
  </si>
  <si>
    <t>P1041</t>
  </si>
  <si>
    <t>2025-07-09</t>
  </si>
  <si>
    <t>A10012</t>
  </si>
  <si>
    <t>31 Aug 2025</t>
  </si>
  <si>
    <t>49 years</t>
  </si>
  <si>
    <t>7 days</t>
  </si>
  <si>
    <t>A10349</t>
  </si>
  <si>
    <t>P1044</t>
  </si>
  <si>
    <t>A10396</t>
  </si>
  <si>
    <t>2025-10-09</t>
  </si>
  <si>
    <t>93 years</t>
  </si>
  <si>
    <t>A10055</t>
  </si>
  <si>
    <t>7 Sep 2025</t>
  </si>
  <si>
    <t>27/09/2025</t>
  </si>
  <si>
    <t>A10419</t>
  </si>
  <si>
    <t>18/06/2025</t>
  </si>
  <si>
    <t>A10090</t>
  </si>
  <si>
    <t>P1254</t>
  </si>
  <si>
    <t>A10471</t>
  </si>
  <si>
    <t>26 Aug 2025</t>
  </si>
  <si>
    <t>05/09/2025</t>
  </si>
  <si>
    <t>A10070</t>
  </si>
  <si>
    <t>P1030</t>
  </si>
  <si>
    <t>A10148</t>
  </si>
  <si>
    <t>29 Jan 2025</t>
  </si>
  <si>
    <t>A10489</t>
  </si>
  <si>
    <t>2025-06-09</t>
  </si>
  <si>
    <t>11 years</t>
  </si>
  <si>
    <t>A10155</t>
  </si>
  <si>
    <t>A10212</t>
  </si>
  <si>
    <t>18 Oct 2025</t>
  </si>
  <si>
    <t>5,137</t>
  </si>
  <si>
    <t>A10108</t>
  </si>
  <si>
    <t>P1272</t>
  </si>
  <si>
    <t>£10,065</t>
  </si>
  <si>
    <t>A10422</t>
  </si>
  <si>
    <t>A10299</t>
  </si>
  <si>
    <t>2025-10-06</t>
  </si>
  <si>
    <t>A10399</t>
  </si>
  <si>
    <t>P1251</t>
  </si>
  <si>
    <t>£10,514</t>
  </si>
  <si>
    <t>A10177</t>
  </si>
  <si>
    <t>P1105</t>
  </si>
  <si>
    <t>24 Apr 2025</t>
  </si>
  <si>
    <t>05/05/2025</t>
  </si>
  <si>
    <t>A10468</t>
  </si>
  <si>
    <t>A10311</t>
  </si>
  <si>
    <t>2025-06-21</t>
  </si>
  <si>
    <t>10 Jul 2025</t>
  </si>
  <si>
    <t>A10412</t>
  </si>
  <si>
    <t>A10194</t>
  </si>
  <si>
    <t>2025-06-15</t>
  </si>
  <si>
    <t>2025-06-17</t>
  </si>
  <si>
    <t>9,317</t>
  </si>
  <si>
    <t>A10408</t>
  </si>
  <si>
    <t>P1211</t>
  </si>
  <si>
    <t>A10475</t>
  </si>
  <si>
    <t>P1348</t>
  </si>
  <si>
    <t>A10344</t>
  </si>
  <si>
    <t>P1255</t>
  </si>
  <si>
    <t>02/02/2025</t>
  </si>
  <si>
    <t>£2,101</t>
  </si>
  <si>
    <t>A10185</t>
  </si>
  <si>
    <t>P1181</t>
  </si>
  <si>
    <t>26/01/2025</t>
  </si>
  <si>
    <t>£4,979</t>
  </si>
  <si>
    <t>A10071</t>
  </si>
  <si>
    <t>22 May 2025</t>
  </si>
  <si>
    <t>77 years</t>
  </si>
  <si>
    <t>A10400</t>
  </si>
  <si>
    <t>2025-04-09</t>
  </si>
  <si>
    <t>A10127</t>
  </si>
  <si>
    <t>3 Jul 2025</t>
  </si>
  <si>
    <t>A10452</t>
  </si>
  <si>
    <t>£9,203</t>
  </si>
  <si>
    <t>10 days</t>
  </si>
  <si>
    <t>A10417</t>
  </si>
  <si>
    <t>2025-07-02</t>
  </si>
  <si>
    <t>A10254</t>
  </si>
  <si>
    <t>29/01/2025</t>
  </si>
  <si>
    <t>A10469</t>
  </si>
  <si>
    <t>A10121</t>
  </si>
  <si>
    <t>A10149</t>
  </si>
  <si>
    <t>2025-06-06</t>
  </si>
  <si>
    <t>A10061</t>
  </si>
  <si>
    <t>P1040</t>
  </si>
  <si>
    <t>09/10/2025</t>
  </si>
  <si>
    <t>2025-10-22</t>
  </si>
  <si>
    <t>A10294</t>
  </si>
  <si>
    <t>17 Nov 2025</t>
  </si>
  <si>
    <t>25 Nov 2025</t>
  </si>
  <si>
    <t>A10256</t>
  </si>
  <si>
    <t>23/08/2025</t>
  </si>
  <si>
    <t>£4,973</t>
  </si>
  <si>
    <t>A10019</t>
  </si>
  <si>
    <t>A10009</t>
  </si>
  <si>
    <t>P1378</t>
  </si>
  <si>
    <t>31/10/2025</t>
  </si>
  <si>
    <t>26 years</t>
  </si>
  <si>
    <t>A10381</t>
  </si>
  <si>
    <t>A10178</t>
  </si>
  <si>
    <t>09/08/2025</t>
  </si>
  <si>
    <t>11078 GBP</t>
  </si>
  <si>
    <t>A10388</t>
  </si>
  <si>
    <t>25/03/2025</t>
  </si>
  <si>
    <t>50 years</t>
  </si>
  <si>
    <t>A10373</t>
  </si>
  <si>
    <t>P1235</t>
  </si>
  <si>
    <t>8162 GBP</t>
  </si>
  <si>
    <t>A10053</t>
  </si>
  <si>
    <t>P1293</t>
  </si>
  <si>
    <t>30 Sep 2025</t>
  </si>
  <si>
    <t>2025-10-20</t>
  </si>
  <si>
    <t>A10169</t>
  </si>
  <si>
    <t>A10330</t>
  </si>
  <si>
    <t>P1328</t>
  </si>
  <si>
    <t>22 Oct 2025</t>
  </si>
  <si>
    <t>2025-11-05</t>
  </si>
  <si>
    <t>A10145</t>
  </si>
  <si>
    <t>P1191</t>
  </si>
  <si>
    <t>2025-12-17</t>
  </si>
  <si>
    <t>A10300</t>
  </si>
  <si>
    <t>7 May 2025</t>
  </si>
  <si>
    <t>9 years</t>
  </si>
  <si>
    <t>A10421</t>
  </si>
  <si>
    <t>30/01/2025</t>
  </si>
  <si>
    <t>A10345</t>
  </si>
  <si>
    <t>1 Mar 2025</t>
  </si>
  <si>
    <t>2025-03-20</t>
  </si>
  <si>
    <t>A10186</t>
  </si>
  <si>
    <t>25 Jun 2025</t>
  </si>
  <si>
    <t>A10372</t>
  </si>
  <si>
    <t>P1007</t>
  </si>
  <si>
    <t>06/03/2025</t>
  </si>
  <si>
    <t>A10151</t>
  </si>
  <si>
    <t>24 Jul 2025</t>
  </si>
  <si>
    <t>A10126</t>
  </si>
  <si>
    <t>30/04/2025</t>
  </si>
  <si>
    <t>3 May 2025</t>
  </si>
  <si>
    <t>A10104</t>
  </si>
  <si>
    <t>P1129</t>
  </si>
  <si>
    <t>11 Aug 2025</t>
  </si>
  <si>
    <t>A10114</t>
  </si>
  <si>
    <t>P1020</t>
  </si>
  <si>
    <t>27 Feb 2025</t>
  </si>
  <si>
    <t>10/03/2025</t>
  </si>
  <si>
    <t>£8,181</t>
  </si>
  <si>
    <t>A10204</t>
  </si>
  <si>
    <t>A10092</t>
  </si>
  <si>
    <t>8 Oct 2025</t>
  </si>
  <si>
    <t>A10251</t>
  </si>
  <si>
    <t>5 Jul 2025</t>
  </si>
  <si>
    <t>A10280</t>
  </si>
  <si>
    <t>£4,433</t>
  </si>
  <si>
    <t>A10263</t>
  </si>
  <si>
    <t>26/08/2025</t>
  </si>
  <si>
    <t>09/09/2025</t>
  </si>
  <si>
    <t>A10134</t>
  </si>
  <si>
    <t>8 Sep 2025</t>
  </si>
  <si>
    <t>23 Sep 2025</t>
  </si>
  <si>
    <t>A10334</t>
  </si>
  <si>
    <t>02/12/2025</t>
  </si>
  <si>
    <t>A10461</t>
  </si>
  <si>
    <t>14 Nov 2025</t>
  </si>
  <si>
    <t>A10157</t>
  </si>
  <si>
    <t>A10402</t>
  </si>
  <si>
    <t>P1124</t>
  </si>
  <si>
    <t>2 Sep 2025</t>
  </si>
  <si>
    <t>12 Sep 2025</t>
  </si>
  <si>
    <t>A10353</t>
  </si>
  <si>
    <t>P1101</t>
  </si>
  <si>
    <t>14 Mar 2025</t>
  </si>
  <si>
    <t>A10317</t>
  </si>
  <si>
    <t>A10377</t>
  </si>
  <si>
    <t>21/01/2025</t>
  </si>
  <si>
    <t>25 Jan 2025</t>
  </si>
  <si>
    <t>A10052</t>
  </si>
  <si>
    <t>30/05/2025</t>
  </si>
  <si>
    <t>8036 GBP</t>
  </si>
  <si>
    <t>A10276</t>
  </si>
  <si>
    <t>5 days</t>
  </si>
  <si>
    <t>A10013</t>
  </si>
  <si>
    <t>2025-08-19</t>
  </si>
  <si>
    <t>A10188</t>
  </si>
  <si>
    <t>2025-02-25</t>
  </si>
  <si>
    <t>4 days</t>
  </si>
  <si>
    <t>A10389</t>
  </si>
  <si>
    <t>P1382</t>
  </si>
  <si>
    <t>2025-02-26</t>
  </si>
  <si>
    <t>A10438</t>
  </si>
  <si>
    <t>13/04/2025</t>
  </si>
  <si>
    <t>A10043</t>
  </si>
  <si>
    <t>27 Jul 2025</t>
  </si>
  <si>
    <t>A10351</t>
  </si>
  <si>
    <t>P1111</t>
  </si>
  <si>
    <t>6 Oct 2025</t>
  </si>
  <si>
    <t>2025-10-18</t>
  </si>
  <si>
    <t>51 years</t>
  </si>
  <si>
    <t>A10436</t>
  </si>
  <si>
    <t>11 Apr 2025</t>
  </si>
  <si>
    <t>3248 GBP</t>
  </si>
  <si>
    <t>A10234</t>
  </si>
  <si>
    <t>P1051</t>
  </si>
  <si>
    <t>17 Feb 2025</t>
  </si>
  <si>
    <t>A10352</t>
  </si>
  <si>
    <t>P1125</t>
  </si>
  <si>
    <t>2025-11-17</t>
  </si>
  <si>
    <t>A10407</t>
  </si>
  <si>
    <t>P1350</t>
  </si>
  <si>
    <t>A10223</t>
  </si>
  <si>
    <t>P1014</t>
  </si>
  <si>
    <t>85 years</t>
  </si>
  <si>
    <t>4346 GBP</t>
  </si>
  <si>
    <t>A10046</t>
  </si>
  <si>
    <t>9 Jul 2025</t>
  </si>
  <si>
    <t>A10397</t>
  </si>
  <si>
    <t>P1023</t>
  </si>
  <si>
    <t>2 Jun 2025</t>
  </si>
  <si>
    <t>6117 GBP</t>
  </si>
  <si>
    <t>A10333</t>
  </si>
  <si>
    <t>P1213</t>
  </si>
  <si>
    <t>5 Jun 2025</t>
  </si>
  <si>
    <t>16/06/2025</t>
  </si>
  <si>
    <t>A10281</t>
  </si>
  <si>
    <t>2025-01-25</t>
  </si>
  <si>
    <t>A10049</t>
  </si>
  <si>
    <t>25 Sep 2025</t>
  </si>
  <si>
    <t>29 Sep 2025</t>
  </si>
  <si>
    <t>A10413</t>
  </si>
  <si>
    <t>P1312</t>
  </si>
  <si>
    <t>3,744</t>
  </si>
  <si>
    <t>A10363</t>
  </si>
  <si>
    <t>P1351</t>
  </si>
  <si>
    <t>4 Sep 2025</t>
  </si>
  <si>
    <t>2025-09-11</t>
  </si>
  <si>
    <t>£13,620</t>
  </si>
  <si>
    <t>A10283</t>
  </si>
  <si>
    <t>2025-10-25</t>
  </si>
  <si>
    <t>A10290</t>
  </si>
  <si>
    <t>A10001</t>
  </si>
  <si>
    <t>P1305</t>
  </si>
  <si>
    <t>A10266</t>
  </si>
  <si>
    <t>3968 GBP</t>
  </si>
  <si>
    <t>A10116</t>
  </si>
  <si>
    <t>P1010</t>
  </si>
  <si>
    <t>2429 GBP</t>
  </si>
  <si>
    <t>A10094</t>
  </si>
  <si>
    <t>6,242</t>
  </si>
  <si>
    <t>A10150</t>
  </si>
  <si>
    <t>27/07/2025</t>
  </si>
  <si>
    <t>A10433</t>
  </si>
  <si>
    <t>P1399</t>
  </si>
  <si>
    <t>2 Aug 2025</t>
  </si>
  <si>
    <t>A10434</t>
  </si>
  <si>
    <t>2025-10-16</t>
  </si>
  <si>
    <t>A10287</t>
  </si>
  <si>
    <t>P1002</t>
  </si>
  <si>
    <t>A10378</t>
  </si>
  <si>
    <t>A10216</t>
  </si>
  <si>
    <t>6 Jul 2025</t>
  </si>
  <si>
    <t>21/07/2025</t>
  </si>
  <si>
    <t>2132 GBP</t>
  </si>
  <si>
    <t>A10154</t>
  </si>
  <si>
    <t>2025-05-30</t>
  </si>
  <si>
    <t>13078 GBP</t>
  </si>
  <si>
    <t>A10474</t>
  </si>
  <si>
    <t>11 May 2025</t>
  </si>
  <si>
    <t>A10450</t>
  </si>
  <si>
    <t>24/01/2025</t>
  </si>
  <si>
    <t>A10258</t>
  </si>
  <si>
    <t>A10022</t>
  </si>
  <si>
    <t>A10425</t>
  </si>
  <si>
    <t>P1178</t>
  </si>
  <si>
    <t>2025-01-01</t>
  </si>
  <si>
    <t>2025-01-04</t>
  </si>
  <si>
    <t>7,393</t>
  </si>
  <si>
    <t>A10021</t>
  </si>
  <si>
    <t>P1032</t>
  </si>
  <si>
    <t>2025-08-17</t>
  </si>
  <si>
    <t>A10401</t>
  </si>
  <si>
    <t>26/07/2025</t>
  </si>
  <si>
    <t>70 years</t>
  </si>
  <si>
    <t>A10240</t>
  </si>
  <si>
    <t>A10367</t>
  </si>
  <si>
    <t>2025-06-24</t>
  </si>
  <si>
    <t>A10324</t>
  </si>
  <si>
    <t>04/06/2025</t>
  </si>
  <si>
    <t>A10316</t>
  </si>
  <si>
    <t>9 May 2025</t>
  </si>
  <si>
    <t>30 years</t>
  </si>
  <si>
    <t>A10454</t>
  </si>
  <si>
    <t>P1290</t>
  </si>
  <si>
    <t>16 Dec 2025</t>
  </si>
  <si>
    <t>2026-01-02</t>
  </si>
  <si>
    <t>A10486</t>
  </si>
  <si>
    <t>A10286</t>
  </si>
  <si>
    <t>20 Jul 2025</t>
  </si>
  <si>
    <t>£12,716</t>
  </si>
  <si>
    <t>A10056</t>
  </si>
  <si>
    <t>2025-08-25</t>
  </si>
  <si>
    <t>17 days</t>
  </si>
  <si>
    <t>A10058</t>
  </si>
  <si>
    <t>P1092</t>
  </si>
  <si>
    <t>A10273</t>
  </si>
  <si>
    <t>P1261</t>
  </si>
  <si>
    <t>10/08/2025</t>
  </si>
  <si>
    <t>A10200</t>
  </si>
  <si>
    <t>P1021</t>
  </si>
  <si>
    <t>A10033</t>
  </si>
  <si>
    <t>A10382</t>
  </si>
  <si>
    <t>£6,000</t>
  </si>
  <si>
    <t>A10172</t>
  </si>
  <si>
    <t>20 Nov 2025</t>
  </si>
  <si>
    <t>A10262</t>
  </si>
  <si>
    <t>P1325</t>
  </si>
  <si>
    <t>07/05/2025</t>
  </si>
  <si>
    <t>A10180</t>
  </si>
  <si>
    <t>28/09/2025</t>
  </si>
  <si>
    <t>A10278</t>
  </si>
  <si>
    <t>P1128</t>
  </si>
  <si>
    <t>6 Sep 2025</t>
  </si>
  <si>
    <t>A10201</t>
  </si>
  <si>
    <t>£1,754</t>
  </si>
  <si>
    <t>A10331</t>
  </si>
  <si>
    <t>2025-01-06</t>
  </si>
  <si>
    <t>A10002</t>
  </si>
  <si>
    <t>06/10/2025</t>
  </si>
  <si>
    <t>£10,757</t>
  </si>
  <si>
    <t>A10272</t>
  </si>
  <si>
    <t>17/11/2025</t>
  </si>
  <si>
    <t>A10139</t>
  </si>
  <si>
    <t>04/02/2025</t>
  </si>
  <si>
    <t>A10233</t>
  </si>
  <si>
    <t>4 Oct 2025</t>
  </si>
  <si>
    <t>A10309</t>
  </si>
  <si>
    <t>2025-08-29</t>
  </si>
  <si>
    <t>A10190</t>
  </si>
  <si>
    <t>30 Aug 2025</t>
  </si>
  <si>
    <t>A10480</t>
  </si>
  <si>
    <t>P1033</t>
  </si>
  <si>
    <t>A10355</t>
  </si>
  <si>
    <t>14 Apr 2025</t>
  </si>
  <si>
    <t>A10380</t>
  </si>
  <si>
    <t>24 Feb 2025</t>
  </si>
  <si>
    <t>A10476</t>
  </si>
  <si>
    <t>9854 GBP</t>
  </si>
  <si>
    <t>A10482</t>
  </si>
  <si>
    <t>A10075</t>
  </si>
  <si>
    <t>A10242</t>
  </si>
  <si>
    <t>P1219</t>
  </si>
  <si>
    <t>2025-09-25</t>
  </si>
  <si>
    <t>6 years</t>
  </si>
  <si>
    <t>5,653</t>
  </si>
  <si>
    <t>A10347</t>
  </si>
  <si>
    <t>P1392</t>
  </si>
  <si>
    <t>13376 GBP</t>
  </si>
  <si>
    <t>A10441</t>
  </si>
  <si>
    <t>P1256</t>
  </si>
  <si>
    <t>6 May 2025</t>
  </si>
  <si>
    <t>A10462</t>
  </si>
  <si>
    <t>2025-10-17</t>
  </si>
  <si>
    <t>A10292</t>
  </si>
  <si>
    <t>17/07/2025</t>
  </si>
  <si>
    <t>25 Jul 2025</t>
  </si>
  <si>
    <t>82 years</t>
  </si>
  <si>
    <t>A10109</t>
  </si>
  <si>
    <t>P1280</t>
  </si>
  <si>
    <t>A10435</t>
  </si>
  <si>
    <t>P1058</t>
  </si>
  <si>
    <t>25/07/2025</t>
  </si>
  <si>
    <t>11/08/2025</t>
  </si>
  <si>
    <t>A10479</t>
  </si>
  <si>
    <t>P1050</t>
  </si>
  <si>
    <t>26 Feb 2025</t>
  </si>
  <si>
    <t>15/03/2025</t>
  </si>
  <si>
    <t>A10457</t>
  </si>
  <si>
    <t>2025-12-30</t>
  </si>
  <si>
    <t>£4,093</t>
  </si>
  <si>
    <t>A10170</t>
  </si>
  <si>
    <t>P1123</t>
  </si>
  <si>
    <t>03/04/2025</t>
  </si>
  <si>
    <t>A10424</t>
  </si>
  <si>
    <t>P1300</t>
  </si>
  <si>
    <t>28/11/2025</t>
  </si>
  <si>
    <t>A10136</t>
  </si>
  <si>
    <t>P1004</t>
  </si>
  <si>
    <t>2 May 2025</t>
  </si>
  <si>
    <t>15/05/2025</t>
  </si>
  <si>
    <t>A10442</t>
  </si>
  <si>
    <t>29 Mar 2025</t>
  </si>
  <si>
    <t>£10,395</t>
  </si>
  <si>
    <t>A10110</t>
  </si>
  <si>
    <t>9,098</t>
  </si>
  <si>
    <t>A10428</t>
  </si>
  <si>
    <t>14/06/2025</t>
  </si>
  <si>
    <t>11471 GBP</t>
  </si>
  <si>
    <t>A10205</t>
  </si>
  <si>
    <t>P1250</t>
  </si>
  <si>
    <t>15/01/2025</t>
  </si>
  <si>
    <t>A10395</t>
  </si>
  <si>
    <t>P1394</t>
  </si>
  <si>
    <t>15/07/2025</t>
  </si>
  <si>
    <t>A10498</t>
  </si>
  <si>
    <t>2025-09-24</t>
  </si>
  <si>
    <t>A10348</t>
  </si>
  <si>
    <t>2025-03-03</t>
  </si>
  <si>
    <t>7,647</t>
  </si>
  <si>
    <t>A10080</t>
  </si>
  <si>
    <t>P1390</t>
  </si>
  <si>
    <t>20 Mar 2025</t>
  </si>
  <si>
    <t>4 Apr 2025</t>
  </si>
  <si>
    <t>46 years</t>
  </si>
  <si>
    <t>A10089</t>
  </si>
  <si>
    <t>21 Mar 2025</t>
  </si>
  <si>
    <t>A10065</t>
  </si>
  <si>
    <t>20 Oct 2025</t>
  </si>
  <si>
    <t>13 years</t>
  </si>
  <si>
    <t>A10409</t>
  </si>
  <si>
    <t>A10142</t>
  </si>
  <si>
    <t>19/08/2025</t>
  </si>
  <si>
    <t>A10255</t>
  </si>
  <si>
    <t>11 Sep 2025</t>
  </si>
  <si>
    <t>A10497</t>
  </si>
  <si>
    <t>P1073</t>
  </si>
  <si>
    <t>7 Oct 2025</t>
  </si>
  <si>
    <t>£11,242</t>
  </si>
  <si>
    <t>A10310</t>
  </si>
  <si>
    <t>A10138</t>
  </si>
  <si>
    <t>20/04/2025</t>
  </si>
  <si>
    <t>A10027</t>
  </si>
  <si>
    <t>14/12/2025</t>
  </si>
  <si>
    <t>24 Dec 2025</t>
  </si>
  <si>
    <t>A10257</t>
  </si>
  <si>
    <t>18 Aug 2025</t>
  </si>
  <si>
    <t>A10082</t>
  </si>
  <si>
    <t>2025-10-05</t>
  </si>
  <si>
    <t>9,852</t>
  </si>
  <si>
    <t>A10325</t>
  </si>
  <si>
    <t>P1053</t>
  </si>
  <si>
    <t>A10140</t>
  </si>
  <si>
    <t>A10103</t>
  </si>
  <si>
    <t>18/11/2025</t>
  </si>
  <si>
    <t>A10231</t>
  </si>
  <si>
    <t>P1203</t>
  </si>
  <si>
    <t>A10271</t>
  </si>
  <si>
    <t>P1217</t>
  </si>
  <si>
    <t>8 Apr 2025</t>
  </si>
  <si>
    <t>£5,253</t>
  </si>
  <si>
    <t>Hospital data cleaning practice</t>
  </si>
  <si>
    <t>Source</t>
  </si>
  <si>
    <t>Generated fictional data. No real patients. 520 rows before cleaning.</t>
  </si>
  <si>
    <t>Row definition</t>
  </si>
  <si>
    <t>One hospital admission per Admission_ID. A patient may have multiple admissions.</t>
  </si>
  <si>
    <t>First step</t>
  </si>
  <si>
    <t>Copy Raw_Data to a new sheet named Cleaned_Data. Keep the original unchanged.</t>
  </si>
  <si>
    <t>Your task</t>
  </si>
  <si>
    <t>Clean the data yourself before creating any PivotTables or dashboard.</t>
  </si>
  <si>
    <t>Duplicates</t>
  </si>
  <si>
    <t>Check Admission_ID. Remove exact duplicate rows. Flag conflicting duplicates for review; do not choose blindly.</t>
  </si>
  <si>
    <t>Text</t>
  </si>
  <si>
    <t>Trim extra spaces and standardise department, diagnosis, doctor, funding and gender labels.</t>
  </si>
  <si>
    <t>Dates</t>
  </si>
  <si>
    <t>Source uses YYYY-MM-DD, DD/MM/YYYY and D Mon YYYY. Convert valid dates to real Excel dates.</t>
  </si>
  <si>
    <t>Invalid dates</t>
  </si>
  <si>
    <t>Flag impossible dates and discharge dates before admission. Do not invent replacement dates.</t>
  </si>
  <si>
    <t>Missing data</t>
  </si>
  <si>
    <t>Identify blanks and markers such as N/A, TBC, unknown and ?. Keep unresolved numeric values blank.</t>
  </si>
  <si>
    <t>Numbers</t>
  </si>
  <si>
    <t>Convert valid currency and age text to numbers. GBP is the cost unit; age is in whole years.</t>
  </si>
  <si>
    <t>Age review</t>
  </si>
  <si>
    <t>For this exercise, flag ages outside 0–110. Missing ages must not become zero.</t>
  </si>
  <si>
    <t>Cost review</t>
  </si>
  <si>
    <t>Flag negative costs. Investigate unusually large costs rather than deleting them automatically.</t>
  </si>
  <si>
    <t>Length of stay</t>
  </si>
  <si>
    <t>Define stay as discharge date minus admission date, in days. Compare to recorded stay; flag mismatches.</t>
  </si>
  <si>
    <t>Yes/No fields</t>
  </si>
  <si>
    <t>Map Y, yes and 1 to Yes; N, no and 0 to No. Preserve missing values as unknown.</t>
  </si>
  <si>
    <t>Bed field</t>
  </si>
  <si>
    <t>Bed_Occupied is a recorded admission flag. It cannot establish a hospital bed occupancy rate.</t>
  </si>
  <si>
    <t>Funding</t>
  </si>
  <si>
    <t>Insurance_Type is a funding category in this exercise: NHS, Private - BUPA or Self-Pay.</t>
  </si>
  <si>
    <t>Audit trail</t>
  </si>
  <si>
    <t>Record original row count, duplicate decisions, missing fields and unresolved issues.</t>
  </si>
  <si>
    <t>After cleaning</t>
  </si>
  <si>
    <t>Build PivotTables for admission counts, total recorded costs and average valid stay by department.</t>
  </si>
  <si>
    <t>Dashboard later</t>
  </si>
  <si>
    <t>Use at least three PivotCharts and two relevant slicers. State excluded or missing records.</t>
  </si>
  <si>
    <t>O1</t>
  </si>
  <si>
    <t>Date Check</t>
  </si>
  <si>
    <t>Cost check</t>
  </si>
  <si>
    <t>Length of stay days</t>
  </si>
  <si>
    <t>Calculated_stay_Days</t>
  </si>
  <si>
    <t>Stay_Check</t>
  </si>
  <si>
    <t>Yeses</t>
  </si>
  <si>
    <t xml:space="preserve">No </t>
  </si>
  <si>
    <t>TOTAL ADMISSION</t>
  </si>
  <si>
    <t>RECORDED COST</t>
  </si>
  <si>
    <t xml:space="preserve">ADMISSION WITH VALID STAY </t>
  </si>
  <si>
    <t>AVERAGE VALID STAY(DAYS)</t>
  </si>
  <si>
    <t>Fictional practice data, stay average uses 429 admission; 76 excluded due to missing or invalid dates. Costs exclude negative and include high value pending review.</t>
  </si>
  <si>
    <t>Row Labels</t>
  </si>
  <si>
    <t>(blank)</t>
  </si>
  <si>
    <t>Grand Total</t>
  </si>
  <si>
    <t>Count of Admission_ID</t>
  </si>
  <si>
    <t>Sum of Treatment_Cost_GBP</t>
  </si>
  <si>
    <t>(Multiple Items)</t>
  </si>
  <si>
    <t xml:space="preserve"> </t>
  </si>
  <si>
    <t>Average of Calculated_stay_Days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</si>
</sst>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0.0"/>
    <numFmt numFmtId="174" formatCode="&quot;£&quot;#,##0.00"/>
  </numFmts>
  <fonts count="5">
    <font>
      <sz val="11"/>
      <name val="Carlito"/>
    </font>
    <font>
      <sz val="10"/>
      <name val="Arial"/>
    </font>
    <font>
      <b/>
      <sz val="10"/>
      <color rgb="FFFFFFFF"/>
      <name val="Arial"/>
    </font>
    <font>
      <sz val="11"/>
      <name val="Arial"/>
    </font>
    <font>
      <b/>
      <sz val="15"/>
      <name val="Arial"/>
    </font>
  </fonts>
  <fills count="3">
    <fill>
      <patternFill patternType="none"/>
    </fill>
    <fill>
      <patternFill patternType="gray125"/>
    </fill>
    <fill>
      <patternFill patternType="solid">
        <fgColor rgb="FF2038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2" borderId="0" xfId="0" applyFont="1" applyFill="1" applyAlignment="1">
      <alignment wrapText="1"/>
    </xf>
    <xf numFmtId="0" fontId="4" fillId="0" borderId="0" xfId="0" applyFont="1" applyAlignment="1">
      <alignment wrapText="1"/>
    </xf>
    <xf numFmtId="0" fontId="3" fillId="0" borderId="0" xfId="0" applyFont="1" applyAlignment="1">
      <alignment wrapText="1"/>
    </xf>
    <xf numFmtId="14" fontId="1" fillId="0" borderId="0" xfId="0" applyNumberFormat="1" applyFont="1"/>
    <xf numFmtId="14" fontId="2" fillId="2" borderId="0" xfId="0" applyNumberFormat="1" applyFont="1" applyFill="1" applyAlignment="1">
      <alignment wrapText="1"/>
    </xf>
    <xf numFmtId="14" fontId="0" fillId="0" borderId="0" xfId="0" applyNumberFormat="1"/>
    <xf numFmtId="3" fontId="1" fillId="0" borderId="0" xfId="0" applyNumberFormat="1" applyFont="1"/>
    <xf numFmtId="172" fontId="0" fillId="0" borderId="0" xfId="0" applyNumberFormat="1"/>
    <xf numFmtId="17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[UK Hospital_Raw_Data_Cleanin(SAMPLE).xlsx]Cost by Department!PivotTable1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by Department'!$B$3</c:f>
              <c:strCache>
                <c:ptCount val="1"/>
                <c:pt idx="0">
                  <c:v>Total</c:v>
                </c:pt>
              </c:strCache>
            </c:strRef>
          </c:tx>
          <c:spPr>
            <a:solidFill>
              <a:schemeClr val="accent1"/>
            </a:solidFill>
            <a:ln>
              <a:noFill/>
            </a:ln>
            <a:effectLst/>
          </c:spPr>
          <c:invertIfNegative val="0"/>
          <c:cat>
            <c:strRef>
              <c:f>'Cost by Department'!$A$4:$A$11</c:f>
              <c:strCache>
                <c:ptCount val="7"/>
                <c:pt idx="0">
                  <c:v>Cardiology</c:v>
                </c:pt>
                <c:pt idx="1">
                  <c:v>Emergency</c:v>
                </c:pt>
                <c:pt idx="2">
                  <c:v>General Medicine</c:v>
                </c:pt>
                <c:pt idx="3">
                  <c:v>Oncology</c:v>
                </c:pt>
                <c:pt idx="4">
                  <c:v>Orthopaedics</c:v>
                </c:pt>
                <c:pt idx="5">
                  <c:v>Paediatrics</c:v>
                </c:pt>
                <c:pt idx="6">
                  <c:v>(blank)</c:v>
                </c:pt>
              </c:strCache>
            </c:strRef>
          </c:cat>
          <c:val>
            <c:numRef>
              <c:f>'Cost by Department'!$B$4:$B$11</c:f>
              <c:numCache>
                <c:formatCode>General</c:formatCode>
                <c:ptCount val="7"/>
                <c:pt idx="0">
                  <c:v>661619</c:v>
                </c:pt>
                <c:pt idx="1">
                  <c:v>540710</c:v>
                </c:pt>
                <c:pt idx="2">
                  <c:v>1452858</c:v>
                </c:pt>
                <c:pt idx="3">
                  <c:v>1139674</c:v>
                </c:pt>
                <c:pt idx="4">
                  <c:v>2010611</c:v>
                </c:pt>
                <c:pt idx="5">
                  <c:v>436183</c:v>
                </c:pt>
                <c:pt idx="6">
                  <c:v>818551</c:v>
                </c:pt>
              </c:numCache>
            </c:numRef>
          </c:val>
          <c:extLst>
            <c:ext xmlns:c16="http://schemas.microsoft.com/office/drawing/2014/chart" uri="{C3380CC4-5D6E-409C-BE32-E72D297353CC}">
              <c16:uniqueId val="{00000001-365D-46B4-997B-C4736133ECCD}"/>
            </c:ext>
          </c:extLst>
        </c:ser>
        <c:dLbls>
          <c:showLegendKey val="0"/>
          <c:showVal val="0"/>
          <c:showCatName val="0"/>
          <c:showSerName val="0"/>
          <c:showPercent val="0"/>
          <c:showBubbleSize val="0"/>
        </c:dLbls>
        <c:gapWidth val="219"/>
        <c:overlap val="-27"/>
        <c:axId val="916871168"/>
        <c:axId val="547844800"/>
      </c:barChart>
      <c:catAx>
        <c:axId val="91687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844800"/>
        <c:crosses val="autoZero"/>
        <c:auto val="1"/>
        <c:lblAlgn val="ctr"/>
        <c:lblOffset val="100"/>
        <c:noMultiLvlLbl val="0"/>
      </c:catAx>
      <c:valAx>
        <c:axId val="54784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87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[UK Hospital_Raw_Data_Cleanin(SAMPLE).xlsx]Average stay!PivotTable2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Valid Stay by Dept.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stay'!$B$3</c:f>
              <c:strCache>
                <c:ptCount val="1"/>
                <c:pt idx="0">
                  <c:v>Total</c:v>
                </c:pt>
              </c:strCache>
            </c:strRef>
          </c:tx>
          <c:spPr>
            <a:solidFill>
              <a:schemeClr val="accent1"/>
            </a:solidFill>
            <a:ln>
              <a:noFill/>
            </a:ln>
            <a:effectLst/>
          </c:spPr>
          <c:invertIfNegative val="0"/>
          <c:cat>
            <c:strRef>
              <c:f>'Average stay'!$A$4:$A$11</c:f>
              <c:strCache>
                <c:ptCount val="7"/>
                <c:pt idx="0">
                  <c:v>Cardiology</c:v>
                </c:pt>
                <c:pt idx="1">
                  <c:v>Emergency</c:v>
                </c:pt>
                <c:pt idx="2">
                  <c:v>General Medicine</c:v>
                </c:pt>
                <c:pt idx="3">
                  <c:v>Oncology</c:v>
                </c:pt>
                <c:pt idx="4">
                  <c:v>Orthopaedics</c:v>
                </c:pt>
                <c:pt idx="5">
                  <c:v>Paediatrics</c:v>
                </c:pt>
                <c:pt idx="6">
                  <c:v>(blank)</c:v>
                </c:pt>
              </c:strCache>
            </c:strRef>
          </c:cat>
          <c:val>
            <c:numRef>
              <c:f>'Average stay'!$B$4:$B$11</c:f>
              <c:numCache>
                <c:formatCode>General</c:formatCode>
                <c:ptCount val="7"/>
                <c:pt idx="0">
                  <c:v>11.155844155844155</c:v>
                </c:pt>
                <c:pt idx="1">
                  <c:v>10.012658227848101</c:v>
                </c:pt>
                <c:pt idx="2">
                  <c:v>11.219512195121951</c:v>
                </c:pt>
                <c:pt idx="3">
                  <c:v>10.684210526315789</c:v>
                </c:pt>
                <c:pt idx="4">
                  <c:v>9.9499999999999993</c:v>
                </c:pt>
                <c:pt idx="5">
                  <c:v>10.698412698412698</c:v>
                </c:pt>
                <c:pt idx="6">
                  <c:v>14.272727272727273</c:v>
                </c:pt>
              </c:numCache>
            </c:numRef>
          </c:val>
          <c:extLst>
            <c:ext xmlns:c16="http://schemas.microsoft.com/office/drawing/2014/chart" uri="{C3380CC4-5D6E-409C-BE32-E72D297353CC}">
              <c16:uniqueId val="{00000000-B9CD-4B6F-A6F3-D7E4F00D41E0}"/>
            </c:ext>
          </c:extLst>
        </c:ser>
        <c:dLbls>
          <c:showLegendKey val="0"/>
          <c:showVal val="0"/>
          <c:showCatName val="0"/>
          <c:showSerName val="0"/>
          <c:showPercent val="0"/>
          <c:showBubbleSize val="0"/>
        </c:dLbls>
        <c:gapWidth val="219"/>
        <c:overlap val="-27"/>
        <c:axId val="963155904"/>
        <c:axId val="547808320"/>
      </c:barChart>
      <c:catAx>
        <c:axId val="96315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808320"/>
        <c:crosses val="autoZero"/>
        <c:auto val="1"/>
        <c:lblAlgn val="ctr"/>
        <c:lblOffset val="100"/>
        <c:noMultiLvlLbl val="0"/>
      </c:catAx>
      <c:valAx>
        <c:axId val="54780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15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[UK Hospital_Raw_Data_Cleanin(SAMPLE).xlsx]Admissions by dept!PivotTable1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'Admissions by dept'!$B$3</c:f>
              <c:strCache>
                <c:ptCount val="1"/>
                <c:pt idx="0">
                  <c:v>Total</c:v>
                </c:pt>
              </c:strCache>
            </c:strRef>
          </c:tx>
          <c:spPr>
            <a:solidFill>
              <a:schemeClr val="accent1"/>
            </a:solidFill>
            <a:ln>
              <a:noFill/>
            </a:ln>
            <a:effectLst/>
          </c:spPr>
          <c:invertIfNegative val="0"/>
          <c:cat>
            <c:strRef>
              <c:f>'Admissions by dept'!$A$4:$A$11</c:f>
              <c:strCache>
                <c:ptCount val="7"/>
                <c:pt idx="0">
                  <c:v>Cardiology</c:v>
                </c:pt>
                <c:pt idx="1">
                  <c:v>Emergency</c:v>
                </c:pt>
                <c:pt idx="2">
                  <c:v>General Medicine</c:v>
                </c:pt>
                <c:pt idx="3">
                  <c:v>Oncology</c:v>
                </c:pt>
                <c:pt idx="4">
                  <c:v>Orthopaedics</c:v>
                </c:pt>
                <c:pt idx="5">
                  <c:v>Paediatrics</c:v>
                </c:pt>
                <c:pt idx="6">
                  <c:v>(blank)</c:v>
                </c:pt>
              </c:strCache>
            </c:strRef>
          </c:cat>
          <c:val>
            <c:numRef>
              <c:f>'Admissions by dept'!$B$4:$B$11</c:f>
              <c:numCache>
                <c:formatCode>General</c:formatCode>
                <c:ptCount val="7"/>
                <c:pt idx="0">
                  <c:v>92</c:v>
                </c:pt>
                <c:pt idx="1">
                  <c:v>87</c:v>
                </c:pt>
                <c:pt idx="2">
                  <c:v>99</c:v>
                </c:pt>
                <c:pt idx="3">
                  <c:v>66</c:v>
                </c:pt>
                <c:pt idx="4">
                  <c:v>74</c:v>
                </c:pt>
                <c:pt idx="5">
                  <c:v>75</c:v>
                </c:pt>
                <c:pt idx="6">
                  <c:v>12</c:v>
                </c:pt>
              </c:numCache>
            </c:numRef>
          </c:val>
          <c:extLst>
            <c:ext xmlns:c16="http://schemas.microsoft.com/office/drawing/2014/chart" uri="{C3380CC4-5D6E-409C-BE32-E72D297353CC}">
              <c16:uniqueId val="{00000000-7AE2-4C38-B0F7-CDE9D5CF7A0B}"/>
            </c:ext>
          </c:extLst>
        </c:ser>
        <c:dLbls>
          <c:showLegendKey val="0"/>
          <c:showVal val="0"/>
          <c:showCatName val="0"/>
          <c:showSerName val="0"/>
          <c:showPercent val="0"/>
          <c:showBubbleSize val="0"/>
        </c:dLbls>
        <c:gapWidth val="219"/>
        <c:overlap val="-27"/>
        <c:axId val="916871168"/>
        <c:axId val="547844800"/>
      </c:barChart>
      <c:catAx>
        <c:axId val="91687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844800"/>
        <c:crosses val="autoZero"/>
        <c:auto val="1"/>
        <c:lblAlgn val="ctr"/>
        <c:lblOffset val="100"/>
        <c:noMultiLvlLbl val="0"/>
      </c:catAx>
      <c:valAx>
        <c:axId val="54784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87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[UK Hospital_Raw_Data_Cleanin(SAMPLE).xlsx]Cost by Department!PivotTable1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Recorded</a:t>
            </a:r>
            <a:r>
              <a:rPr lang="en-US" baseline="0"/>
              <a:t> Treatment Cost by Dept.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by Department'!$B$3</c:f>
              <c:strCache>
                <c:ptCount val="1"/>
                <c:pt idx="0">
                  <c:v>Total</c:v>
                </c:pt>
              </c:strCache>
            </c:strRef>
          </c:tx>
          <c:spPr>
            <a:solidFill>
              <a:schemeClr val="accent1"/>
            </a:solidFill>
            <a:ln>
              <a:noFill/>
            </a:ln>
            <a:effectLst/>
          </c:spPr>
          <c:invertIfNegative val="0"/>
          <c:cat>
            <c:strRef>
              <c:f>'Cost by Department'!$A$4:$A$11</c:f>
              <c:strCache>
                <c:ptCount val="7"/>
                <c:pt idx="0">
                  <c:v>Cardiology</c:v>
                </c:pt>
                <c:pt idx="1">
                  <c:v>Emergency</c:v>
                </c:pt>
                <c:pt idx="2">
                  <c:v>General Medicine</c:v>
                </c:pt>
                <c:pt idx="3">
                  <c:v>Oncology</c:v>
                </c:pt>
                <c:pt idx="4">
                  <c:v>Orthopaedics</c:v>
                </c:pt>
                <c:pt idx="5">
                  <c:v>Paediatrics</c:v>
                </c:pt>
                <c:pt idx="6">
                  <c:v>(blank)</c:v>
                </c:pt>
              </c:strCache>
            </c:strRef>
          </c:cat>
          <c:val>
            <c:numRef>
              <c:f>'Cost by Department'!$B$4:$B$11</c:f>
              <c:numCache>
                <c:formatCode>General</c:formatCode>
                <c:ptCount val="7"/>
                <c:pt idx="0">
                  <c:v>661619</c:v>
                </c:pt>
                <c:pt idx="1">
                  <c:v>540710</c:v>
                </c:pt>
                <c:pt idx="2">
                  <c:v>1452858</c:v>
                </c:pt>
                <c:pt idx="3">
                  <c:v>1139674</c:v>
                </c:pt>
                <c:pt idx="4">
                  <c:v>2010611</c:v>
                </c:pt>
                <c:pt idx="5">
                  <c:v>436183</c:v>
                </c:pt>
                <c:pt idx="6">
                  <c:v>818551</c:v>
                </c:pt>
              </c:numCache>
            </c:numRef>
          </c:val>
          <c:extLst>
            <c:ext xmlns:c16="http://schemas.microsoft.com/office/drawing/2014/chart" uri="{C3380CC4-5D6E-409C-BE32-E72D297353CC}">
              <c16:uniqueId val="{00000000-94D5-4B2D-A379-902B86D414BC}"/>
            </c:ext>
          </c:extLst>
        </c:ser>
        <c:dLbls>
          <c:showLegendKey val="0"/>
          <c:showVal val="0"/>
          <c:showCatName val="0"/>
          <c:showSerName val="0"/>
          <c:showPercent val="0"/>
          <c:showBubbleSize val="0"/>
        </c:dLbls>
        <c:gapWidth val="219"/>
        <c:overlap val="-27"/>
        <c:axId val="916871168"/>
        <c:axId val="547844800"/>
      </c:barChart>
      <c:catAx>
        <c:axId val="91687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844800"/>
        <c:crosses val="autoZero"/>
        <c:auto val="1"/>
        <c:lblAlgn val="ctr"/>
        <c:lblOffset val="100"/>
        <c:noMultiLvlLbl val="0"/>
      </c:catAx>
      <c:valAx>
        <c:axId val="54784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87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[UK Hospital_Raw_Data_Cleanin(SAMPLE).xlsx]Average stay!PivotTable2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Valid Stay by Dept.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stay'!$B$3</c:f>
              <c:strCache>
                <c:ptCount val="1"/>
                <c:pt idx="0">
                  <c:v>Total</c:v>
                </c:pt>
              </c:strCache>
            </c:strRef>
          </c:tx>
          <c:spPr>
            <a:solidFill>
              <a:schemeClr val="accent1"/>
            </a:solidFill>
            <a:ln>
              <a:noFill/>
            </a:ln>
            <a:effectLst/>
          </c:spPr>
          <c:invertIfNegative val="0"/>
          <c:cat>
            <c:strRef>
              <c:f>'Average stay'!$A$4:$A$11</c:f>
              <c:strCache>
                <c:ptCount val="7"/>
                <c:pt idx="0">
                  <c:v>Cardiology</c:v>
                </c:pt>
                <c:pt idx="1">
                  <c:v>Emergency</c:v>
                </c:pt>
                <c:pt idx="2">
                  <c:v>General Medicine</c:v>
                </c:pt>
                <c:pt idx="3">
                  <c:v>Oncology</c:v>
                </c:pt>
                <c:pt idx="4">
                  <c:v>Orthopaedics</c:v>
                </c:pt>
                <c:pt idx="5">
                  <c:v>Paediatrics</c:v>
                </c:pt>
                <c:pt idx="6">
                  <c:v>(blank)</c:v>
                </c:pt>
              </c:strCache>
            </c:strRef>
          </c:cat>
          <c:val>
            <c:numRef>
              <c:f>'Average stay'!$B$4:$B$11</c:f>
              <c:numCache>
                <c:formatCode>General</c:formatCode>
                <c:ptCount val="7"/>
                <c:pt idx="0">
                  <c:v>11.155844155844155</c:v>
                </c:pt>
                <c:pt idx="1">
                  <c:v>10.012658227848101</c:v>
                </c:pt>
                <c:pt idx="2">
                  <c:v>11.219512195121951</c:v>
                </c:pt>
                <c:pt idx="3">
                  <c:v>10.684210526315789</c:v>
                </c:pt>
                <c:pt idx="4">
                  <c:v>9.9499999999999993</c:v>
                </c:pt>
                <c:pt idx="5">
                  <c:v>10.698412698412698</c:v>
                </c:pt>
                <c:pt idx="6">
                  <c:v>14.272727272727273</c:v>
                </c:pt>
              </c:numCache>
            </c:numRef>
          </c:val>
          <c:extLst>
            <c:ext xmlns:c16="http://schemas.microsoft.com/office/drawing/2014/chart" uri="{C3380CC4-5D6E-409C-BE32-E72D297353CC}">
              <c16:uniqueId val="{00000000-F1D4-4884-94DC-93CDAE9209F8}"/>
            </c:ext>
          </c:extLst>
        </c:ser>
        <c:dLbls>
          <c:showLegendKey val="0"/>
          <c:showVal val="0"/>
          <c:showCatName val="0"/>
          <c:showSerName val="0"/>
          <c:showPercent val="0"/>
          <c:showBubbleSize val="0"/>
        </c:dLbls>
        <c:gapWidth val="219"/>
        <c:overlap val="-27"/>
        <c:axId val="963155904"/>
        <c:axId val="547808320"/>
      </c:barChart>
      <c:catAx>
        <c:axId val="96315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808320"/>
        <c:crosses val="autoZero"/>
        <c:auto val="1"/>
        <c:lblAlgn val="ctr"/>
        <c:lblOffset val="100"/>
        <c:noMultiLvlLbl val="0"/>
      </c:catAx>
      <c:valAx>
        <c:axId val="54780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15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[UK Hospital_Raw_Data_Cleanin(SAMPLE).xlsx]Admissions by dept!PivotTable1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Admission</a:t>
            </a:r>
            <a:r>
              <a:rPr lang="en-US" baseline="0"/>
              <a:t> by Deprtment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'Admissions by dept'!$B$3</c:f>
              <c:strCache>
                <c:ptCount val="1"/>
                <c:pt idx="0">
                  <c:v>Total</c:v>
                </c:pt>
              </c:strCache>
            </c:strRef>
          </c:tx>
          <c:spPr>
            <a:solidFill>
              <a:schemeClr val="accent1"/>
            </a:solidFill>
            <a:ln>
              <a:noFill/>
            </a:ln>
            <a:effectLst/>
          </c:spPr>
          <c:invertIfNegative val="0"/>
          <c:cat>
            <c:strRef>
              <c:f>'Admissions by dept'!$A$4:$A$11</c:f>
              <c:strCache>
                <c:ptCount val="7"/>
                <c:pt idx="0">
                  <c:v>Cardiology</c:v>
                </c:pt>
                <c:pt idx="1">
                  <c:v>Emergency</c:v>
                </c:pt>
                <c:pt idx="2">
                  <c:v>General Medicine</c:v>
                </c:pt>
                <c:pt idx="3">
                  <c:v>Oncology</c:v>
                </c:pt>
                <c:pt idx="4">
                  <c:v>Orthopaedics</c:v>
                </c:pt>
                <c:pt idx="5">
                  <c:v>Paediatrics</c:v>
                </c:pt>
                <c:pt idx="6">
                  <c:v>(blank)</c:v>
                </c:pt>
              </c:strCache>
            </c:strRef>
          </c:cat>
          <c:val>
            <c:numRef>
              <c:f>'Admissions by dept'!$B$4:$B$11</c:f>
              <c:numCache>
                <c:formatCode>General</c:formatCode>
                <c:ptCount val="7"/>
                <c:pt idx="0">
                  <c:v>92</c:v>
                </c:pt>
                <c:pt idx="1">
                  <c:v>87</c:v>
                </c:pt>
                <c:pt idx="2">
                  <c:v>99</c:v>
                </c:pt>
                <c:pt idx="3">
                  <c:v>66</c:v>
                </c:pt>
                <c:pt idx="4">
                  <c:v>74</c:v>
                </c:pt>
                <c:pt idx="5">
                  <c:v>75</c:v>
                </c:pt>
                <c:pt idx="6">
                  <c:v>12</c:v>
                </c:pt>
              </c:numCache>
            </c:numRef>
          </c:val>
          <c:extLst>
            <c:ext xmlns:c16="http://schemas.microsoft.com/office/drawing/2014/chart" uri="{C3380CC4-5D6E-409C-BE32-E72D297353CC}">
              <c16:uniqueId val="{00000000-731A-4627-88CF-E3C70C317AAE}"/>
            </c:ext>
          </c:extLst>
        </c:ser>
        <c:dLbls>
          <c:showLegendKey val="0"/>
          <c:showVal val="0"/>
          <c:showCatName val="0"/>
          <c:showSerName val="0"/>
          <c:showPercent val="0"/>
          <c:showBubbleSize val="0"/>
        </c:dLbls>
        <c:gapWidth val="219"/>
        <c:overlap val="-27"/>
        <c:axId val="916871168"/>
        <c:axId val="547844800"/>
      </c:barChart>
      <c:catAx>
        <c:axId val="91687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844800"/>
        <c:crosses val="autoZero"/>
        <c:auto val="1"/>
        <c:lblAlgn val="ctr"/>
        <c:lblOffset val="100"/>
        <c:noMultiLvlLbl val="0"/>
      </c:catAx>
      <c:valAx>
        <c:axId val="54784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87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661987</xdr:colOff>
      <xdr:row>1</xdr:row>
      <xdr:rowOff>133350</xdr:rowOff>
    </xdr:from>
    <xdr:to>
      <xdr:col>10</xdr:col>
      <xdr:colOff>190500</xdr:colOff>
      <xdr:row>14</xdr:row>
      <xdr:rowOff>85725</xdr:rowOff>
    </xdr:to>
    <xdr:graphicFrame macro="">
      <xdr:nvGraphicFramePr>
        <xdr:cNvPr id="2" name="Chart 1">
          <a:extLst>
            <a:ext uri="{FF2B5EF4-FFF2-40B4-BE49-F238E27FC236}">
              <a16:creationId xmlns:a16="http://schemas.microsoft.com/office/drawing/2014/main" id="{70160C04-E158-48BA-8F21-D29285599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90487</xdr:colOff>
      <xdr:row>14</xdr:row>
      <xdr:rowOff>133350</xdr:rowOff>
    </xdr:from>
    <xdr:to>
      <xdr:col>10</xdr:col>
      <xdr:colOff>547687</xdr:colOff>
      <xdr:row>29</xdr:row>
      <xdr:rowOff>161925</xdr:rowOff>
    </xdr:to>
    <xdr:graphicFrame macro="">
      <xdr:nvGraphicFramePr>
        <xdr:cNvPr id="2" name="Chart 1">
          <a:extLst>
            <a:ext uri="{FF2B5EF4-FFF2-40B4-BE49-F238E27FC236}">
              <a16:creationId xmlns:a16="http://schemas.microsoft.com/office/drawing/2014/main" id="{F6AA28F8-B64A-DADD-AC43-00076942A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661987</xdr:colOff>
      <xdr:row>1</xdr:row>
      <xdr:rowOff>133350</xdr:rowOff>
    </xdr:from>
    <xdr:to>
      <xdr:col>10</xdr:col>
      <xdr:colOff>190500</xdr:colOff>
      <xdr:row>14</xdr:row>
      <xdr:rowOff>85725</xdr:rowOff>
    </xdr:to>
    <xdr:graphicFrame macro="">
      <xdr:nvGraphicFramePr>
        <xdr:cNvPr id="2" name="Chart 1">
          <a:extLst>
            <a:ext uri="{FF2B5EF4-FFF2-40B4-BE49-F238E27FC236}">
              <a16:creationId xmlns:a16="http://schemas.microsoft.com/office/drawing/2014/main" id="{6970A528-C024-9E32-1A00-0620AE302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247650</xdr:colOff>
      <xdr:row>2</xdr:row>
      <xdr:rowOff>66675</xdr:rowOff>
    </xdr:from>
    <xdr:to>
      <xdr:col>21</xdr:col>
      <xdr:colOff>533400</xdr:colOff>
      <xdr:row>7</xdr:row>
      <xdr:rowOff>0</xdr:rowOff>
    </xdr:to>
    <xdr:sp macro="" textlink="">
      <xdr:nvSpPr>
        <xdr:cNvPr id="2" name="Rectangle 1">
          <a:extLst>
            <a:ext uri="{FF2B5EF4-FFF2-40B4-BE49-F238E27FC236}">
              <a16:creationId xmlns:a16="http://schemas.microsoft.com/office/drawing/2014/main" id="{E5464A72-2CF8-2052-96B7-9DCAECE0EB0C}"/>
            </a:ext>
          </a:extLst>
        </xdr:cNvPr>
        <xdr:cNvSpPr/>
      </xdr:nvSpPr>
      <xdr:spPr>
        <a:xfrm>
          <a:off x="4362450" y="428625"/>
          <a:ext cx="10572750" cy="838200"/>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4800" b="1">
              <a:solidFill>
                <a:schemeClr val="bg2"/>
              </a:solidFill>
            </a:rPr>
            <a:t>UK HOSPITAL ADMISSION DASHBOARD</a:t>
          </a:r>
        </a:p>
      </xdr:txBody>
    </xdr:sp>
    <xdr:clientData/>
  </xdr:twoCellAnchor>
  <xdr:twoCellAnchor>
    <xdr:from>
      <xdr:col>12</xdr:col>
      <xdr:colOff>681893</xdr:colOff>
      <xdr:row>18</xdr:row>
      <xdr:rowOff>213</xdr:rowOff>
    </xdr:from>
    <xdr:to>
      <xdr:col>18</xdr:col>
      <xdr:colOff>684943</xdr:colOff>
      <xdr:row>33</xdr:row>
      <xdr:rowOff>171236</xdr:rowOff>
    </xdr:to>
    <xdr:graphicFrame macro="">
      <xdr:nvGraphicFramePr>
        <xdr:cNvPr id="4" name="Chart 3">
          <a:extLst>
            <a:ext uri="{FF2B5EF4-FFF2-40B4-BE49-F238E27FC236}">
              <a16:creationId xmlns:a16="http://schemas.microsoft.com/office/drawing/2014/main" id="{BC734C1E-3F1C-48EF-ABFC-040457D95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0</xdr:colOff>
      <xdr:row>17</xdr:row>
      <xdr:rowOff>160534</xdr:rowOff>
    </xdr:from>
    <xdr:to>
      <xdr:col>25</xdr:col>
      <xdr:colOff>684942</xdr:colOff>
      <xdr:row>34</xdr:row>
      <xdr:rowOff>21403</xdr:rowOff>
    </xdr:to>
    <xdr:graphicFrame macro="">
      <xdr:nvGraphicFramePr>
        <xdr:cNvPr id="6" name="Chart 5">
          <a:extLst>
            <a:ext uri="{FF2B5EF4-FFF2-40B4-BE49-F238E27FC236}">
              <a16:creationId xmlns:a16="http://schemas.microsoft.com/office/drawing/2014/main" id="{474B6382-DC1C-41CD-97CE-05B2697A3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837879</xdr:colOff>
      <xdr:row>8</xdr:row>
      <xdr:rowOff>1</xdr:rowOff>
    </xdr:from>
    <xdr:to>
      <xdr:col>8</xdr:col>
      <xdr:colOff>663540</xdr:colOff>
      <xdr:row>10</xdr:row>
      <xdr:rowOff>1</xdr:rowOff>
    </xdr:to>
    <xdr:sp macro="" textlink="KPI!A3">
      <xdr:nvSpPr>
        <xdr:cNvPr id="7" name="Rectangle 6">
          <a:extLst>
            <a:ext uri="{FF2B5EF4-FFF2-40B4-BE49-F238E27FC236}">
              <a16:creationId xmlns:a16="http://schemas.microsoft.com/office/drawing/2014/main" id="{A8184082-6A17-308D-2CEA-1FEF4A0D9E29}"/>
            </a:ext>
          </a:extLst>
        </xdr:cNvPr>
        <xdr:cNvSpPr/>
      </xdr:nvSpPr>
      <xdr:spPr>
        <a:xfrm>
          <a:off x="4947542" y="1455507"/>
          <a:ext cx="1955408" cy="363876"/>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80255AF-52F0-4F60-B012-25E92960EF16}" type="TxLink">
            <a:rPr lang="en-US" sz="12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t>Total Admissions: 505</a:t>
          </a:fld>
          <a:endParaRPr lang="en-GB" sz="12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3</xdr:col>
      <xdr:colOff>235022</xdr:colOff>
      <xdr:row>14</xdr:row>
      <xdr:rowOff>963</xdr:rowOff>
    </xdr:from>
    <xdr:to>
      <xdr:col>6</xdr:col>
      <xdr:colOff>8990</xdr:colOff>
      <xdr:row>27</xdr:row>
      <xdr:rowOff>159892</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32748CC3-5D07-8552-7F0A-AF2BCE035F9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289853" y="2548098"/>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240373</xdr:colOff>
      <xdr:row>30</xdr:row>
      <xdr:rowOff>49124</xdr:rowOff>
    </xdr:from>
    <xdr:to>
      <xdr:col>6</xdr:col>
      <xdr:colOff>14341</xdr:colOff>
      <xdr:row>44</xdr:row>
      <xdr:rowOff>26114</xdr:rowOff>
    </xdr:to>
    <mc:AlternateContent xmlns:mc="http://schemas.openxmlformats.org/markup-compatibility/2006">
      <mc:Choice xmlns:a14="http://schemas.microsoft.com/office/drawing/2010/main" Requires="a14">
        <xdr:graphicFrame macro="">
          <xdr:nvGraphicFramePr>
            <xdr:cNvPr id="9" name="Insurance_Type">
              <a:extLst>
                <a:ext uri="{FF2B5EF4-FFF2-40B4-BE49-F238E27FC236}">
                  <a16:creationId xmlns:a16="http://schemas.microsoft.com/office/drawing/2014/main" id="{ED0958DF-DC44-E876-064D-EF216CDAB491}"/>
                </a:ext>
              </a:extLst>
            </xdr:cNvPr>
            <xdr:cNvGraphicFramePr/>
          </xdr:nvGraphicFramePr>
          <xdr:xfrm>
            <a:off x="0" y="0"/>
            <a:ext cx="0" cy="0"/>
          </xdr:xfrm>
          <a:graphic>
            <a:graphicData uri="http://schemas.microsoft.com/office/drawing/2010/slicer">
              <sle:slicer xmlns:sle="http://schemas.microsoft.com/office/drawing/2010/slicer" name="Insurance_Type"/>
            </a:graphicData>
          </a:graphic>
        </xdr:graphicFrame>
      </mc:Choice>
      <mc:Fallback>
        <xdr:sp macro="" textlink="">
          <xdr:nvSpPr>
            <xdr:cNvPr id="0" name=""/>
            <xdr:cNvSpPr>
              <a:spLocks noTextEdit="1"/>
            </xdr:cNvSpPr>
          </xdr:nvSpPr>
          <xdr:spPr>
            <a:xfrm>
              <a:off x="2295204" y="550727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460197</xdr:colOff>
      <xdr:row>8</xdr:row>
      <xdr:rowOff>0</xdr:rowOff>
    </xdr:from>
    <xdr:to>
      <xdr:col>12</xdr:col>
      <xdr:colOff>360774</xdr:colOff>
      <xdr:row>10</xdr:row>
      <xdr:rowOff>0</xdr:rowOff>
    </xdr:to>
    <xdr:sp macro="" textlink="KPI!C3">
      <xdr:nvSpPr>
        <xdr:cNvPr id="11" name="Rectangle 10">
          <a:extLst>
            <a:ext uri="{FF2B5EF4-FFF2-40B4-BE49-F238E27FC236}">
              <a16:creationId xmlns:a16="http://schemas.microsoft.com/office/drawing/2014/main" id="{41E521B3-7197-4B3B-8758-3D7196295BC9}"/>
            </a:ext>
          </a:extLst>
        </xdr:cNvPr>
        <xdr:cNvSpPr/>
      </xdr:nvSpPr>
      <xdr:spPr>
        <a:xfrm>
          <a:off x="7384551" y="1455506"/>
          <a:ext cx="1955408" cy="363876"/>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CA37796-A05F-4511-8192-CF5FFFE3A856}" type="TxLink">
            <a:rPr lang="en-US" sz="11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t>Average Valid Stay: 10.7 days</a:t>
          </a:fld>
          <a:endParaRPr lang="en-GB" sz="11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13</xdr:col>
      <xdr:colOff>267556</xdr:colOff>
      <xdr:row>8</xdr:row>
      <xdr:rowOff>0</xdr:rowOff>
    </xdr:from>
    <xdr:to>
      <xdr:col>16</xdr:col>
      <xdr:colOff>168132</xdr:colOff>
      <xdr:row>10</xdr:row>
      <xdr:rowOff>0</xdr:rowOff>
    </xdr:to>
    <xdr:sp macro="" textlink="KPI!E3">
      <xdr:nvSpPr>
        <xdr:cNvPr id="12" name="Rectangle 11">
          <a:extLst>
            <a:ext uri="{FF2B5EF4-FFF2-40B4-BE49-F238E27FC236}">
              <a16:creationId xmlns:a16="http://schemas.microsoft.com/office/drawing/2014/main" id="{737A1CF3-1C5E-46B6-B249-A3E6C8F6EF1A}"/>
            </a:ext>
          </a:extLst>
        </xdr:cNvPr>
        <xdr:cNvSpPr/>
      </xdr:nvSpPr>
      <xdr:spPr>
        <a:xfrm>
          <a:off x="9931685" y="1455506"/>
          <a:ext cx="1955408" cy="363876"/>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68884DA-5172-4DE0-9EAA-76B88B56F430}" type="TxLink">
            <a:rPr lang="en-US" sz="10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t>Recorded Cost: £7,060,206</a:t>
          </a:fld>
          <a:endParaRPr lang="en-GB" sz="10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17</xdr:col>
      <xdr:colOff>64214</xdr:colOff>
      <xdr:row>8</xdr:row>
      <xdr:rowOff>0</xdr:rowOff>
    </xdr:from>
    <xdr:to>
      <xdr:col>20</xdr:col>
      <xdr:colOff>363876</xdr:colOff>
      <xdr:row>10</xdr:row>
      <xdr:rowOff>0</xdr:rowOff>
    </xdr:to>
    <xdr:sp macro="" textlink="KPI!G3">
      <xdr:nvSpPr>
        <xdr:cNvPr id="14" name="Rectangle 13">
          <a:extLst>
            <a:ext uri="{FF2B5EF4-FFF2-40B4-BE49-F238E27FC236}">
              <a16:creationId xmlns:a16="http://schemas.microsoft.com/office/drawing/2014/main" id="{08A298B0-B1EC-4712-8DBC-4CA155EFB01E}"/>
            </a:ext>
          </a:extLst>
        </xdr:cNvPr>
        <xdr:cNvSpPr/>
      </xdr:nvSpPr>
      <xdr:spPr>
        <a:xfrm>
          <a:off x="12468118" y="1455506"/>
          <a:ext cx="2354494" cy="363876"/>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BDE35CC-DF56-4649-8BA2-73BD2D279FE8}" type="TxLink">
            <a:rPr lang="en-US" sz="105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t>Admissions with Valid Stay: 429</a:t>
          </a:fld>
          <a:endParaRPr lang="en-GB" sz="105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6</xdr:col>
      <xdr:colOff>726200</xdr:colOff>
      <xdr:row>18</xdr:row>
      <xdr:rowOff>101243</xdr:rowOff>
    </xdr:from>
    <xdr:to>
      <xdr:col>11</xdr:col>
      <xdr:colOff>674240</xdr:colOff>
      <xdr:row>34</xdr:row>
      <xdr:rowOff>32108</xdr:rowOff>
    </xdr:to>
    <xdr:graphicFrame macro="">
      <xdr:nvGraphicFramePr>
        <xdr:cNvPr id="16" name="Chart 15">
          <a:extLst>
            <a:ext uri="{FF2B5EF4-FFF2-40B4-BE49-F238E27FC236}">
              <a16:creationId xmlns:a16="http://schemas.microsoft.com/office/drawing/2014/main" id="{2A0978BF-43E7-4990-B2D4-0FF5A26EF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kola faremola" refreshedDate="46320.378057291666" createdVersion="8" refreshedVersion="8" minRefreshableVersion="3" recordCount="505" xr:uid="{1DA7A855-EC4F-4635-9F01-6C9D7F07301F}">
  <cacheSource type="worksheet">
    <worksheetSource ref="A1:R506" sheet="Cleaned_Data"/>
  </cacheSource>
  <cacheFields count="18">
    <cacheField name="Admission_ID" numFmtId="0">
      <sharedItems/>
    </cacheField>
    <cacheField name="Patient_ID" numFmtId="0">
      <sharedItems/>
    </cacheField>
    <cacheField name="Admission_Date" numFmtId="14">
      <sharedItems containsNonDate="0" containsDate="1" containsString="0" containsBlank="1" minDate="2025-01-01T00:00:00" maxDate="2025-12-17T00:00:00"/>
    </cacheField>
    <cacheField name="Discharge_Date" numFmtId="14">
      <sharedItems containsDate="1" containsBlank="1" containsMixedTypes="1" minDate="2025-01-04T00:00:00" maxDate="2026-01-03T00:00:00"/>
    </cacheField>
    <cacheField name="Department" numFmtId="0">
      <sharedItems containsBlank="1" count="7">
        <s v="Oncology"/>
        <s v="Cardiology"/>
        <s v="Emergency"/>
        <s v="General Medicine"/>
        <s v="Orthopaedics"/>
        <s v="Paediatrics"/>
        <m/>
      </sharedItems>
    </cacheField>
    <cacheField name="Diagnosis" numFmtId="0">
      <sharedItems/>
    </cacheField>
    <cacheField name="Age" numFmtId="0">
      <sharedItems containsString="0" containsBlank="1" containsNumber="1" containsInteger="1" minValue="1" maxValue="95"/>
    </cacheField>
    <cacheField name="Gender" numFmtId="0">
      <sharedItems containsBlank="1"/>
    </cacheField>
    <cacheField name="Attending_Doctor" numFmtId="0">
      <sharedItems containsBlank="1"/>
    </cacheField>
    <cacheField name="Insurance_Type" numFmtId="0">
      <sharedItems count="3">
        <s v="NHS"/>
        <s v="Self-Pay"/>
        <s v="Private - BUPA"/>
      </sharedItems>
    </cacheField>
    <cacheField name="Treatment_Cost_GBP" numFmtId="0">
      <sharedItems containsString="0" containsBlank="1" containsNumber="1" containsInteger="1" minValue="-250" maxValue="750000"/>
    </cacheField>
    <cacheField name="Length of stay days" numFmtId="0">
      <sharedItems containsBlank="1" containsMixedTypes="1" containsNumber="1" containsInteger="1" minValue="1" maxValue="90"/>
    </cacheField>
    <cacheField name="Bed_Occupied" numFmtId="0">
      <sharedItems/>
    </cacheField>
    <cacheField name="Follow_Up_Required" numFmtId="0">
      <sharedItems containsBlank="1"/>
    </cacheField>
    <cacheField name="Date Check" numFmtId="0">
      <sharedItems/>
    </cacheField>
    <cacheField name="Cost check" numFmtId="0">
      <sharedItems count="4">
        <s v="OK"/>
        <s v="Missing cost"/>
        <s v="Review high cost"/>
        <s v="Negative cost"/>
      </sharedItems>
    </cacheField>
    <cacheField name="Calculated_stay_Days" numFmtId="0">
      <sharedItems containsMixedTypes="1" containsNumber="1" containsInteger="1" minValue="1" maxValue="20"/>
    </cacheField>
    <cacheField name="Stay_Check" numFmtId="0">
      <sharedItems/>
    </cacheField>
  </cacheFields>
  <extLst>
    <ext xmlns:x14="http://schemas.microsoft.com/office/spreadsheetml/2009/9/main" uri="{725AE2AE-9491-48be-B2B4-4EB974FC3084}">
      <x14:pivotCacheDefinition pivotCacheId="1055247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
  <r>
    <s v="A10500"/>
    <s v="P1046"/>
    <d v="2025-11-22T00:00:00"/>
    <d v="2025-11-25T00:00:00"/>
    <x v="0"/>
    <s v="COVID-19"/>
    <n v="29"/>
    <s v="Male"/>
    <s v="Dr. A. Jones"/>
    <x v="0"/>
    <n v="6896"/>
    <n v="3"/>
    <s v="No"/>
    <s v="Yes"/>
    <s v="OK"/>
    <x v="0"/>
    <n v="3"/>
    <s v="OK"/>
  </r>
  <r>
    <s v="A10175"/>
    <s v="P1326"/>
    <d v="2025-09-19T00:00:00"/>
    <d v="2025-09-26T00:00:00"/>
    <x v="1"/>
    <s v="Myocardial Infarction"/>
    <n v="61"/>
    <m/>
    <s v="Dr. Patel"/>
    <x v="1"/>
    <n v="10642"/>
    <n v="7"/>
    <s v="No"/>
    <s v="No"/>
    <s v="OK"/>
    <x v="0"/>
    <n v="7"/>
    <s v="OK"/>
  </r>
  <r>
    <s v="A10393"/>
    <s v="P1338"/>
    <d v="2025-01-06T00:00:00"/>
    <d v="2025-01-11T00:00:00"/>
    <x v="2"/>
    <s v="Asthma"/>
    <n v="93"/>
    <s v="Male"/>
    <s v="Dr. A. Jones"/>
    <x v="2"/>
    <n v="4998"/>
    <n v="5"/>
    <s v="No"/>
    <s v="No"/>
    <s v="OK"/>
    <x v="0"/>
    <n v="5"/>
    <s v="OK"/>
  </r>
  <r>
    <s v="A10191"/>
    <s v="P1329"/>
    <d v="2025-03-01T00:00:00"/>
    <d v="2025-03-12T00:00:00"/>
    <x v="3"/>
    <s v="Type 2 Diabetes"/>
    <m/>
    <s v="Other"/>
    <s v="Dr. A. Jones"/>
    <x v="1"/>
    <n v="9680"/>
    <n v="11"/>
    <s v="Yes"/>
    <s v="Yes"/>
    <s v="OK"/>
    <x v="0"/>
    <n v="11"/>
    <s v="OK"/>
  </r>
  <r>
    <s v="A10338"/>
    <s v="P1166"/>
    <d v="2025-03-28T00:00:00"/>
    <d v="2025-04-13T00:00:00"/>
    <x v="0"/>
    <s v="COVID-19"/>
    <n v="43"/>
    <s v="Male"/>
    <s v="Dr. Smith"/>
    <x v="1"/>
    <n v="725"/>
    <n v="16"/>
    <s v="Yes"/>
    <s v="No"/>
    <s v="OK"/>
    <x v="0"/>
    <n v="16"/>
    <s v="OK"/>
  </r>
  <r>
    <s v="A10026"/>
    <s v="P1341"/>
    <d v="2025-05-13T00:00:00"/>
    <d v="2025-05-16T00:00:00"/>
    <x v="1"/>
    <s v="Myocardial Infarction"/>
    <n v="54"/>
    <s v="Other"/>
    <s v="Dr. Smith"/>
    <x v="0"/>
    <n v="3665"/>
    <n v="3"/>
    <s v="No"/>
    <s v="Yes"/>
    <s v="OK"/>
    <x v="0"/>
    <n v="3"/>
    <s v="OK"/>
  </r>
  <r>
    <s v="A10392"/>
    <s v="P1156"/>
    <m/>
    <m/>
    <x v="4"/>
    <s v="Fracture - Femur"/>
    <n v="68"/>
    <s v="Female"/>
    <s v="Dr. Smith"/>
    <x v="2"/>
    <n v="1223"/>
    <n v="7"/>
    <s v="Yes"/>
    <s v="No"/>
    <s v="Missing date"/>
    <x v="0"/>
    <s v=""/>
    <s v="Cannot check dates"/>
  </r>
  <r>
    <s v="A10133"/>
    <s v="P1228"/>
    <d v="2025-07-28T00:00:00"/>
    <d v="2025-08-01T00:00:00"/>
    <x v="1"/>
    <s v="Myocardial Infarction"/>
    <n v="32"/>
    <s v="Female"/>
    <s v="Dr. Smith"/>
    <x v="1"/>
    <n v="6061"/>
    <m/>
    <s v="Yes"/>
    <s v="No"/>
    <s v="OK"/>
    <x v="0"/>
    <n v="4"/>
    <s v="Missing recorded stay"/>
  </r>
  <r>
    <s v="A10051"/>
    <s v="P1385"/>
    <d v="2025-03-27T00:00:00"/>
    <d v="2025-04-12T00:00:00"/>
    <x v="0"/>
    <s v="COVID-19"/>
    <n v="30"/>
    <s v="Male"/>
    <s v="Dr. Smith"/>
    <x v="0"/>
    <n v="13262"/>
    <n v="16"/>
    <s v="Yes"/>
    <s v="No"/>
    <s v="OK"/>
    <x v="0"/>
    <n v="16"/>
    <s v="OK"/>
  </r>
  <r>
    <s v="A10037"/>
    <s v="P1245"/>
    <d v="2025-03-31T00:00:00"/>
    <d v="2025-04-03T00:00:00"/>
    <x v="2"/>
    <s v="Asthma"/>
    <n v="78"/>
    <s v="Male"/>
    <s v="Dr. Smith"/>
    <x v="0"/>
    <n v="3514"/>
    <n v="3"/>
    <s v="No"/>
    <s v="No"/>
    <s v="OK"/>
    <x v="0"/>
    <n v="3"/>
    <s v="OK"/>
  </r>
  <r>
    <s v="A10327"/>
    <s v="P1038"/>
    <d v="2025-09-20T00:00:00"/>
    <d v="2025-09-30T00:00:00"/>
    <x v="5"/>
    <s v="Hypertension"/>
    <n v="8"/>
    <s v="Other"/>
    <s v="Dr. A. Jones"/>
    <x v="0"/>
    <n v="9078"/>
    <n v="10"/>
    <s v="No"/>
    <s v="Yes"/>
    <s v="OK"/>
    <x v="0"/>
    <n v="10"/>
    <s v="OK"/>
  </r>
  <r>
    <s v="A10293"/>
    <s v="P1349"/>
    <d v="2025-10-12T00:00:00"/>
    <d v="2025-11-01T00:00:00"/>
    <x v="1"/>
    <s v="Myocardial Infarction"/>
    <n v="56"/>
    <s v="Female"/>
    <s v="Dr. A. Jones"/>
    <x v="2"/>
    <n v="7799"/>
    <n v="20"/>
    <s v="Yes"/>
    <s v="Yes"/>
    <s v="OK"/>
    <x v="0"/>
    <n v="20"/>
    <s v="OK"/>
  </r>
  <r>
    <s v="A10069"/>
    <s v="P1174"/>
    <m/>
    <d v="2025-05-05T00:00:00"/>
    <x v="3"/>
    <s v="Type 2 Diabetes"/>
    <n v="34"/>
    <s v="Male"/>
    <s v="Dr. Patel"/>
    <x v="0"/>
    <n v="6679"/>
    <n v="15"/>
    <s v="Yes"/>
    <s v="No"/>
    <s v="Missing date"/>
    <x v="0"/>
    <s v=""/>
    <s v="Cannot check dates"/>
  </r>
  <r>
    <s v="A10443"/>
    <s v="P1159"/>
    <m/>
    <d v="2025-08-04T00:00:00"/>
    <x v="5"/>
    <s v="Hypertension"/>
    <n v="13"/>
    <s v="Male"/>
    <s v="Dr. Smith"/>
    <x v="2"/>
    <m/>
    <n v="6"/>
    <s v="Yes"/>
    <s v="No"/>
    <s v="Missing date"/>
    <x v="1"/>
    <s v=""/>
    <s v="Cannot check dates"/>
  </r>
  <r>
    <s v="A10066"/>
    <s v="P1185"/>
    <d v="2025-01-04T00:00:00"/>
    <d v="2025-01-13T00:00:00"/>
    <x v="2"/>
    <s v="Asthma"/>
    <n v="49"/>
    <s v="Male"/>
    <s v="Dr. Smith"/>
    <x v="0"/>
    <n v="9999"/>
    <n v="9"/>
    <s v="No"/>
    <s v="No"/>
    <s v="OK"/>
    <x v="0"/>
    <n v="9"/>
    <s v="OK"/>
  </r>
  <r>
    <s v="A10405"/>
    <s v="P1279"/>
    <d v="2025-05-28T00:00:00"/>
    <d v="2025-06-14T00:00:00"/>
    <x v="4"/>
    <s v="Fracture - Femur"/>
    <n v="24"/>
    <s v="Female"/>
    <s v="Dr. Patel"/>
    <x v="1"/>
    <n v="750000"/>
    <n v="17"/>
    <s v="Yes"/>
    <s v="No"/>
    <s v="OK"/>
    <x v="2"/>
    <n v="17"/>
    <s v="OK"/>
  </r>
  <r>
    <s v="A10179"/>
    <s v="P1078"/>
    <d v="2025-09-29T00:00:00"/>
    <d v="2025-10-16T00:00:00"/>
    <x v="0"/>
    <s v="COVID-19"/>
    <n v="79"/>
    <s v="Male"/>
    <s v="Dr. Patel"/>
    <x v="0"/>
    <n v="7788"/>
    <n v="17"/>
    <s v="Yes"/>
    <s v="Yes"/>
    <s v="OK"/>
    <x v="0"/>
    <n v="17"/>
    <s v="OK"/>
  </r>
  <r>
    <s v="A10295"/>
    <s v="P1215"/>
    <d v="2025-02-10T00:00:00"/>
    <d v="2025-02-12T00:00:00"/>
    <x v="1"/>
    <s v="Myocardial Infarction"/>
    <n v="76"/>
    <s v="Other"/>
    <s v="Dr. Smith"/>
    <x v="0"/>
    <n v="12878"/>
    <n v="2"/>
    <s v="Yes"/>
    <s v="No"/>
    <s v="OK"/>
    <x v="0"/>
    <n v="2"/>
    <s v="OK"/>
  </r>
  <r>
    <s v="A10006"/>
    <s v="P1283"/>
    <d v="2025-08-03T00:00:00"/>
    <d v="2025-08-16T00:00:00"/>
    <x v="2"/>
    <s v="Asthma"/>
    <n v="51"/>
    <s v="Female"/>
    <s v="Dr. Patel"/>
    <x v="1"/>
    <n v="11956"/>
    <n v="13"/>
    <s v="Yes"/>
    <s v="Yes"/>
    <s v="OK"/>
    <x v="0"/>
    <n v="13"/>
    <s v="OK"/>
  </r>
  <r>
    <s v="A10265"/>
    <s v="P1200"/>
    <d v="2025-02-05T00:00:00"/>
    <d v="2025-02-23T00:00:00"/>
    <x v="3"/>
    <s v="Type 2 Diabetes"/>
    <n v="60"/>
    <s v="Other"/>
    <s v="Dr. Smith"/>
    <x v="0"/>
    <n v="12793"/>
    <m/>
    <s v="No"/>
    <s v="No"/>
    <s v="OK"/>
    <x v="0"/>
    <n v="18"/>
    <s v="Missing recorded stay"/>
  </r>
  <r>
    <s v="A10171"/>
    <s v="P1110"/>
    <m/>
    <d v="2025-03-26T00:00:00"/>
    <x v="3"/>
    <s v="Type 2 Diabetes"/>
    <n v="51"/>
    <s v="Male"/>
    <s v="Dr. Lee"/>
    <x v="0"/>
    <n v="12139"/>
    <n v="7"/>
    <s v="No"/>
    <s v="No"/>
    <s v="Missing date"/>
    <x v="0"/>
    <s v=""/>
    <s v="Cannot check dates"/>
  </r>
  <r>
    <s v="A10308"/>
    <s v="P1176"/>
    <d v="2025-07-20T00:00:00"/>
    <d v="2025-08-05T00:00:00"/>
    <x v="5"/>
    <s v="Hypertension"/>
    <n v="1"/>
    <s v="Male"/>
    <s v="Dr. Patel"/>
    <x v="0"/>
    <n v="4874"/>
    <n v="16"/>
    <s v="No"/>
    <s v="Yes"/>
    <s v="OK"/>
    <x v="0"/>
    <n v="16"/>
    <s v="OK"/>
  </r>
  <r>
    <s v="A10491"/>
    <s v="P1077"/>
    <d v="2025-07-07T00:00:00"/>
    <d v="2025-07-16T00:00:00"/>
    <x v="2"/>
    <s v="Asthma"/>
    <n v="47"/>
    <s v="Female"/>
    <s v="Dr. Smith"/>
    <x v="0"/>
    <n v="14275"/>
    <n v="9"/>
    <s v="Yes"/>
    <s v="No"/>
    <s v="OK"/>
    <x v="0"/>
    <n v="9"/>
    <s v="OK"/>
  </r>
  <r>
    <s v="A10030"/>
    <s v="P1384"/>
    <d v="2025-05-11T00:00:00"/>
    <d v="2025-05-27T00:00:00"/>
    <x v="2"/>
    <s v="Asthma"/>
    <n v="59"/>
    <m/>
    <s v="Dr. A. Jones"/>
    <x v="2"/>
    <n v="2548"/>
    <n v="16"/>
    <s v="Yes"/>
    <s v="No"/>
    <s v="OK"/>
    <x v="0"/>
    <n v="16"/>
    <s v="OK"/>
  </r>
  <r>
    <s v="A10128"/>
    <s v="P1368"/>
    <d v="2025-06-03T00:00:00"/>
    <d v="2025-06-20T00:00:00"/>
    <x v="5"/>
    <s v="Hypertension"/>
    <n v="5"/>
    <s v="Female"/>
    <s v="Dr. Lee"/>
    <x v="1"/>
    <n v="10008"/>
    <n v="17"/>
    <s v="No"/>
    <s v="Yes"/>
    <s v="OK"/>
    <x v="0"/>
    <n v="17"/>
    <s v="OK"/>
  </r>
  <r>
    <s v="A10277"/>
    <s v="P1062"/>
    <d v="2025-10-04T00:00:00"/>
    <m/>
    <x v="4"/>
    <s v="Fracture - Femur"/>
    <n v="59"/>
    <s v="Male"/>
    <s v="Dr. Lee"/>
    <x v="0"/>
    <n v="608"/>
    <n v="6"/>
    <s v="Yes"/>
    <s v="No"/>
    <s v="Missing date"/>
    <x v="0"/>
    <s v=""/>
    <s v="Cannot check dates"/>
  </r>
  <r>
    <s v="A10093"/>
    <s v="P1175"/>
    <d v="2025-07-07T00:00:00"/>
    <m/>
    <x v="4"/>
    <s v="Fracture - Femur"/>
    <n v="32"/>
    <s v="Other"/>
    <s v="Dr. Patel"/>
    <x v="1"/>
    <n v="11202"/>
    <n v="14"/>
    <s v="No"/>
    <s v="Yes"/>
    <s v="Missing date"/>
    <x v="0"/>
    <s v=""/>
    <s v="Cannot check dates"/>
  </r>
  <r>
    <s v="A10362"/>
    <s v="P1273"/>
    <d v="2025-07-22T00:00:00"/>
    <d v="2025-08-05T00:00:00"/>
    <x v="4"/>
    <s v="Fracture - Femur"/>
    <m/>
    <s v="Female"/>
    <s v="Dr. Smith"/>
    <x v="0"/>
    <n v="6937"/>
    <n v="14"/>
    <s v="No"/>
    <s v="Yes"/>
    <s v="OK"/>
    <x v="0"/>
    <n v="14"/>
    <s v="OK"/>
  </r>
  <r>
    <s v="A10095"/>
    <s v="P1278"/>
    <d v="2025-11-03T00:00:00"/>
    <d v="2025-11-05T00:00:00"/>
    <x v="0"/>
    <s v="COVID-19"/>
    <n v="41"/>
    <s v="Male"/>
    <s v="Dr. Patel"/>
    <x v="0"/>
    <n v="-250"/>
    <n v="2"/>
    <s v="Yes"/>
    <s v="No"/>
    <s v="OK"/>
    <x v="3"/>
    <n v="2"/>
    <s v="OK"/>
  </r>
  <r>
    <s v="A10329"/>
    <s v="P1189"/>
    <m/>
    <d v="2025-07-21T00:00:00"/>
    <x v="3"/>
    <s v="Type 2 Diabetes"/>
    <n v="21"/>
    <s v="Other"/>
    <s v="Dr. Smith"/>
    <x v="0"/>
    <n v="9200"/>
    <n v="1"/>
    <s v="Yes"/>
    <s v="Yes"/>
    <s v="Missing date"/>
    <x v="0"/>
    <s v=""/>
    <s v="Cannot check dates"/>
  </r>
  <r>
    <s v="A10321"/>
    <s v="P1244"/>
    <d v="2025-11-02T00:00:00"/>
    <d v="2025-11-12T00:00:00"/>
    <x v="4"/>
    <s v="Fracture - Femur"/>
    <n v="65"/>
    <s v="Male"/>
    <s v="Dr. Smith"/>
    <x v="2"/>
    <n v="10550"/>
    <n v="10"/>
    <s v="Yes"/>
    <s v="Yes"/>
    <s v="OK"/>
    <x v="0"/>
    <n v="10"/>
    <s v="OK"/>
  </r>
  <r>
    <s v="A10423"/>
    <s v="P1039"/>
    <d v="2025-12-05T00:00:00"/>
    <d v="2025-12-23T00:00:00"/>
    <x v="5"/>
    <s v="Hypertension"/>
    <n v="15"/>
    <s v="Other"/>
    <s v="Dr. A. Jones"/>
    <x v="2"/>
    <n v="2056"/>
    <n v="18"/>
    <s v="Yes"/>
    <s v="Yes"/>
    <s v="OK"/>
    <x v="0"/>
    <n v="18"/>
    <s v="OK"/>
  </r>
  <r>
    <s v="A10023"/>
    <s v="P1375"/>
    <d v="2025-09-26T00:00:00"/>
    <d v="2025-10-15T00:00:00"/>
    <x v="3"/>
    <s v="Type 2 Diabetes"/>
    <n v="69"/>
    <s v="Male"/>
    <s v="Dr. Lee"/>
    <x v="0"/>
    <n v="11257"/>
    <m/>
    <s v="No"/>
    <s v="Yes"/>
    <s v="OK"/>
    <x v="0"/>
    <n v="19"/>
    <s v="Missing recorded stay"/>
  </r>
  <r>
    <s v="A10206"/>
    <s v="P1029"/>
    <m/>
    <d v="2025-05-01T00:00:00"/>
    <x v="2"/>
    <s v="Asthma"/>
    <n v="87"/>
    <s v="Female"/>
    <s v="Dr. A. Jones"/>
    <x v="1"/>
    <n v="4727"/>
    <n v="13"/>
    <s v="Yes"/>
    <s v="No"/>
    <s v="Missing date"/>
    <x v="0"/>
    <s v=""/>
    <s v="Cannot check dates"/>
  </r>
  <r>
    <s v="A10451"/>
    <s v="P1037"/>
    <d v="2025-01-31T00:00:00"/>
    <d v="2025-02-10T00:00:00"/>
    <x v="0"/>
    <s v="COVID-19"/>
    <n v="67"/>
    <s v="Male"/>
    <s v="Dr. Patel"/>
    <x v="2"/>
    <n v="12873"/>
    <n v="10"/>
    <s v="Yes"/>
    <s v="Yes"/>
    <s v="OK"/>
    <x v="0"/>
    <n v="10"/>
    <s v="OK"/>
  </r>
  <r>
    <s v="A10048"/>
    <s v="P1114"/>
    <d v="2025-04-06T00:00:00"/>
    <d v="2025-04-12T00:00:00"/>
    <x v="2"/>
    <s v="Asthma"/>
    <n v="36"/>
    <s v="Male"/>
    <s v="Dr. Smith"/>
    <x v="2"/>
    <n v="-250"/>
    <n v="6"/>
    <s v="No"/>
    <s v="Yes"/>
    <s v="OK"/>
    <x v="3"/>
    <n v="6"/>
    <s v="OK"/>
  </r>
  <r>
    <s v="A10073"/>
    <s v="P1316"/>
    <d v="2025-10-10T00:00:00"/>
    <d v="2025-10-23T00:00:00"/>
    <x v="2"/>
    <s v="Asthma"/>
    <n v="60"/>
    <s v="Female"/>
    <s v="Dr. Smith"/>
    <x v="1"/>
    <n v="856"/>
    <n v="13"/>
    <s v="No"/>
    <s v="Yes"/>
    <s v="OK"/>
    <x v="0"/>
    <n v="13"/>
    <s v="OK"/>
  </r>
  <r>
    <s v="A10130"/>
    <s v="P1292"/>
    <d v="2025-08-26T00:00:00"/>
    <d v="2025-09-04T00:00:00"/>
    <x v="6"/>
    <s v="Fracture - Femur"/>
    <n v="34"/>
    <s v="Female"/>
    <s v="Dr. Lee"/>
    <x v="2"/>
    <n v="11831"/>
    <n v="9"/>
    <s v="Yes"/>
    <s v="No"/>
    <s v="OK"/>
    <x v="0"/>
    <n v="9"/>
    <s v="OK"/>
  </r>
  <r>
    <s v="A10117"/>
    <s v="P1144"/>
    <d v="2025-10-12T00:00:00"/>
    <d v="2025-10-30T00:00:00"/>
    <x v="4"/>
    <s v="Fracture - Femur"/>
    <n v="61"/>
    <m/>
    <s v="Dr. Patel"/>
    <x v="0"/>
    <n v="7529"/>
    <n v="18"/>
    <s v="Yes"/>
    <s v="Yes"/>
    <s v="OK"/>
    <x v="0"/>
    <n v="18"/>
    <s v="OK"/>
  </r>
  <r>
    <s v="A10054"/>
    <s v="P1056"/>
    <d v="2025-04-28T00:00:00"/>
    <d v="2025-05-07T00:00:00"/>
    <x v="1"/>
    <s v="Myocardial Infarction"/>
    <n v="87"/>
    <s v="Female"/>
    <s v="Dr. A. Jones"/>
    <x v="2"/>
    <n v="6421"/>
    <n v="90"/>
    <s v="No "/>
    <s v="No"/>
    <s v="OK"/>
    <x v="0"/>
    <n v="9"/>
    <s v="Mismatch"/>
  </r>
  <r>
    <s v="A10460"/>
    <s v="P1081"/>
    <m/>
    <d v="2025-11-10T00:00:00"/>
    <x v="5"/>
    <s v="Hypertension"/>
    <n v="12"/>
    <s v="Female"/>
    <s v="Dr. Lee"/>
    <x v="1"/>
    <n v="8538"/>
    <n v="20"/>
    <s v="No "/>
    <s v="No"/>
    <s v="Missing date"/>
    <x v="0"/>
    <s v=""/>
    <s v="Cannot check dates"/>
  </r>
  <r>
    <s v="A10195"/>
    <s v="P1278"/>
    <d v="2025-10-20T00:00:00"/>
    <d v="2025-10-24T00:00:00"/>
    <x v="3"/>
    <s v="Type 2 Diabetes"/>
    <n v="36"/>
    <s v="Male"/>
    <s v="Dr. Lee"/>
    <x v="2"/>
    <n v="5199"/>
    <n v="4"/>
    <s v="No "/>
    <s v="No"/>
    <s v="OK"/>
    <x v="0"/>
    <n v="4"/>
    <s v="OK"/>
  </r>
  <r>
    <s v="A10314"/>
    <s v="P1168"/>
    <d v="2025-05-25T00:00:00"/>
    <d v="2025-06-06T00:00:00"/>
    <x v="5"/>
    <s v="Hypertension"/>
    <n v="1"/>
    <s v="Female"/>
    <s v="Dr. Patel"/>
    <x v="0"/>
    <n v="6909"/>
    <n v="12"/>
    <s v="Yeses"/>
    <s v="No"/>
    <s v="OK"/>
    <x v="0"/>
    <n v="12"/>
    <s v="OK"/>
  </r>
  <r>
    <s v="A10146"/>
    <s v="P1054"/>
    <d v="2025-09-03T00:00:00"/>
    <d v="2025-09-22T00:00:00"/>
    <x v="2"/>
    <s v="Asthma"/>
    <n v="41"/>
    <m/>
    <s v="Dr. Smith"/>
    <x v="2"/>
    <n v="14398"/>
    <n v="19"/>
    <s v="No"/>
    <s v="No"/>
    <s v="OK"/>
    <x v="0"/>
    <n v="19"/>
    <s v="OK"/>
  </r>
  <r>
    <s v="A10041"/>
    <s v="P1168"/>
    <d v="2025-11-14T00:00:00"/>
    <d v="2025-12-02T00:00:00"/>
    <x v="3"/>
    <s v="Type 2 Diabetes"/>
    <n v="54"/>
    <s v="Male"/>
    <s v="Dr. Patel"/>
    <x v="1"/>
    <n v="13154"/>
    <n v="18"/>
    <s v="Yes"/>
    <s v="Yes"/>
    <s v="OK"/>
    <x v="0"/>
    <n v="18"/>
    <s v="OK"/>
  </r>
  <r>
    <s v="A10326"/>
    <s v="P1142"/>
    <d v="2025-01-09T00:00:00"/>
    <d v="2025-01-26T00:00:00"/>
    <x v="1"/>
    <s v="Myocardial Infarction"/>
    <n v="52"/>
    <s v="Other"/>
    <s v="Dr. A. Jones"/>
    <x v="1"/>
    <m/>
    <n v="17"/>
    <s v="Yes"/>
    <s v="Yes"/>
    <s v="OK"/>
    <x v="1"/>
    <n v="17"/>
    <s v="OK"/>
  </r>
  <r>
    <s v="A10239"/>
    <s v="P1035"/>
    <m/>
    <d v="2025-09-05T00:00:00"/>
    <x v="5"/>
    <s v="Hypertension"/>
    <n v="15"/>
    <s v="Female"/>
    <s v="Dr. Lee"/>
    <x v="1"/>
    <n v="6395"/>
    <n v="9"/>
    <s v="No"/>
    <s v="Yes"/>
    <s v="Missing date"/>
    <x v="0"/>
    <s v=""/>
    <s v="Cannot check dates"/>
  </r>
  <r>
    <s v="A10106"/>
    <s v="P1263"/>
    <d v="2025-06-13T00:00:00"/>
    <d v="2025-07-01T00:00:00"/>
    <x v="0"/>
    <s v="COVID-19"/>
    <n v="38"/>
    <s v="Female"/>
    <s v="Dr. Smith"/>
    <x v="2"/>
    <n v="10025"/>
    <n v="18"/>
    <s v="No"/>
    <s v="No"/>
    <s v="OK"/>
    <x v="0"/>
    <n v="18"/>
    <s v="OK"/>
  </r>
  <r>
    <s v="A10102"/>
    <s v="P1089"/>
    <d v="2025-08-08T00:00:00"/>
    <d v="2025-08-27T00:00:00"/>
    <x v="3"/>
    <s v="Type 2 Diabetes"/>
    <n v="77"/>
    <s v="Male"/>
    <s v="Dr. Patel"/>
    <x v="2"/>
    <n v="750000"/>
    <n v="19"/>
    <s v="Yes"/>
    <s v="Yes"/>
    <s v="OK"/>
    <x v="2"/>
    <n v="19"/>
    <s v="OK"/>
  </r>
  <r>
    <s v="A10387"/>
    <s v="P1171"/>
    <d v="2025-02-20T00:00:00"/>
    <d v="2025-02-28T00:00:00"/>
    <x v="5"/>
    <s v="Hypertension"/>
    <n v="15"/>
    <s v="Female"/>
    <s v="Dr. Lee"/>
    <x v="1"/>
    <n v="895"/>
    <n v="8"/>
    <s v="Yes"/>
    <s v="No"/>
    <s v="OK"/>
    <x v="0"/>
    <n v="8"/>
    <s v="OK"/>
  </r>
  <r>
    <s v="A10494"/>
    <s v="P1153"/>
    <m/>
    <d v="2025-08-20T00:00:00"/>
    <x v="2"/>
    <s v="Asthma"/>
    <n v="50"/>
    <m/>
    <s v="Dr. A. Jones"/>
    <x v="1"/>
    <n v="3076"/>
    <n v="1"/>
    <s v="No"/>
    <s v="Yes"/>
    <s v="Missing date"/>
    <x v="0"/>
    <s v=""/>
    <s v="Cannot check dates"/>
  </r>
  <r>
    <s v="A10036"/>
    <s v="P1170"/>
    <d v="2025-10-15T00:00:00"/>
    <d v="2025-11-01T00:00:00"/>
    <x v="2"/>
    <s v="Asthma"/>
    <n v="33"/>
    <s v="Female"/>
    <s v="Dr. Smith"/>
    <x v="1"/>
    <n v="1239"/>
    <n v="17"/>
    <s v="Yes"/>
    <s v="Yes"/>
    <s v="OK"/>
    <x v="0"/>
    <n v="17"/>
    <s v="OK"/>
  </r>
  <r>
    <s v="A10008"/>
    <s v="P1110"/>
    <d v="2025-03-07T00:00:00"/>
    <d v="2025-03-16T00:00:00"/>
    <x v="2"/>
    <s v="Fracture - Femur"/>
    <n v="41"/>
    <s v="Other"/>
    <s v="Dr. Smith"/>
    <x v="1"/>
    <n v="9999"/>
    <n v="9"/>
    <s v="No"/>
    <s v="No"/>
    <s v="OK"/>
    <x v="0"/>
    <n v="9"/>
    <s v="OK"/>
  </r>
  <r>
    <s v="A10199"/>
    <s v="P1177"/>
    <d v="2025-07-22T00:00:00"/>
    <d v="2025-08-07T00:00:00"/>
    <x v="3"/>
    <s v="Type 2 Diabetes"/>
    <n v="38"/>
    <s v="Female"/>
    <s v="Dr. Lee"/>
    <x v="2"/>
    <n v="2261"/>
    <m/>
    <s v="Yes"/>
    <s v="No"/>
    <s v="OK"/>
    <x v="0"/>
    <n v="16"/>
    <s v="Missing recorded stay"/>
  </r>
  <r>
    <s v="A10264"/>
    <s v="P1278"/>
    <d v="2025-11-24T00:00:00"/>
    <d v="2025-12-07T00:00:00"/>
    <x v="3"/>
    <s v="Type 2 Diabetes"/>
    <n v="42"/>
    <s v="Male"/>
    <s v="Dr. Smith"/>
    <x v="2"/>
    <n v="5289"/>
    <n v="13"/>
    <s v="No"/>
    <s v="Yes"/>
    <s v="OK"/>
    <x v="0"/>
    <n v="13"/>
    <s v="OK"/>
  </r>
  <r>
    <s v="A10086"/>
    <s v="P1131"/>
    <m/>
    <d v="2025-02-07T00:00:00"/>
    <x v="3"/>
    <s v="Type 2 Diabetes"/>
    <n v="52"/>
    <s v="Other"/>
    <s v="Dr. A. Jones"/>
    <x v="1"/>
    <n v="7195"/>
    <n v="1"/>
    <s v="Yes"/>
    <s v="Yes"/>
    <s v="Missing date"/>
    <x v="0"/>
    <s v=""/>
    <s v="Cannot check dates"/>
  </r>
  <r>
    <s v="A10357"/>
    <s v="P1112"/>
    <d v="2025-08-21T00:00:00"/>
    <d v="2025-08-31T00:00:00"/>
    <x v="1"/>
    <s v="Myocardial Infarction"/>
    <n v="92"/>
    <s v="Other"/>
    <s v="Dr. Smith"/>
    <x v="0"/>
    <n v="7995"/>
    <n v="10"/>
    <s v="Yes"/>
    <s v="Yes"/>
    <s v="OK"/>
    <x v="0"/>
    <n v="10"/>
    <s v="OK"/>
  </r>
  <r>
    <s v="A10252"/>
    <s v="P1271"/>
    <d v="2025-08-04T00:00:00"/>
    <d v="2025-08-10T00:00:00"/>
    <x v="0"/>
    <s v="COVID-19"/>
    <n v="46"/>
    <s v="Male"/>
    <s v="Dr. Smith"/>
    <x v="0"/>
    <n v="11093"/>
    <n v="6"/>
    <s v="No"/>
    <s v="Yes"/>
    <s v="OK"/>
    <x v="0"/>
    <n v="6"/>
    <s v="OK"/>
  </r>
  <r>
    <s v="A10350"/>
    <s v="P1377"/>
    <d v="2025-02-22T00:00:00"/>
    <d v="2025-02-27T00:00:00"/>
    <x v="3"/>
    <s v="Type 2 Diabetes"/>
    <n v="18"/>
    <s v="Female"/>
    <s v="Dr. Smith"/>
    <x v="1"/>
    <n v="4295"/>
    <n v="5"/>
    <s v="No"/>
    <s v="Yes"/>
    <s v="OK"/>
    <x v="0"/>
    <n v="5"/>
    <s v="OK"/>
  </r>
  <r>
    <s v="A10020"/>
    <s v="P1335"/>
    <d v="2025-04-01T00:00:00"/>
    <d v="2025-04-03T00:00:00"/>
    <x v="3"/>
    <s v="Type 2 Diabetes"/>
    <m/>
    <s v="Female"/>
    <s v="Dr. Smith"/>
    <x v="0"/>
    <n v="1968"/>
    <n v="2"/>
    <s v="No"/>
    <s v="No"/>
    <s v="OK"/>
    <x v="0"/>
    <n v="2"/>
    <s v="OK"/>
  </r>
  <r>
    <s v="A10017"/>
    <s v="P1262"/>
    <d v="2025-11-02T00:00:00"/>
    <d v="2025-11-07T00:00:00"/>
    <x v="1"/>
    <s v="Myocardial Infarction"/>
    <n v="88"/>
    <s v="Male"/>
    <s v="Dr. A. Jones"/>
    <x v="1"/>
    <n v="11050"/>
    <n v="5"/>
    <s v="No"/>
    <s v="No"/>
    <s v="OK"/>
    <x v="0"/>
    <n v="5"/>
    <s v="OK"/>
  </r>
  <r>
    <s v="A10259"/>
    <s v="P1188"/>
    <d v="2025-06-10T00:00:00"/>
    <d v="2025-06-11T00:00:00"/>
    <x v="6"/>
    <s v="Hypertension"/>
    <n v="4"/>
    <s v="Female"/>
    <s v="Dr. A. Jones"/>
    <x v="0"/>
    <n v="3466"/>
    <n v="1"/>
    <s v="No"/>
    <s v="No"/>
    <s v="OK"/>
    <x v="0"/>
    <n v="1"/>
    <s v="OK"/>
  </r>
  <r>
    <s v="A10414"/>
    <s v="P1221"/>
    <d v="2025-01-05T00:00:00"/>
    <d v="2025-01-09T00:00:00"/>
    <x v="3"/>
    <s v="Type 2 Diabetes"/>
    <n v="33"/>
    <s v="Other"/>
    <s v="Dr. Patel"/>
    <x v="0"/>
    <n v="13618"/>
    <n v="4"/>
    <s v="Yes"/>
    <m/>
    <s v="OK"/>
    <x v="0"/>
    <n v="4"/>
    <s v="OK"/>
  </r>
  <r>
    <s v="A10484"/>
    <s v="P1086"/>
    <d v="2025-01-23T00:00:00"/>
    <m/>
    <x v="1"/>
    <s v="Myocardial Infarction"/>
    <n v="20"/>
    <s v="Other"/>
    <s v="Dr. A. Jones"/>
    <x v="1"/>
    <n v="13725"/>
    <n v="2"/>
    <s v="No"/>
    <s v="Yes"/>
    <s v="Missing date"/>
    <x v="0"/>
    <s v=""/>
    <s v="Cannot check dates"/>
  </r>
  <r>
    <s v="A10390"/>
    <s v="P1263"/>
    <d v="2025-11-16T00:00:00"/>
    <d v="2025-12-05T00:00:00"/>
    <x v="3"/>
    <s v="Type 2 Diabetes"/>
    <n v="83"/>
    <s v="Male"/>
    <s v="Dr. Patel"/>
    <x v="1"/>
    <n v="2935"/>
    <n v="19"/>
    <s v="Yes"/>
    <s v="Yes"/>
    <s v="OK"/>
    <x v="0"/>
    <n v="19"/>
    <s v="OK"/>
  </r>
  <r>
    <s v="A10391"/>
    <s v="P1130"/>
    <d v="2025-06-01T00:00:00"/>
    <d v="2025-06-21T00:00:00"/>
    <x v="4"/>
    <s v="Fracture - Femur"/>
    <n v="66"/>
    <s v="Male"/>
    <s v="Dr. Lee"/>
    <x v="0"/>
    <m/>
    <n v="20"/>
    <s v="Yes"/>
    <s v="No"/>
    <s v="OK"/>
    <x v="1"/>
    <n v="20"/>
    <s v="OK"/>
  </r>
  <r>
    <s v="A10228"/>
    <s v="P1360"/>
    <d v="2025-10-01T00:00:00"/>
    <d v="2025-10-19T00:00:00"/>
    <x v="4"/>
    <s v="Fracture - Femur"/>
    <n v="78"/>
    <s v="Female"/>
    <s v="Dr. Patel"/>
    <x v="0"/>
    <n v="8892"/>
    <n v="18"/>
    <s v="No"/>
    <s v="No"/>
    <s v="OK"/>
    <x v="0"/>
    <n v="18"/>
    <s v="OK"/>
  </r>
  <r>
    <s v="A10011"/>
    <s v="P1122"/>
    <d v="2025-07-13T00:00:00"/>
    <d v="2025-07-29T00:00:00"/>
    <x v="0"/>
    <s v="COVID-19"/>
    <n v="18"/>
    <s v="Female"/>
    <s v="Dr. Smith"/>
    <x v="2"/>
    <n v="4236"/>
    <n v="16"/>
    <s v="No"/>
    <s v="Yes"/>
    <s v="OK"/>
    <x v="0"/>
    <n v="16"/>
    <s v="OK"/>
  </r>
  <r>
    <s v="A10230"/>
    <s v="P1197"/>
    <d v="2025-02-27T00:00:00"/>
    <d v="2025-03-17T00:00:00"/>
    <x v="3"/>
    <s v="Type 2 Diabetes"/>
    <n v="89"/>
    <s v="Other"/>
    <s v="Dr. A. Jones"/>
    <x v="2"/>
    <n v="9255"/>
    <n v="18"/>
    <s v="Yes"/>
    <s v="No"/>
    <s v="OK"/>
    <x v="0"/>
    <n v="18"/>
    <s v="OK"/>
  </r>
  <r>
    <s v="A10099"/>
    <s v="P1107"/>
    <d v="2025-08-18T00:00:00"/>
    <d v="2025-08-29T00:00:00"/>
    <x v="0"/>
    <s v="COVID-19"/>
    <n v="60"/>
    <s v="Male"/>
    <s v="Dr. Smith"/>
    <x v="2"/>
    <n v="6799"/>
    <n v="11"/>
    <s v="No"/>
    <s v="Yes"/>
    <s v="OK"/>
    <x v="0"/>
    <n v="11"/>
    <s v="OK"/>
  </r>
  <r>
    <s v="A10131"/>
    <s v="P1157"/>
    <d v="2025-03-27T00:00:00"/>
    <d v="2025-03-31T00:00:00"/>
    <x v="5"/>
    <s v="Hypertension"/>
    <n v="10"/>
    <s v="Female"/>
    <s v="Dr. Smith"/>
    <x v="2"/>
    <m/>
    <n v="4"/>
    <s v="No"/>
    <s v="Yes"/>
    <s v="OK"/>
    <x v="1"/>
    <n v="4"/>
    <s v="OK"/>
  </r>
  <r>
    <s v="A10203"/>
    <s v="P1013"/>
    <d v="2025-11-24T00:00:00"/>
    <d v="2025-12-12T00:00:00"/>
    <x v="4"/>
    <s v="Fracture - Femur"/>
    <n v="29"/>
    <s v="Male"/>
    <s v="Dr. Smith"/>
    <x v="1"/>
    <n v="750000"/>
    <n v="18"/>
    <s v="No"/>
    <s v="No"/>
    <s v="OK"/>
    <x v="2"/>
    <n v="18"/>
    <s v="OK"/>
  </r>
  <r>
    <s v="A10091"/>
    <s v="P1306"/>
    <d v="2025-02-23T00:00:00"/>
    <d v="2025-03-15T00:00:00"/>
    <x v="3"/>
    <s v="Type 2 Diabetes"/>
    <n v="37"/>
    <s v="Male"/>
    <s v="Dr. Patel"/>
    <x v="0"/>
    <n v="11892"/>
    <n v="20"/>
    <s v="No"/>
    <s v="Yes"/>
    <s v="OK"/>
    <x v="0"/>
    <n v="20"/>
    <s v="OK"/>
  </r>
  <r>
    <s v="A10267"/>
    <s v="P1173"/>
    <d v="2025-02-01T00:00:00"/>
    <d v="2025-02-13T00:00:00"/>
    <x v="3"/>
    <s v="Type 2 Diabetes"/>
    <m/>
    <s v="Female"/>
    <s v="Dr. Smith"/>
    <x v="2"/>
    <n v="10331"/>
    <n v="12"/>
    <s v="No"/>
    <s v="No"/>
    <s v="OK"/>
    <x v="0"/>
    <n v="12"/>
    <s v="OK"/>
  </r>
  <r>
    <s v="A10057"/>
    <s v="P1377"/>
    <d v="2025-02-21T00:00:00"/>
    <d v="2025-03-01T00:00:00"/>
    <x v="3"/>
    <s v="Type 2 Diabetes"/>
    <n v="62"/>
    <s v="Male"/>
    <s v="Dr. A. Jones"/>
    <x v="2"/>
    <n v="11489"/>
    <n v="8"/>
    <s v="Yes"/>
    <s v="No"/>
    <s v="OK"/>
    <x v="0"/>
    <n v="8"/>
    <s v="OK"/>
  </r>
  <r>
    <s v="A10047"/>
    <s v="P1269"/>
    <d v="2025-06-06T00:00:00"/>
    <m/>
    <x v="0"/>
    <s v="COVID-19"/>
    <n v="82"/>
    <s v="Male"/>
    <s v="Dr. Patel"/>
    <x v="2"/>
    <n v="5830"/>
    <n v="12"/>
    <s v="Yes"/>
    <s v="No"/>
    <s v="Missing date"/>
    <x v="0"/>
    <s v=""/>
    <s v="Cannot check dates"/>
  </r>
  <r>
    <s v="A10270"/>
    <s v="P1029"/>
    <d v="2025-01-03T00:00:00"/>
    <d v="2025-01-19T00:00:00"/>
    <x v="2"/>
    <s v="Asthma"/>
    <n v="82"/>
    <s v="Female"/>
    <s v="Dr. Smith"/>
    <x v="0"/>
    <n v="3457"/>
    <n v="16"/>
    <s v="No"/>
    <s v="Yes"/>
    <s v="OK"/>
    <x v="0"/>
    <n v="16"/>
    <s v="OK"/>
  </r>
  <r>
    <s v="A10083"/>
    <s v="P1039"/>
    <m/>
    <d v="2025-07-04T00:00:00"/>
    <x v="4"/>
    <s v="Fracture - Femur"/>
    <n v="65"/>
    <s v="Male"/>
    <s v="Dr. Patel"/>
    <x v="1"/>
    <n v="9842"/>
    <n v="18"/>
    <s v="Yes"/>
    <s v="Yes"/>
    <s v="Missing date"/>
    <x v="0"/>
    <s v=""/>
    <s v="Cannot check dates"/>
  </r>
  <r>
    <s v="A10342"/>
    <s v="P1086"/>
    <d v="2025-05-21T00:00:00"/>
    <d v="2025-05-22T00:00:00"/>
    <x v="4"/>
    <s v="Fracture - Femur"/>
    <n v="87"/>
    <s v="Male"/>
    <m/>
    <x v="2"/>
    <n v="13913"/>
    <n v="1"/>
    <s v="No"/>
    <s v="No"/>
    <s v="OK"/>
    <x v="0"/>
    <n v="1"/>
    <s v="OK"/>
  </r>
  <r>
    <s v="A10354"/>
    <s v="P1225"/>
    <d v="2025-09-28T00:00:00"/>
    <d v="2025-10-16T00:00:00"/>
    <x v="1"/>
    <s v="Myocardial Infarction"/>
    <n v="21"/>
    <s v="Male"/>
    <s v="Dr. Lee"/>
    <x v="0"/>
    <n v="2825"/>
    <n v="18"/>
    <s v="Yes"/>
    <s v="Yes"/>
    <s v="OK"/>
    <x v="0"/>
    <n v="18"/>
    <s v="OK"/>
  </r>
  <r>
    <s v="A10337"/>
    <s v="P1147"/>
    <d v="2025-02-28T00:00:00"/>
    <d v="2025-03-18T00:00:00"/>
    <x v="3"/>
    <s v="Type 2 Diabetes"/>
    <n v="42"/>
    <s v="Other"/>
    <s v="Dr. Smith"/>
    <x v="0"/>
    <n v="14115"/>
    <n v="18"/>
    <s v="No"/>
    <s v="No"/>
    <s v="OK"/>
    <x v="0"/>
    <n v="18"/>
    <s v="OK"/>
  </r>
  <r>
    <s v="A10301"/>
    <s v="P1206"/>
    <d v="2025-04-12T00:00:00"/>
    <d v="2025-04-26T00:00:00"/>
    <x v="5"/>
    <s v="Hypertension"/>
    <n v="15"/>
    <s v="Female"/>
    <s v="Dr. Patel"/>
    <x v="1"/>
    <n v="6816"/>
    <n v="14"/>
    <s v="Yes"/>
    <s v="No"/>
    <s v="OK"/>
    <x v="0"/>
    <n v="14"/>
    <s v="OK"/>
  </r>
  <r>
    <s v="A10096"/>
    <s v="P1140"/>
    <d v="2025-06-21T00:00:00"/>
    <d v="2025-07-04T00:00:00"/>
    <x v="1"/>
    <s v="Myocardial Infarction"/>
    <m/>
    <s v="Female"/>
    <s v="Dr. Smith"/>
    <x v="1"/>
    <n v="10605"/>
    <n v="13"/>
    <s v="Yes"/>
    <s v="Yes"/>
    <s v="OK"/>
    <x v="0"/>
    <n v="13"/>
    <s v="OK"/>
  </r>
  <r>
    <s v="A10339"/>
    <s v="P1376"/>
    <d v="2025-04-29T00:00:00"/>
    <d v="2025-05-18T00:00:00"/>
    <x v="4"/>
    <s v="Fracture - Femur"/>
    <n v="18"/>
    <s v="Male"/>
    <s v="Dr. Smith"/>
    <x v="0"/>
    <m/>
    <n v="19"/>
    <s v="Yes"/>
    <s v="Yes"/>
    <s v="OK"/>
    <x v="1"/>
    <n v="19"/>
    <s v="OK"/>
  </r>
  <r>
    <s v="A10229"/>
    <s v="P1079"/>
    <d v="2025-03-07T00:00:00"/>
    <d v="2025-03-14T00:00:00"/>
    <x v="1"/>
    <s v="Myocardial Infarction"/>
    <m/>
    <s v="Male"/>
    <s v="Dr. Patel"/>
    <x v="1"/>
    <n v="12572"/>
    <n v="7"/>
    <s v="No"/>
    <s v="No"/>
    <s v="OK"/>
    <x v="0"/>
    <n v="7"/>
    <s v="OK"/>
  </r>
  <r>
    <s v="A10141"/>
    <s v="P1210"/>
    <d v="2025-08-06T00:00:00"/>
    <d v="2025-08-20T00:00:00"/>
    <x v="4"/>
    <s v="Fracture - Femur"/>
    <n v="47"/>
    <s v="Other"/>
    <s v="Dr. Patel"/>
    <x v="2"/>
    <n v="12688"/>
    <n v="14"/>
    <s v="Yes"/>
    <s v="No"/>
    <s v="OK"/>
    <x v="0"/>
    <n v="14"/>
    <s v="OK"/>
  </r>
  <r>
    <s v="A10340"/>
    <s v="P1151"/>
    <d v="2025-03-10T00:00:00"/>
    <d v="2025-03-14T00:00:00"/>
    <x v="3"/>
    <s v="Type 2 Diabetes"/>
    <n v="62"/>
    <s v="Male"/>
    <s v="Dr. A. Jones"/>
    <x v="2"/>
    <n v="1152"/>
    <n v="4"/>
    <s v="Yes"/>
    <s v="Yes"/>
    <s v="OK"/>
    <x v="0"/>
    <n v="4"/>
    <s v="OK"/>
  </r>
  <r>
    <s v="A10296"/>
    <s v="P1104"/>
    <d v="2025-05-14T00:00:00"/>
    <d v="2025-06-01T00:00:00"/>
    <x v="4"/>
    <s v="Fracture - Femur"/>
    <n v="71"/>
    <s v="Male"/>
    <s v="Dr. A. Jones"/>
    <x v="0"/>
    <n v="4174"/>
    <n v="18"/>
    <s v="No"/>
    <m/>
    <s v="OK"/>
    <x v="0"/>
    <n v="18"/>
    <s v="OK"/>
  </r>
  <r>
    <s v="A10160"/>
    <s v="P1340"/>
    <d v="2025-11-24T00:00:00"/>
    <d v="2025-12-13T00:00:00"/>
    <x v="4"/>
    <s v="Fracture - Femur"/>
    <n v="61"/>
    <s v="Male"/>
    <s v="Dr. A. Jones"/>
    <x v="0"/>
    <n v="9854"/>
    <n v="90"/>
    <s v="No"/>
    <s v="No"/>
    <s v="OK"/>
    <x v="0"/>
    <n v="19"/>
    <s v="Mismatch"/>
  </r>
  <r>
    <s v="A10411"/>
    <s v="P1136"/>
    <m/>
    <d v="2025-12-08T00:00:00"/>
    <x v="0"/>
    <s v="COVID-19"/>
    <n v="54"/>
    <s v="Other"/>
    <s v="Dr. A. Jones"/>
    <x v="1"/>
    <n v="3402"/>
    <n v="4"/>
    <s v="No"/>
    <s v="Yes"/>
    <s v="Missing date"/>
    <x v="0"/>
    <s v=""/>
    <s v="Cannot check dates"/>
  </r>
  <r>
    <s v="A10111"/>
    <s v="P1377"/>
    <d v="2025-07-03T00:00:00"/>
    <d v="2025-07-17T00:00:00"/>
    <x v="0"/>
    <s v="COVID-19"/>
    <n v="44"/>
    <s v="Male"/>
    <s v="Dr. Lee"/>
    <x v="2"/>
    <n v="3657"/>
    <m/>
    <s v="Yes"/>
    <s v="Yes"/>
    <s v="OK"/>
    <x v="0"/>
    <n v="14"/>
    <s v="Missing recorded stay"/>
  </r>
  <r>
    <s v="A10312"/>
    <s v="P1291"/>
    <d v="2025-03-19T00:00:00"/>
    <d v="2025-03-28T00:00:00"/>
    <x v="2"/>
    <s v="Asthma"/>
    <n v="20"/>
    <s v="Male"/>
    <s v="Dr. Patel"/>
    <x v="1"/>
    <n v="14101"/>
    <n v="9"/>
    <s v="No"/>
    <s v="No"/>
    <s v="OK"/>
    <x v="0"/>
    <n v="9"/>
    <s v="OK"/>
  </r>
  <r>
    <s v="A10076"/>
    <s v="P1267"/>
    <d v="2025-10-29T00:00:00"/>
    <d v="2025-11-16T00:00:00"/>
    <x v="1"/>
    <s v="Myocardial Infarction"/>
    <n v="79"/>
    <s v="Female"/>
    <s v="Dr. Smith"/>
    <x v="0"/>
    <n v="14365"/>
    <n v="18"/>
    <s v="Yes"/>
    <s v="No"/>
    <s v="OK"/>
    <x v="0"/>
    <n v="18"/>
    <s v="OK"/>
  </r>
  <r>
    <s v="A10173"/>
    <s v="P1016"/>
    <d v="2025-01-28T00:00:00"/>
    <d v="2025-02-12T00:00:00"/>
    <x v="6"/>
    <s v="COVID-19"/>
    <n v="56"/>
    <s v="Male"/>
    <s v="Dr. Patel"/>
    <x v="0"/>
    <n v="10764"/>
    <n v="15"/>
    <s v="No"/>
    <s v="Yes"/>
    <s v="OK"/>
    <x v="0"/>
    <n v="15"/>
    <s v="OK"/>
  </r>
  <r>
    <s v="A10124"/>
    <s v="P1197"/>
    <m/>
    <d v="2025-08-04T00:00:00"/>
    <x v="2"/>
    <s v="COVID-19"/>
    <n v="72"/>
    <s v="Female"/>
    <s v="Dr. A. Jones"/>
    <x v="2"/>
    <n v="9999"/>
    <n v="19"/>
    <s v="Yes"/>
    <s v="Yes"/>
    <s v="Missing date"/>
    <x v="0"/>
    <s v=""/>
    <s v="Cannot check dates"/>
  </r>
  <r>
    <s v="A10168"/>
    <s v="P1381"/>
    <d v="2025-07-15T00:00:00"/>
    <d v="2025-07-16T00:00:00"/>
    <x v="3"/>
    <s v="Type 2 Diabetes"/>
    <n v="71"/>
    <s v="Male"/>
    <s v="Dr. Smith"/>
    <x v="1"/>
    <n v="7266"/>
    <n v="1"/>
    <s v="Yes"/>
    <s v="Yes"/>
    <s v="OK"/>
    <x v="0"/>
    <n v="1"/>
    <s v="OK"/>
  </r>
  <r>
    <s v="A10446"/>
    <s v="P1204"/>
    <d v="2025-01-12T00:00:00"/>
    <d v="2025-01-23T00:00:00"/>
    <x v="3"/>
    <s v="Type 2 Diabetes"/>
    <n v="21"/>
    <s v="Other"/>
    <s v="Dr. Lee"/>
    <x v="1"/>
    <n v="5940"/>
    <n v="11"/>
    <s v="Yes"/>
    <s v="Yes"/>
    <s v="OK"/>
    <x v="0"/>
    <n v="11"/>
    <s v="OK"/>
  </r>
  <r>
    <s v="A10335"/>
    <s v="P1039"/>
    <d v="2025-03-01T00:00:00"/>
    <d v="2025-03-04T00:00:00"/>
    <x v="4"/>
    <s v="Fracture - Femur"/>
    <n v="26"/>
    <s v="Other"/>
    <s v="Dr. A. Jones"/>
    <x v="1"/>
    <n v="12064"/>
    <n v="3"/>
    <s v="Yes"/>
    <s v="Yes"/>
    <s v="OK"/>
    <x v="0"/>
    <n v="3"/>
    <s v="OK"/>
  </r>
  <r>
    <s v="A10429"/>
    <s v="P1160"/>
    <d v="2025-09-26T00:00:00"/>
    <d v="2025-10-02T00:00:00"/>
    <x v="0"/>
    <s v="COVID-19"/>
    <n v="54"/>
    <s v="Female"/>
    <s v="Dr. A. Jones"/>
    <x v="0"/>
    <n v="5140"/>
    <n v="6"/>
    <s v="Yes"/>
    <s v="Yes"/>
    <s v="OK"/>
    <x v="0"/>
    <n v="6"/>
    <s v="OK"/>
  </r>
  <r>
    <s v="A10235"/>
    <s v="P1260"/>
    <d v="2025-01-22T00:00:00"/>
    <d v="2025-01-23T00:00:00"/>
    <x v="5"/>
    <s v="Hypertension"/>
    <n v="17"/>
    <s v="Female"/>
    <s v="Dr. A. Jones"/>
    <x v="0"/>
    <m/>
    <n v="1"/>
    <s v="No"/>
    <s v="Yes"/>
    <s v="OK"/>
    <x v="1"/>
    <n v="1"/>
    <s v="OK"/>
  </r>
  <r>
    <s v="A10297"/>
    <s v="P1024"/>
    <d v="2025-11-09T00:00:00"/>
    <m/>
    <x v="3"/>
    <s v="Type 2 Diabetes"/>
    <n v="36"/>
    <s v="Male"/>
    <s v="Dr. Smith"/>
    <x v="0"/>
    <n v="12646"/>
    <n v="3"/>
    <s v="Yes"/>
    <s v="No"/>
    <s v="Missing date"/>
    <x v="0"/>
    <s v=""/>
    <s v="Cannot check dates"/>
  </r>
  <r>
    <s v="A10472"/>
    <s v="P1059"/>
    <d v="2025-03-28T00:00:00"/>
    <d v="2025-04-06T00:00:00"/>
    <x v="0"/>
    <s v="COVID-19"/>
    <n v="18"/>
    <s v="Other"/>
    <s v="Dr. A. Jones"/>
    <x v="1"/>
    <n v="8346"/>
    <n v="9"/>
    <s v="Yes"/>
    <s v="No"/>
    <s v="OK"/>
    <x v="0"/>
    <n v="9"/>
    <s v="OK"/>
  </r>
  <r>
    <s v="A10209"/>
    <s v="P1077"/>
    <d v="2025-07-13T00:00:00"/>
    <d v="2025-07-31T00:00:00"/>
    <x v="5"/>
    <s v="Hypertension"/>
    <n v="3"/>
    <s v="Male"/>
    <s v="Dr. Smith"/>
    <x v="2"/>
    <m/>
    <n v="18"/>
    <s v="Yes"/>
    <s v="No"/>
    <s v="OK"/>
    <x v="1"/>
    <n v="18"/>
    <s v="OK"/>
  </r>
  <r>
    <s v="A10062"/>
    <s v="P1341"/>
    <d v="2025-10-13T00:00:00"/>
    <d v="2025-10-15T00:00:00"/>
    <x v="2"/>
    <s v="Asthma"/>
    <n v="43"/>
    <s v="Male"/>
    <s v="Dr. A. Jones"/>
    <x v="1"/>
    <n v="10087"/>
    <n v="2"/>
    <s v="Yes"/>
    <s v="Yes"/>
    <s v="OK"/>
    <x v="0"/>
    <n v="2"/>
    <s v="OK"/>
  </r>
  <r>
    <s v="A10031"/>
    <s v="P1346"/>
    <d v="2025-06-15T00:00:00"/>
    <d v="2025-06-22T00:00:00"/>
    <x v="3"/>
    <s v="Type 2 Diabetes"/>
    <n v="65"/>
    <s v="Male"/>
    <s v="Dr. Patel"/>
    <x v="2"/>
    <n v="10765"/>
    <n v="7"/>
    <s v="Yes"/>
    <s v="Yes"/>
    <s v="OK"/>
    <x v="0"/>
    <n v="7"/>
    <s v="OK"/>
  </r>
  <r>
    <s v="A10379"/>
    <s v="P1363"/>
    <d v="2025-02-01T00:00:00"/>
    <d v="2025-02-10T00:00:00"/>
    <x v="5"/>
    <s v="Hypertension"/>
    <n v="16"/>
    <s v="Female"/>
    <s v="Dr. Patel"/>
    <x v="2"/>
    <n v="9188"/>
    <n v="9"/>
    <s v="Yes"/>
    <s v="Yes"/>
    <s v="OK"/>
    <x v="0"/>
    <n v="9"/>
    <s v="OK"/>
  </r>
  <r>
    <s v="A10322"/>
    <s v="P1289"/>
    <d v="2025-11-10T00:00:00"/>
    <d v="2025-11-28T00:00:00"/>
    <x v="1"/>
    <s v="Myocardial Infarction"/>
    <n v="77"/>
    <s v="Male"/>
    <s v="Dr. Patel"/>
    <x v="1"/>
    <n v="11294"/>
    <n v="18"/>
    <s v="No"/>
    <s v="No"/>
    <s v="OK"/>
    <x v="0"/>
    <n v="18"/>
    <s v="OK"/>
  </r>
  <r>
    <s v="A10447"/>
    <s v="P1364"/>
    <d v="2025-08-20T00:00:00"/>
    <d v="2025-09-09T00:00:00"/>
    <x v="2"/>
    <s v="Asthma"/>
    <n v="95"/>
    <s v="Female"/>
    <s v="Dr. Patel"/>
    <x v="1"/>
    <n v="13859"/>
    <n v="20"/>
    <s v="No"/>
    <s v="No"/>
    <s v="OK"/>
    <x v="0"/>
    <n v="20"/>
    <s v="OK"/>
  </r>
  <r>
    <s v="A10034"/>
    <s v="P1354"/>
    <d v="2025-09-04T00:00:00"/>
    <d v="2025-09-18T00:00:00"/>
    <x v="3"/>
    <s v="Type 2 Diabetes"/>
    <n v="68"/>
    <s v="Female"/>
    <s v="Dr. Smith"/>
    <x v="1"/>
    <n v="3342"/>
    <m/>
    <s v="Yes"/>
    <s v="No"/>
    <s v="OK"/>
    <x v="0"/>
    <n v="14"/>
    <s v="Missing recorded stay"/>
  </r>
  <r>
    <s v="A10320"/>
    <s v="P1346"/>
    <d v="2025-04-03T00:00:00"/>
    <d v="2025-04-09T00:00:00"/>
    <x v="5"/>
    <s v="Hypertension"/>
    <n v="10"/>
    <m/>
    <s v="Dr. A. Jones"/>
    <x v="2"/>
    <n v="5528"/>
    <m/>
    <s v="No"/>
    <s v="Yes"/>
    <s v="OK"/>
    <x v="0"/>
    <n v="6"/>
    <s v="Missing recorded stay"/>
  </r>
  <r>
    <s v="A10416"/>
    <s v="P1352"/>
    <d v="2025-11-15T00:00:00"/>
    <d v="2025-12-01T00:00:00"/>
    <x v="2"/>
    <s v="Asthma"/>
    <n v="18"/>
    <s v="Female"/>
    <s v="Dr. A. Jones"/>
    <x v="1"/>
    <n v="5845"/>
    <n v="16"/>
    <s v="Yes"/>
    <s v="Yes"/>
    <s v="OK"/>
    <x v="0"/>
    <n v="16"/>
    <s v="OK"/>
  </r>
  <r>
    <s v="A10492"/>
    <s v="P1287"/>
    <d v="2025-01-20T00:00:00"/>
    <d v="2025-02-04T00:00:00"/>
    <x v="3"/>
    <s v="Type 2 Diabetes"/>
    <n v="70"/>
    <s v="Male"/>
    <s v="Dr. Patel"/>
    <x v="0"/>
    <n v="6955"/>
    <n v="15"/>
    <s v="No"/>
    <s v="No"/>
    <s v="OK"/>
    <x v="0"/>
    <n v="15"/>
    <s v="OK"/>
  </r>
  <r>
    <s v="A10202"/>
    <s v="P1038"/>
    <d v="2025-03-31T00:00:00"/>
    <d v="2025-04-05T00:00:00"/>
    <x v="2"/>
    <s v="Asthma"/>
    <n v="18"/>
    <s v="Female"/>
    <s v="Dr. Smith"/>
    <x v="1"/>
    <n v="11604"/>
    <n v="5"/>
    <s v="No"/>
    <s v="Yes"/>
    <s v="OK"/>
    <x v="0"/>
    <n v="5"/>
    <s v="OK"/>
  </r>
  <r>
    <s v="A10288"/>
    <s v="P1096"/>
    <m/>
    <d v="2025-08-07T00:00:00"/>
    <x v="4"/>
    <s v="Fracture - Femur"/>
    <n v="53"/>
    <s v="Male"/>
    <s v="Dr. Smith"/>
    <x v="2"/>
    <n v="843"/>
    <n v="1"/>
    <s v="Yes"/>
    <s v="No"/>
    <s v="Missing date"/>
    <x v="0"/>
    <s v=""/>
    <s v="Cannot check dates"/>
  </r>
  <r>
    <s v="A10360"/>
    <s v="P1244"/>
    <d v="2025-07-05T00:00:00"/>
    <d v="2025-07-07T00:00:00"/>
    <x v="4"/>
    <s v="Fracture - Femur"/>
    <n v="47"/>
    <s v="Female"/>
    <s v="Dr. Patel"/>
    <x v="2"/>
    <n v="10967"/>
    <n v="2"/>
    <s v="Yes"/>
    <s v="No"/>
    <s v="OK"/>
    <x v="0"/>
    <n v="2"/>
    <s v="OK"/>
  </r>
  <r>
    <s v="A10302"/>
    <s v="P1003"/>
    <d v="2025-04-02T00:00:00"/>
    <d v="2025-04-22T00:00:00"/>
    <x v="6"/>
    <s v="Myocardial Infarction"/>
    <n v="34"/>
    <s v="Female"/>
    <s v="Dr. Patel"/>
    <x v="1"/>
    <n v="3143"/>
    <n v="20"/>
    <s v="No"/>
    <s v="No"/>
    <s v="OK"/>
    <x v="0"/>
    <n v="20"/>
    <s v="OK"/>
  </r>
  <r>
    <s v="A10059"/>
    <s v="P1057"/>
    <d v="2025-12-16T00:00:00"/>
    <d v="2025-12-19T00:00:00"/>
    <x v="4"/>
    <s v="Fracture - Femur"/>
    <n v="29"/>
    <m/>
    <s v="Dr. Smith"/>
    <x v="1"/>
    <n v="3153"/>
    <n v="3"/>
    <s v="No"/>
    <s v="No"/>
    <s v="OK"/>
    <x v="0"/>
    <n v="3"/>
    <s v="OK"/>
  </r>
  <r>
    <s v="A10162"/>
    <s v="P1248"/>
    <d v="2025-07-01T00:00:00"/>
    <m/>
    <x v="4"/>
    <s v="Fracture - Femur"/>
    <n v="82"/>
    <s v="Female"/>
    <s v="Dr. Patel"/>
    <x v="0"/>
    <n v="4756"/>
    <n v="7"/>
    <s v="No"/>
    <s v="Yes"/>
    <s v="Missing date"/>
    <x v="0"/>
    <s v=""/>
    <s v="Cannot check dates"/>
  </r>
  <r>
    <s v="A10418"/>
    <s v="P1146"/>
    <d v="2025-11-23T00:00:00"/>
    <d v="2025-12-12T00:00:00"/>
    <x v="1"/>
    <s v="Myocardial Infarction"/>
    <n v="72"/>
    <s v="Female"/>
    <s v="Dr. A. Jones"/>
    <x v="1"/>
    <n v="8105"/>
    <n v="19"/>
    <s v="Yes"/>
    <s v="Yes"/>
    <s v="OK"/>
    <x v="0"/>
    <n v="19"/>
    <s v="OK"/>
  </r>
  <r>
    <s v="A10356"/>
    <s v="P1185"/>
    <d v="2025-05-20T00:00:00"/>
    <d v="2025-06-04T00:00:00"/>
    <x v="1"/>
    <s v="Myocardial Infarction"/>
    <n v="64"/>
    <s v="Male"/>
    <s v="Dr. A. Jones"/>
    <x v="2"/>
    <n v="13797"/>
    <n v="15"/>
    <s v="No"/>
    <s v="No"/>
    <s v="OK"/>
    <x v="0"/>
    <n v="15"/>
    <s v="OK"/>
  </r>
  <r>
    <s v="A10158"/>
    <s v="P1367"/>
    <d v="2025-02-18T00:00:00"/>
    <d v="2025-03-06T00:00:00"/>
    <x v="3"/>
    <s v="Type 2 Diabetes"/>
    <n v="18"/>
    <s v="Other"/>
    <s v="Dr. Patel"/>
    <x v="0"/>
    <n v="3045"/>
    <n v="16"/>
    <s v="Yes"/>
    <s v="Yes"/>
    <s v="OK"/>
    <x v="0"/>
    <n v="16"/>
    <s v="OK"/>
  </r>
  <r>
    <s v="A10218"/>
    <s v="P1275"/>
    <d v="2025-01-08T00:00:00"/>
    <d v="2025-01-09T00:00:00"/>
    <x v="2"/>
    <s v="Asthma"/>
    <n v="92"/>
    <s v="Male"/>
    <m/>
    <x v="2"/>
    <n v="4078"/>
    <n v="1"/>
    <s v="Yes"/>
    <s v="Yes"/>
    <s v="OK"/>
    <x v="0"/>
    <n v="1"/>
    <s v="OK"/>
  </r>
  <r>
    <s v="A10156"/>
    <s v="P1352"/>
    <d v="2025-07-15T00:00:00"/>
    <d v="2025-07-27T00:00:00"/>
    <x v="1"/>
    <s v="Myocardial Infarction"/>
    <n v="61"/>
    <s v="Male"/>
    <m/>
    <x v="2"/>
    <n v="4689"/>
    <n v="12"/>
    <s v="No"/>
    <s v="No"/>
    <s v="OK"/>
    <x v="0"/>
    <n v="12"/>
    <s v="OK"/>
  </r>
  <r>
    <s v="A10306"/>
    <s v="P1342"/>
    <d v="2025-02-09T00:00:00"/>
    <d v="2025-02-10T00:00:00"/>
    <x v="5"/>
    <s v="Hypertension"/>
    <n v="15"/>
    <s v="Male"/>
    <s v="Dr. Patel"/>
    <x v="1"/>
    <n v="10043"/>
    <n v="1"/>
    <s v="Yes"/>
    <s v="No"/>
    <s v="OK"/>
    <x v="0"/>
    <n v="1"/>
    <s v="OK"/>
  </r>
  <r>
    <s v="A10466"/>
    <s v="P1056"/>
    <d v="2025-01-21T00:00:00"/>
    <d v="2025-02-07T00:00:00"/>
    <x v="3"/>
    <s v="Type 2 Diabetes"/>
    <n v="37"/>
    <s v="Male"/>
    <m/>
    <x v="1"/>
    <n v="13753"/>
    <n v="17"/>
    <s v="No"/>
    <s v="Yes"/>
    <s v="OK"/>
    <x v="0"/>
    <n v="17"/>
    <s v="OK"/>
  </r>
  <r>
    <s v="A10167"/>
    <s v="P1015"/>
    <d v="2025-06-17T00:00:00"/>
    <d v="2025-07-06T00:00:00"/>
    <x v="1"/>
    <s v="Myocardial Infarction"/>
    <n v="68"/>
    <s v="Female"/>
    <s v="Dr. Lee"/>
    <x v="0"/>
    <n v="13263"/>
    <n v="19"/>
    <s v="No"/>
    <s v="Yes"/>
    <s v="OK"/>
    <x v="0"/>
    <n v="19"/>
    <s v="OK"/>
  </r>
  <r>
    <s v="A10095"/>
    <s v="P1278"/>
    <d v="2025-11-03T00:00:00"/>
    <d v="2025-11-05T00:00:00"/>
    <x v="2"/>
    <s v="COVID-19"/>
    <n v="41"/>
    <s v="Male"/>
    <s v="Dr. Patel"/>
    <x v="0"/>
    <n v="9999"/>
    <n v="2"/>
    <s v="Yes"/>
    <s v="No"/>
    <s v="OK"/>
    <x v="0"/>
    <n v="2"/>
    <s v="OK"/>
  </r>
  <r>
    <s v="A10028"/>
    <s v="P1226"/>
    <d v="2025-02-21T00:00:00"/>
    <d v="2025-02-23T00:00:00"/>
    <x v="5"/>
    <s v="Hypertension"/>
    <n v="10"/>
    <s v="Female"/>
    <s v="Dr. Smith"/>
    <x v="2"/>
    <n v="5103"/>
    <n v="2"/>
    <s v="No"/>
    <s v="Yes"/>
    <s v="OK"/>
    <x v="0"/>
    <n v="2"/>
    <s v="OK"/>
  </r>
  <r>
    <s v="A10120"/>
    <s v="P1133"/>
    <m/>
    <d v="2025-08-28T00:00:00"/>
    <x v="3"/>
    <s v="Type 2 Diabetes"/>
    <n v="53"/>
    <s v="Male"/>
    <s v="Dr. Patel"/>
    <x v="0"/>
    <n v="10066"/>
    <n v="11"/>
    <s v="No"/>
    <s v="No"/>
    <s v="Missing date"/>
    <x v="0"/>
    <s v=""/>
    <s v="Cannot check dates"/>
  </r>
  <r>
    <s v="A10313"/>
    <s v="P1099"/>
    <d v="2025-09-09T00:00:00"/>
    <d v="2025-09-26T00:00:00"/>
    <x v="1"/>
    <s v="Myocardial Infarction"/>
    <n v="51"/>
    <s v="Male"/>
    <s v="Dr. Patel"/>
    <x v="0"/>
    <m/>
    <n v="17"/>
    <s v="No"/>
    <s v="No"/>
    <s v="OK"/>
    <x v="1"/>
    <n v="17"/>
    <s v="OK"/>
  </r>
  <r>
    <s v="A10289"/>
    <s v="P1374"/>
    <d v="2025-05-02T00:00:00"/>
    <d v="2025-05-10T00:00:00"/>
    <x v="3"/>
    <s v="Type 2 Diabetes"/>
    <n v="67"/>
    <s v="Male"/>
    <s v="Dr. Smith"/>
    <x v="2"/>
    <n v="3370"/>
    <n v="8"/>
    <s v="No"/>
    <s v="Yes"/>
    <s v="OK"/>
    <x v="0"/>
    <n v="8"/>
    <s v="OK"/>
  </r>
  <r>
    <s v="A10361"/>
    <s v="P1102"/>
    <d v="2025-04-08T00:00:00"/>
    <d v="2025-04-17T00:00:00"/>
    <x v="2"/>
    <s v="Asthma"/>
    <n v="59"/>
    <s v="Female"/>
    <s v="Dr. Smith"/>
    <x v="2"/>
    <n v="11660"/>
    <n v="9"/>
    <s v="No"/>
    <s v="No"/>
    <s v="OK"/>
    <x v="0"/>
    <n v="9"/>
    <s v="OK"/>
  </r>
  <r>
    <s v="A10078"/>
    <s v="P1154"/>
    <d v="2025-10-19T00:00:00"/>
    <d v="2025-11-03T00:00:00"/>
    <x v="1"/>
    <s v="Myocardial Infarction"/>
    <n v="25"/>
    <s v="Male"/>
    <s v="Dr. Smith"/>
    <x v="1"/>
    <n v="3345"/>
    <m/>
    <s v="Yes"/>
    <s v="Yes"/>
    <s v="OK"/>
    <x v="0"/>
    <n v="15"/>
    <s v="Missing recorded stay"/>
  </r>
  <r>
    <s v="A10165"/>
    <s v="P1267"/>
    <m/>
    <d v="2025-07-28T00:00:00"/>
    <x v="1"/>
    <s v="Myocardial Infarction"/>
    <n v="94"/>
    <s v="Female"/>
    <s v="Dr. A. Jones"/>
    <x v="2"/>
    <n v="4149"/>
    <n v="10"/>
    <s v="No"/>
    <s v="No"/>
    <s v="Missing date"/>
    <x v="0"/>
    <s v=""/>
    <s v="Cannot check dates"/>
  </r>
  <r>
    <s v="A10224"/>
    <s v="P1286"/>
    <d v="2025-04-27T00:00:00"/>
    <d v="2025-05-06T00:00:00"/>
    <x v="5"/>
    <s v="Hypertension"/>
    <n v="12"/>
    <s v="Male"/>
    <s v="Dr. Lee"/>
    <x v="1"/>
    <n v="9387"/>
    <n v="9"/>
    <s v="No"/>
    <s v="Yes"/>
    <s v="OK"/>
    <x v="0"/>
    <n v="9"/>
    <s v="OK"/>
  </r>
  <r>
    <s v="A10261"/>
    <s v="P1024"/>
    <d v="2025-06-02T00:00:00"/>
    <d v="2025-06-07T00:00:00"/>
    <x v="2"/>
    <s v="Asthma"/>
    <n v="27"/>
    <s v="Male"/>
    <s v="Dr. A. Jones"/>
    <x v="0"/>
    <m/>
    <n v="5"/>
    <s v="Yes"/>
    <s v="No"/>
    <s v="OK"/>
    <x v="1"/>
    <n v="5"/>
    <s v="OK"/>
  </r>
  <r>
    <s v="A10368"/>
    <s v="P1237"/>
    <d v="2025-04-14T00:00:00"/>
    <d v="2025-04-22T00:00:00"/>
    <x v="1"/>
    <s v="Myocardial Infarction"/>
    <n v="76"/>
    <s v="Male"/>
    <s v="Dr. Patel"/>
    <x v="1"/>
    <n v="782"/>
    <n v="8"/>
    <s v="No"/>
    <s v="Yes"/>
    <s v="OK"/>
    <x v="0"/>
    <n v="8"/>
    <s v="OK"/>
  </r>
  <r>
    <s v="A10398"/>
    <s v="P1264"/>
    <d v="2025-08-14T00:00:00"/>
    <d v="2025-08-26T00:00:00"/>
    <x v="2"/>
    <s v="Asthma"/>
    <n v="89"/>
    <s v="Male"/>
    <s v="Dr. Smith"/>
    <x v="2"/>
    <n v="5761"/>
    <n v="12"/>
    <s v="Yes"/>
    <s v="No"/>
    <s v="OK"/>
    <x v="0"/>
    <n v="12"/>
    <s v="OK"/>
  </r>
  <r>
    <s v="A10004"/>
    <s v="P1288"/>
    <d v="2025-10-27T00:00:00"/>
    <d v="2025-10-29T00:00:00"/>
    <x v="2"/>
    <s v="Asthma"/>
    <n v="58"/>
    <s v="Female"/>
    <s v="Dr. Smith"/>
    <x v="0"/>
    <n v="2500"/>
    <n v="2"/>
    <s v="Yes"/>
    <s v="No"/>
    <s v="OK"/>
    <x v="0"/>
    <n v="2"/>
    <s v="OK"/>
  </r>
  <r>
    <s v="A10040"/>
    <s v="P1157"/>
    <d v="2025-12-11T00:00:00"/>
    <d v="2025-12-18T00:00:00"/>
    <x v="4"/>
    <s v="Fracture - Femur"/>
    <n v="79"/>
    <s v="Male"/>
    <s v="Dr. Smith"/>
    <x v="2"/>
    <m/>
    <n v="7"/>
    <s v="No"/>
    <s v="Yes"/>
    <s v="OK"/>
    <x v="1"/>
    <n v="7"/>
    <s v="OK"/>
  </r>
  <r>
    <s v="A10222"/>
    <s v="P1084"/>
    <m/>
    <d v="2025-12-05T00:00:00"/>
    <x v="0"/>
    <s v="COVID-19"/>
    <n v="55"/>
    <s v="Other"/>
    <s v="Dr. Patel"/>
    <x v="1"/>
    <m/>
    <n v="11"/>
    <s v="No"/>
    <s v="Yes"/>
    <s v="Missing date"/>
    <x v="1"/>
    <s v=""/>
    <s v="Cannot check dates"/>
  </r>
  <r>
    <s v="A10024"/>
    <s v="P1271"/>
    <d v="2025-03-29T00:00:00"/>
    <m/>
    <x v="4"/>
    <s v="Fracture - Femur"/>
    <n v="89"/>
    <s v="Male"/>
    <s v="Dr. Smith"/>
    <x v="2"/>
    <n v="13757"/>
    <n v="20"/>
    <s v="No"/>
    <s v="Yes"/>
    <s v="Missing date"/>
    <x v="0"/>
    <s v=""/>
    <s v="Cannot check dates"/>
  </r>
  <r>
    <s v="A10196"/>
    <s v="P1192"/>
    <d v="2025-08-04T00:00:00"/>
    <d v="2025-08-06T00:00:00"/>
    <x v="2"/>
    <s v="Asthma"/>
    <n v="20"/>
    <s v="Male"/>
    <s v="Dr. Smith"/>
    <x v="2"/>
    <m/>
    <n v="2"/>
    <s v="No"/>
    <s v="Yes"/>
    <s v="OK"/>
    <x v="1"/>
    <n v="2"/>
    <s v="OK"/>
  </r>
  <r>
    <s v="A10221"/>
    <s v="P1314"/>
    <d v="2025-11-20T00:00:00"/>
    <d v="2025-12-09T00:00:00"/>
    <x v="2"/>
    <s v="Asthma"/>
    <n v="92"/>
    <s v="Male"/>
    <s v="Dr. Patel"/>
    <x v="2"/>
    <n v="10623"/>
    <n v="19"/>
    <s v="Yes"/>
    <s v="No"/>
    <s v="OK"/>
    <x v="0"/>
    <n v="19"/>
    <s v="OK"/>
  </r>
  <r>
    <s v="A10253"/>
    <s v="P1233"/>
    <d v="2025-01-05T00:00:00"/>
    <d v="2025-01-10T00:00:00"/>
    <x v="4"/>
    <s v="Fracture - Femur"/>
    <n v="74"/>
    <s v="Male"/>
    <s v="Dr. A. Jones"/>
    <x v="0"/>
    <n v="3841"/>
    <n v="5"/>
    <s v="Yes"/>
    <s v="No"/>
    <s v="OK"/>
    <x v="0"/>
    <n v="5"/>
    <s v="OK"/>
  </r>
  <r>
    <s v="A10220"/>
    <s v="P1072"/>
    <d v="2025-06-14T00:00:00"/>
    <d v="2025-06-18T00:00:00"/>
    <x v="4"/>
    <s v="Fracture - Femur"/>
    <n v="91"/>
    <s v="Male"/>
    <s v="Dr. Smith"/>
    <x v="0"/>
    <n v="810"/>
    <n v="4"/>
    <s v="Yes"/>
    <s v="No"/>
    <s v="OK"/>
    <x v="0"/>
    <n v="4"/>
    <s v="OK"/>
  </r>
  <r>
    <s v="A10323"/>
    <s v="P1248"/>
    <d v="2025-11-07T00:00:00"/>
    <m/>
    <x v="0"/>
    <s v="COVID-19"/>
    <n v="67"/>
    <s v="Female"/>
    <s v="Dr. Patel"/>
    <x v="0"/>
    <n v="7844"/>
    <n v="19"/>
    <s v="Yes"/>
    <s v="Yes"/>
    <s v="Missing date"/>
    <x v="0"/>
    <s v=""/>
    <s v="Cannot check dates"/>
  </r>
  <r>
    <s v="A10346"/>
    <s v="P1062"/>
    <d v="2025-05-21T00:00:00"/>
    <m/>
    <x v="4"/>
    <s v="Fracture - Femur"/>
    <n v="41"/>
    <s v="Female"/>
    <s v="Dr. Patel"/>
    <x v="2"/>
    <n v="2370"/>
    <n v="2"/>
    <s v="Yes"/>
    <s v="No"/>
    <s v="Missing date"/>
    <x v="0"/>
    <s v=""/>
    <s v="Cannot check dates"/>
  </r>
  <r>
    <s v="A10236"/>
    <s v="P1114"/>
    <d v="2025-02-27T00:00:00"/>
    <d v="2025-03-15T00:00:00"/>
    <x v="0"/>
    <s v="COVID-19"/>
    <n v="66"/>
    <s v="Female"/>
    <s v="Dr. Patel"/>
    <x v="0"/>
    <n v="-250"/>
    <n v="16"/>
    <s v="No"/>
    <s v="Yes"/>
    <s v="OK"/>
    <x v="3"/>
    <n v="16"/>
    <s v="OK"/>
  </r>
  <r>
    <s v="A10132"/>
    <s v="P1285"/>
    <d v="2025-09-13T00:00:00"/>
    <d v="2025-09-15T00:00:00"/>
    <x v="3"/>
    <s v="Type 2 Diabetes"/>
    <n v="84"/>
    <s v="Female"/>
    <s v="Dr. Patel"/>
    <x v="1"/>
    <n v="8625"/>
    <n v="2"/>
    <s v="Yes"/>
    <s v="Yes"/>
    <s v="OK"/>
    <x v="0"/>
    <n v="2"/>
    <s v="OK"/>
  </r>
  <r>
    <s v="A10298"/>
    <s v="P1013"/>
    <d v="2025-04-08T00:00:00"/>
    <d v="2025-04-23T00:00:00"/>
    <x v="1"/>
    <s v="Myocardial Infarction"/>
    <n v="53"/>
    <s v="Female"/>
    <s v="Dr. Patel"/>
    <x v="1"/>
    <n v="5257"/>
    <m/>
    <s v="No"/>
    <s v="No"/>
    <s v="OK"/>
    <x v="0"/>
    <n v="15"/>
    <s v="Missing recorded stay"/>
  </r>
  <r>
    <s v="A10084"/>
    <s v="P1232"/>
    <d v="2025-07-12T00:00:00"/>
    <d v="2025-07-16T00:00:00"/>
    <x v="3"/>
    <s v="Type 2 Diabetes"/>
    <n v="84"/>
    <s v="Male"/>
    <s v="Dr. Smith"/>
    <x v="2"/>
    <n v="9106"/>
    <n v="4"/>
    <s v="No"/>
    <s v="Yes"/>
    <s v="OK"/>
    <x v="0"/>
    <n v="4"/>
    <s v="OK"/>
  </r>
  <r>
    <s v="A10064"/>
    <s v="P1143"/>
    <d v="2025-01-17T00:00:00"/>
    <d v="2025-01-24T00:00:00"/>
    <x v="1"/>
    <s v="Myocardial Infarction"/>
    <n v="24"/>
    <s v="Female"/>
    <s v="Dr. Lee"/>
    <x v="2"/>
    <n v="6667"/>
    <n v="7"/>
    <s v="No"/>
    <s v="No"/>
    <s v="OK"/>
    <x v="0"/>
    <n v="7"/>
    <s v="OK"/>
  </r>
  <r>
    <s v="A10193"/>
    <s v="P1015"/>
    <d v="2025-02-15T00:00:00"/>
    <d v="2025-02-26T00:00:00"/>
    <x v="3"/>
    <s v="Type 2 Diabetes"/>
    <n v="20"/>
    <s v="Female"/>
    <s v="Dr. Patel"/>
    <x v="2"/>
    <n v="14370"/>
    <n v="11"/>
    <s v="Yes"/>
    <s v="No"/>
    <s v="OK"/>
    <x v="0"/>
    <n v="11"/>
    <s v="OK"/>
  </r>
  <r>
    <s v="A10124"/>
    <s v="P1197"/>
    <m/>
    <d v="2025-08-04T00:00:00"/>
    <x v="0"/>
    <s v="COVID-19"/>
    <n v="72"/>
    <s v="Female"/>
    <s v="Dr. A. Jones"/>
    <x v="2"/>
    <n v="4716"/>
    <n v="19"/>
    <s v="Yes"/>
    <s v="Yes"/>
    <s v="Missing date"/>
    <x v="0"/>
    <s v=""/>
    <s v="Cannot check dates"/>
  </r>
  <r>
    <s v="A10332"/>
    <s v="P1082"/>
    <d v="2025-04-05T00:00:00"/>
    <d v="2025-04-07T00:00:00"/>
    <x v="1"/>
    <s v="Myocardial Infarction"/>
    <n v="33"/>
    <s v="Other"/>
    <s v="Dr. Smith"/>
    <x v="0"/>
    <n v="5307"/>
    <n v="2"/>
    <s v="Yes"/>
    <s v="No"/>
    <s v="OK"/>
    <x v="0"/>
    <n v="2"/>
    <s v="OK"/>
  </r>
  <r>
    <s v="A10085"/>
    <s v="P1215"/>
    <d v="2025-06-12T00:00:00"/>
    <d v="2025-06-22T00:00:00"/>
    <x v="0"/>
    <s v="COVID-19"/>
    <n v="94"/>
    <s v="Female"/>
    <s v="Dr. A. Jones"/>
    <x v="1"/>
    <n v="13145"/>
    <n v="10"/>
    <s v="No"/>
    <s v="No"/>
    <s v="OK"/>
    <x v="0"/>
    <n v="10"/>
    <s v="OK"/>
  </r>
  <r>
    <s v="A10305"/>
    <s v="P1362"/>
    <d v="2025-09-29T00:00:00"/>
    <d v="2025-10-18T00:00:00"/>
    <x v="4"/>
    <s v="Fracture - Femur"/>
    <m/>
    <s v="Female"/>
    <s v="Dr. Smith"/>
    <x v="0"/>
    <n v="4937"/>
    <n v="19"/>
    <s v="Yes"/>
    <s v="No"/>
    <s v="OK"/>
    <x v="0"/>
    <n v="19"/>
    <s v="OK"/>
  </r>
  <r>
    <s v="A10074"/>
    <s v="P1364"/>
    <d v="2025-10-25T00:00:00"/>
    <d v="2025-11-13T00:00:00"/>
    <x v="3"/>
    <s v="Type 2 Diabetes"/>
    <n v="35"/>
    <s v="Other"/>
    <s v="Dr. Smith"/>
    <x v="2"/>
    <n v="10831"/>
    <n v="19"/>
    <s v="No"/>
    <s v="No"/>
    <s v="OK"/>
    <x v="0"/>
    <n v="19"/>
    <s v="OK"/>
  </r>
  <r>
    <s v="A10044"/>
    <s v="P1103"/>
    <d v="2025-04-23T00:00:00"/>
    <d v="2025-05-11T00:00:00"/>
    <x v="6"/>
    <s v="Fracture - Femur"/>
    <n v="23"/>
    <s v="Female"/>
    <s v="Dr. Smith"/>
    <x v="2"/>
    <n v="11159"/>
    <n v="18"/>
    <s v="No"/>
    <s v="Yes"/>
    <s v="OK"/>
    <x v="0"/>
    <n v="18"/>
    <s v="OK"/>
  </r>
  <r>
    <s v="A10198"/>
    <s v="P1038"/>
    <d v="2025-04-11T00:00:00"/>
    <d v="2025-04-14T00:00:00"/>
    <x v="3"/>
    <s v="Type 2 Diabetes"/>
    <n v="49"/>
    <s v="Male"/>
    <s v="Dr. Patel"/>
    <x v="0"/>
    <n v="567"/>
    <n v="3"/>
    <s v="Yes"/>
    <s v="Yes"/>
    <s v="OK"/>
    <x v="0"/>
    <n v="3"/>
    <s v="OK"/>
  </r>
  <r>
    <s v="A10189"/>
    <s v="P1048"/>
    <d v="2025-04-24T00:00:00"/>
    <d v="2025-05-14T00:00:00"/>
    <x v="1"/>
    <s v="Myocardial Infarction"/>
    <n v="55"/>
    <s v="Female"/>
    <s v="Dr. Lee"/>
    <x v="2"/>
    <n v="-250"/>
    <n v="20"/>
    <s v="Yes"/>
    <s v="No"/>
    <s v="OK"/>
    <x v="3"/>
    <n v="20"/>
    <s v="OK"/>
  </r>
  <r>
    <s v="A10208"/>
    <s v="P1143"/>
    <d v="2025-03-07T00:00:00"/>
    <m/>
    <x v="5"/>
    <s v="Hypertension"/>
    <n v="12"/>
    <s v="Male"/>
    <s v="Dr. A. Jones"/>
    <x v="0"/>
    <n v="12888"/>
    <n v="5"/>
    <s v="Yes"/>
    <s v="No"/>
    <s v="Missing date"/>
    <x v="0"/>
    <s v=""/>
    <s v="Cannot check dates"/>
  </r>
  <r>
    <s v="A10410"/>
    <s v="P1230"/>
    <d v="2025-05-25T00:00:00"/>
    <d v="2025-05-31T00:00:00"/>
    <x v="2"/>
    <s v="Asthma"/>
    <n v="74"/>
    <s v="Female"/>
    <s v="Dr. Patel"/>
    <x v="0"/>
    <n v="3920"/>
    <n v="6"/>
    <s v="Yes"/>
    <s v="Yes"/>
    <s v="OK"/>
    <x v="0"/>
    <n v="6"/>
    <s v="OK"/>
  </r>
  <r>
    <s v="A10274"/>
    <s v="P1387"/>
    <d v="2025-11-05T00:00:00"/>
    <d v="2025-11-15T00:00:00"/>
    <x v="4"/>
    <s v="Fracture - Femur"/>
    <n v="31"/>
    <s v="Female"/>
    <s v="Dr. Patel"/>
    <x v="0"/>
    <m/>
    <n v="10"/>
    <s v="No"/>
    <s v="Yes"/>
    <s v="OK"/>
    <x v="1"/>
    <n v="10"/>
    <s v="OK"/>
  </r>
  <r>
    <s v="A10328"/>
    <s v="P1120"/>
    <d v="2025-03-16T00:00:00"/>
    <d v="2025-03-31T00:00:00"/>
    <x v="3"/>
    <s v="Type 2 Diabetes"/>
    <n v="84"/>
    <s v="Female"/>
    <s v="Dr. Lee"/>
    <x v="1"/>
    <n v="1585"/>
    <n v="15"/>
    <s v="Yes"/>
    <s v="Yes"/>
    <s v="OK"/>
    <x v="0"/>
    <n v="15"/>
    <s v="OK"/>
  </r>
  <r>
    <s v="A10343"/>
    <s v="P1234"/>
    <d v="2025-02-07T00:00:00"/>
    <d v="2025-02-16T00:00:00"/>
    <x v="1"/>
    <s v="Myocardial Infarction"/>
    <m/>
    <s v="Other"/>
    <s v="Dr. Smith"/>
    <x v="0"/>
    <n v="7289"/>
    <n v="9"/>
    <s v="Yes"/>
    <s v="No"/>
    <s v="OK"/>
    <x v="0"/>
    <n v="9"/>
    <s v="OK"/>
  </r>
  <r>
    <s v="A10050"/>
    <s v="P1136"/>
    <d v="2025-10-07T00:00:00"/>
    <d v="2025-10-10T00:00:00"/>
    <x v="5"/>
    <s v="Hypertension"/>
    <n v="15"/>
    <s v="Female"/>
    <s v="Dr. Smith"/>
    <x v="2"/>
    <n v="5907"/>
    <n v="3"/>
    <s v="No"/>
    <s v="No"/>
    <s v="OK"/>
    <x v="0"/>
    <n v="3"/>
    <s v="OK"/>
  </r>
  <r>
    <s v="A10214"/>
    <s v="P1122"/>
    <d v="2025-06-21T00:00:00"/>
    <d v="2025-06-23T00:00:00"/>
    <x v="4"/>
    <s v="Fracture - Femur"/>
    <n v="66"/>
    <s v="Male"/>
    <s v="Dr. A. Jones"/>
    <x v="0"/>
    <n v="3803"/>
    <n v="2"/>
    <s v="No"/>
    <s v="Yes"/>
    <s v="OK"/>
    <x v="0"/>
    <n v="2"/>
    <s v="OK"/>
  </r>
  <r>
    <s v="A10432"/>
    <s v="P1001"/>
    <d v="2025-09-01T00:00:00"/>
    <d v="2025-09-16T00:00:00"/>
    <x v="1"/>
    <s v="Myocardial Infarction"/>
    <n v="35"/>
    <s v="Male"/>
    <s v="Dr. Patel"/>
    <x v="0"/>
    <n v="10860"/>
    <n v="15"/>
    <s v="Yes"/>
    <s v="Yes"/>
    <s v="OK"/>
    <x v="0"/>
    <n v="15"/>
    <s v="OK"/>
  </r>
  <r>
    <s v="A10068"/>
    <s v="P1304"/>
    <d v="2025-11-11T00:00:00"/>
    <d v="2025-11-15T00:00:00"/>
    <x v="3"/>
    <s v="Type 2 Diabetes"/>
    <n v="55"/>
    <s v="Male"/>
    <s v="Dr. Smith"/>
    <x v="1"/>
    <n v="14302"/>
    <n v="4"/>
    <s v="No"/>
    <s v="No"/>
    <s v="OK"/>
    <x v="0"/>
    <n v="4"/>
    <s v="OK"/>
  </r>
  <r>
    <s v="A10284"/>
    <s v="P1210"/>
    <d v="2025-05-11T00:00:00"/>
    <d v="2025-05-21T00:00:00"/>
    <x v="1"/>
    <s v="Myocardial Infarction"/>
    <n v="88"/>
    <s v="Female"/>
    <s v="Dr. Lee"/>
    <x v="0"/>
    <n v="5929"/>
    <n v="10"/>
    <s v="No"/>
    <s v="No"/>
    <s v="OK"/>
    <x v="0"/>
    <n v="10"/>
    <s v="OK"/>
  </r>
  <r>
    <s v="A10499"/>
    <s v="P1313"/>
    <d v="2025-03-09T00:00:00"/>
    <d v="2025-03-29T00:00:00"/>
    <x v="4"/>
    <s v="Fracture - Femur"/>
    <n v="81"/>
    <s v="Male"/>
    <s v="Dr. Patel"/>
    <x v="2"/>
    <n v="8726"/>
    <n v="20"/>
    <s v="Yes"/>
    <s v="Yes"/>
    <s v="OK"/>
    <x v="0"/>
    <n v="20"/>
    <s v="OK"/>
  </r>
  <r>
    <s v="A10463"/>
    <s v="P1144"/>
    <d v="2025-07-22T00:00:00"/>
    <d v="2025-07-25T00:00:00"/>
    <x v="1"/>
    <s v="Myocardial Infarction"/>
    <n v="82"/>
    <s v="Female"/>
    <s v="Dr. A. Jones"/>
    <x v="0"/>
    <n v="3201"/>
    <m/>
    <s v="No"/>
    <s v="Yes"/>
    <s v="OK"/>
    <x v="0"/>
    <n v="3"/>
    <s v="Missing recorded stay"/>
  </r>
  <r>
    <s v="A10187"/>
    <s v="P1345"/>
    <d v="2025-05-13T00:00:00"/>
    <d v="2025-05-26T00:00:00"/>
    <x v="2"/>
    <s v="Asthma"/>
    <n v="79"/>
    <s v="Male"/>
    <m/>
    <x v="0"/>
    <n v="2120"/>
    <n v="13"/>
    <s v="Yes"/>
    <s v="No"/>
    <s v="OK"/>
    <x v="0"/>
    <n v="13"/>
    <s v="OK"/>
  </r>
  <r>
    <s v="A10470"/>
    <s v="P1145"/>
    <d v="2025-11-16T00:00:00"/>
    <d v="2025-11-30T00:00:00"/>
    <x v="5"/>
    <s v="Hypertension"/>
    <n v="8"/>
    <s v="Female"/>
    <s v="Dr. Smith"/>
    <x v="1"/>
    <n v="7143"/>
    <n v="14"/>
    <s v="No"/>
    <s v="No"/>
    <s v="OK"/>
    <x v="0"/>
    <n v="14"/>
    <s v="OK"/>
  </r>
  <r>
    <s v="A10219"/>
    <s v="P1246"/>
    <d v="2025-06-08T00:00:00"/>
    <d v="2025-06-27T00:00:00"/>
    <x v="5"/>
    <s v="Hypertension"/>
    <n v="17"/>
    <s v="Female"/>
    <s v="Dr. A. Jones"/>
    <x v="0"/>
    <n v="13420"/>
    <n v="19"/>
    <s v="No"/>
    <s v="No"/>
    <s v="OK"/>
    <x v="0"/>
    <n v="19"/>
    <s v="OK"/>
  </r>
  <r>
    <s v="A10444"/>
    <s v="P1130"/>
    <d v="2025-11-23T00:00:00"/>
    <d v="2025-12-04T00:00:00"/>
    <x v="4"/>
    <s v="Fracture - Femur"/>
    <n v="63"/>
    <s v="Male"/>
    <s v="Dr. Patel"/>
    <x v="0"/>
    <n v="7895"/>
    <n v="11"/>
    <s v="Yes"/>
    <s v="No"/>
    <s v="OK"/>
    <x v="0"/>
    <n v="11"/>
    <s v="OK"/>
  </r>
  <r>
    <s v="A10430"/>
    <s v="P1239"/>
    <d v="2025-11-23T00:00:00"/>
    <d v="2025-11-28T00:00:00"/>
    <x v="5"/>
    <s v="Hypertension"/>
    <n v="7"/>
    <s v="Female"/>
    <s v="Dr. A. Jones"/>
    <x v="2"/>
    <m/>
    <m/>
    <s v="No"/>
    <s v="Yes"/>
    <s v="OK"/>
    <x v="1"/>
    <n v="5"/>
    <s v="Missing recorded stay"/>
  </r>
  <r>
    <s v="A10143"/>
    <s v="P1095"/>
    <d v="2025-06-27T00:00:00"/>
    <d v="2025-07-09T00:00:00"/>
    <x v="2"/>
    <s v="Asthma"/>
    <n v="91"/>
    <s v="Male"/>
    <s v="Dr. A. Jones"/>
    <x v="2"/>
    <n v="5834"/>
    <n v="12"/>
    <s v="No"/>
    <s v="Yes"/>
    <s v="OK"/>
    <x v="0"/>
    <n v="12"/>
    <s v="OK"/>
  </r>
  <r>
    <s v="A10304"/>
    <s v="P1327"/>
    <d v="2025-12-10T00:00:00"/>
    <d v="2025-12-18T00:00:00"/>
    <x v="0"/>
    <s v="COVID-19"/>
    <n v="62"/>
    <s v="Male"/>
    <s v="Dr. A. Jones"/>
    <x v="0"/>
    <n v="750000"/>
    <n v="8"/>
    <s v="Yes"/>
    <s v="No"/>
    <s v="OK"/>
    <x v="2"/>
    <n v="8"/>
    <s v="OK"/>
  </r>
  <r>
    <s v="A10115"/>
    <s v="P1025"/>
    <d v="2025-01-27T00:00:00"/>
    <d v="2025-02-11T00:00:00"/>
    <x v="0"/>
    <s v="COVID-19"/>
    <m/>
    <s v="Female"/>
    <s v="Dr. Patel"/>
    <x v="0"/>
    <n v="13167"/>
    <n v="15"/>
    <s v="No"/>
    <s v="No"/>
    <s v="OK"/>
    <x v="0"/>
    <n v="15"/>
    <s v="OK"/>
  </r>
  <r>
    <s v="A10159"/>
    <s v="P1220"/>
    <d v="2025-09-12T00:00:00"/>
    <d v="2025-09-28T00:00:00"/>
    <x v="3"/>
    <s v="Type 2 Diabetes"/>
    <n v="58"/>
    <s v="Male"/>
    <s v="Dr. Smith"/>
    <x v="2"/>
    <n v="8896"/>
    <n v="16"/>
    <s v="Yes"/>
    <s v="No"/>
    <s v="OK"/>
    <x v="0"/>
    <n v="16"/>
    <s v="OK"/>
  </r>
  <r>
    <s v="A10077"/>
    <s v="P1119"/>
    <d v="2025-07-14T00:00:00"/>
    <d v="2025-07-17T00:00:00"/>
    <x v="2"/>
    <s v="Asthma"/>
    <m/>
    <s v="Male"/>
    <s v="Dr. Smith"/>
    <x v="1"/>
    <n v="11321"/>
    <n v="3"/>
    <s v="No"/>
    <s v="No"/>
    <s v="OK"/>
    <x v="0"/>
    <n v="3"/>
    <s v="OK"/>
  </r>
  <r>
    <s v="A10275"/>
    <s v="P1274"/>
    <d v="2025-09-07T00:00:00"/>
    <d v="2025-09-09T00:00:00"/>
    <x v="5"/>
    <s v="Hypertension"/>
    <n v="9"/>
    <s v="Female"/>
    <s v="Dr. Smith"/>
    <x v="1"/>
    <n v="7008"/>
    <n v="2"/>
    <s v="No"/>
    <s v="Yes"/>
    <s v="OK"/>
    <x v="0"/>
    <n v="2"/>
    <s v="OK"/>
  </r>
  <r>
    <s v="A10483"/>
    <s v="P1224"/>
    <d v="2025-10-01T00:00:00"/>
    <d v="2025-10-13T00:00:00"/>
    <x v="0"/>
    <s v="COVID-19"/>
    <n v="72"/>
    <s v="Male"/>
    <s v="Dr. Patel"/>
    <x v="0"/>
    <n v="8589"/>
    <n v="12"/>
    <s v="Yes"/>
    <s v="No"/>
    <s v="OK"/>
    <x v="0"/>
    <n v="12"/>
    <s v="OK"/>
  </r>
  <r>
    <s v="A10125"/>
    <s v="P1315"/>
    <d v="2025-05-02T00:00:00"/>
    <d v="2025-05-08T00:00:00"/>
    <x v="1"/>
    <s v="Myocardial Infarction"/>
    <n v="48"/>
    <s v="Female"/>
    <m/>
    <x v="1"/>
    <n v="5995"/>
    <n v="6"/>
    <s v="Yes"/>
    <s v="Yes"/>
    <s v="OK"/>
    <x v="0"/>
    <n v="6"/>
    <s v="OK"/>
  </r>
  <r>
    <s v="A10147"/>
    <s v="P1387"/>
    <d v="2025-10-23T00:00:00"/>
    <d v="2025-11-04T00:00:00"/>
    <x v="1"/>
    <s v="Myocardial Infarction"/>
    <n v="38"/>
    <s v="Female"/>
    <s v="Dr. Smith"/>
    <x v="0"/>
    <n v="10218"/>
    <n v="12"/>
    <s v="No"/>
    <s v="Yes"/>
    <s v="OK"/>
    <x v="0"/>
    <n v="12"/>
    <s v="OK"/>
  </r>
  <r>
    <s v="A10129"/>
    <s v="P1212"/>
    <d v="2025-10-10T00:00:00"/>
    <d v="2025-10-26T00:00:00"/>
    <x v="2"/>
    <s v="Asthma"/>
    <n v="67"/>
    <s v="Other"/>
    <s v="Dr. Smith"/>
    <x v="2"/>
    <n v="9603"/>
    <n v="16"/>
    <s v="Yes"/>
    <s v="No"/>
    <s v="OK"/>
    <x v="0"/>
    <n v="16"/>
    <s v="OK"/>
  </r>
  <r>
    <s v="A10014"/>
    <s v="P1086"/>
    <d v="2025-05-28T00:00:00"/>
    <d v="2025-06-08T00:00:00"/>
    <x v="3"/>
    <s v="Type 2 Diabetes"/>
    <n v="71"/>
    <s v="Female"/>
    <s v="Dr. A. Jones"/>
    <x v="0"/>
    <m/>
    <n v="11"/>
    <s v="No"/>
    <s v="No"/>
    <s v="OK"/>
    <x v="1"/>
    <n v="11"/>
    <s v="OK"/>
  </r>
  <r>
    <s v="A10248"/>
    <s v="P1186"/>
    <d v="2025-04-12T00:00:00"/>
    <d v="2025-04-15T00:00:00"/>
    <x v="5"/>
    <s v="Hypertension"/>
    <m/>
    <s v="Female"/>
    <s v="Dr. Patel"/>
    <x v="2"/>
    <m/>
    <n v="3"/>
    <s v="Yes"/>
    <s v="Yes"/>
    <s v="OK"/>
    <x v="1"/>
    <n v="3"/>
    <s v="OK"/>
  </r>
  <r>
    <s v="A10456"/>
    <s v="P1388"/>
    <d v="2025-01-27T00:00:00"/>
    <d v="2025-02-09T00:00:00"/>
    <x v="4"/>
    <s v="Fracture - Femur"/>
    <n v="69"/>
    <s v="Male"/>
    <s v="Dr. Smith"/>
    <x v="0"/>
    <m/>
    <n v="13"/>
    <s v="No"/>
    <s v="No"/>
    <s v="OK"/>
    <x v="1"/>
    <n v="13"/>
    <s v="OK"/>
  </r>
  <r>
    <s v="A10225"/>
    <s v="P1156"/>
    <d v="2025-08-18T00:00:00"/>
    <d v="2025-09-05T00:00:00"/>
    <x v="0"/>
    <s v="COVID-19"/>
    <n v="31"/>
    <s v="Male"/>
    <s v="Dr. A. Jones"/>
    <x v="0"/>
    <n v="2996"/>
    <n v="18"/>
    <s v="No"/>
    <s v="No"/>
    <s v="OK"/>
    <x v="0"/>
    <n v="18"/>
    <s v="OK"/>
  </r>
  <r>
    <s v="A10123"/>
    <s v="P1202"/>
    <d v="2025-12-02T00:00:00"/>
    <d v="2025-12-03T00:00:00"/>
    <x v="4"/>
    <s v="Fracture - Femur"/>
    <n v="76"/>
    <s v="Other"/>
    <s v="Dr. Patel"/>
    <x v="2"/>
    <n v="6843"/>
    <n v="1"/>
    <s v="Yes"/>
    <s v="No"/>
    <s v="OK"/>
    <x v="0"/>
    <n v="1"/>
    <s v="OK"/>
  </r>
  <r>
    <s v="A10088"/>
    <s v="P1237"/>
    <d v="2025-02-19T00:00:00"/>
    <d v="2025-03-11T00:00:00"/>
    <x v="0"/>
    <s v="COVID-19"/>
    <n v="53"/>
    <m/>
    <s v="Dr. Patel"/>
    <x v="1"/>
    <n v="3596"/>
    <n v="20"/>
    <s v="No"/>
    <s v="Yes"/>
    <s v="OK"/>
    <x v="0"/>
    <n v="20"/>
    <s v="OK"/>
  </r>
  <r>
    <s v="A10192"/>
    <s v="P1107"/>
    <d v="2025-09-01T00:00:00"/>
    <d v="2025-09-09T00:00:00"/>
    <x v="0"/>
    <s v="COVID-19"/>
    <n v="76"/>
    <s v="Male"/>
    <s v="Dr. Patel"/>
    <x v="0"/>
    <n v="14132"/>
    <n v="8"/>
    <s v="No"/>
    <s v="No"/>
    <s v="OK"/>
    <x v="0"/>
    <n v="8"/>
    <s v="OK"/>
  </r>
  <r>
    <s v="A10063"/>
    <s v="P1183"/>
    <d v="2025-05-31T00:00:00"/>
    <d v="2025-06-05T00:00:00"/>
    <x v="5"/>
    <s v="Hypertension"/>
    <n v="14"/>
    <s v="Female"/>
    <m/>
    <x v="1"/>
    <n v="11990"/>
    <n v="5"/>
    <s v="No"/>
    <s v="Yes"/>
    <s v="OK"/>
    <x v="0"/>
    <n v="5"/>
    <s v="OK"/>
  </r>
  <r>
    <s v="A10182"/>
    <s v="P1317"/>
    <d v="2025-01-21T00:00:00"/>
    <d v="2025-02-05T00:00:00"/>
    <x v="4"/>
    <s v="Fracture - Femur"/>
    <n v="93"/>
    <s v="Female"/>
    <s v="Dr. Lee"/>
    <x v="2"/>
    <n v="11020"/>
    <n v="15"/>
    <s v="Yes"/>
    <s v="No"/>
    <s v="OK"/>
    <x v="0"/>
    <n v="15"/>
    <s v="OK"/>
  </r>
  <r>
    <s v="A10122"/>
    <s v="P1275"/>
    <d v="2025-08-21T00:00:00"/>
    <d v="2025-08-22T00:00:00"/>
    <x v="0"/>
    <s v="COVID-19"/>
    <n v="52"/>
    <s v="Female"/>
    <s v="Dr. Smith"/>
    <x v="1"/>
    <n v="6610"/>
    <m/>
    <s v="Yes"/>
    <s v="Yes"/>
    <s v="OK"/>
    <x v="0"/>
    <n v="1"/>
    <s v="Missing recorded stay"/>
  </r>
  <r>
    <s v="A10307"/>
    <s v="P1066"/>
    <m/>
    <d v="2025-09-18T00:00:00"/>
    <x v="1"/>
    <s v="Myocardial Infarction"/>
    <n v="72"/>
    <s v="Female"/>
    <s v="Dr. Lee"/>
    <x v="1"/>
    <n v="13313"/>
    <n v="8"/>
    <s v="Yes"/>
    <s v="No"/>
    <s v="Missing date"/>
    <x v="0"/>
    <s v=""/>
    <s v="Cannot check dates"/>
  </r>
  <r>
    <s v="A10039"/>
    <s v="P1232"/>
    <d v="2025-02-25T00:00:00"/>
    <d v="2025-03-01T00:00:00"/>
    <x v="4"/>
    <s v="Fracture - Femur"/>
    <m/>
    <s v="Male"/>
    <s v="Dr. Smith"/>
    <x v="1"/>
    <n v="7898"/>
    <n v="4"/>
    <s v="No"/>
    <s v="Yes"/>
    <s v="OK"/>
    <x v="0"/>
    <n v="4"/>
    <s v="OK"/>
  </r>
  <r>
    <s v="A10005"/>
    <s v="P1117"/>
    <d v="2025-06-29T00:00:00"/>
    <d v="2025-07-13T00:00:00"/>
    <x v="2"/>
    <s v="Asthma"/>
    <n v="89"/>
    <s v="Female"/>
    <s v="Dr. Smith"/>
    <x v="2"/>
    <n v="1280"/>
    <n v="14"/>
    <s v="No"/>
    <s v="No"/>
    <s v="OK"/>
    <x v="0"/>
    <n v="14"/>
    <s v="OK"/>
  </r>
  <r>
    <s v="A10426"/>
    <s v="P1311"/>
    <m/>
    <d v="2025-02-10T00:00:00"/>
    <x v="2"/>
    <s v="Asthma"/>
    <n v="92"/>
    <s v="Female"/>
    <s v="Dr. Smith"/>
    <x v="2"/>
    <n v="8842"/>
    <n v="8"/>
    <s v="Yes"/>
    <s v="No"/>
    <s v="Missing date"/>
    <x v="0"/>
    <s v=""/>
    <s v="Cannot check dates"/>
  </r>
  <r>
    <s v="A10315"/>
    <s v="P1228"/>
    <d v="2025-03-18T00:00:00"/>
    <d v="2025-04-01T00:00:00"/>
    <x v="1"/>
    <s v="Myocardial Infarction"/>
    <n v="85"/>
    <s v="Male"/>
    <s v="Dr. Smith"/>
    <x v="0"/>
    <n v="9626"/>
    <n v="14"/>
    <s v="Yes"/>
    <s v="Yes"/>
    <s v="OK"/>
    <x v="0"/>
    <n v="14"/>
    <s v="OK"/>
  </r>
  <r>
    <s v="A10018"/>
    <s v="P1148"/>
    <m/>
    <d v="2025-03-10T00:00:00"/>
    <x v="5"/>
    <s v="Hypertension"/>
    <n v="11"/>
    <s v="Female"/>
    <s v="Dr. Lee"/>
    <x v="2"/>
    <n v="8464"/>
    <n v="3"/>
    <s v="Yes"/>
    <s v="No"/>
    <s v="Missing date"/>
    <x v="0"/>
    <s v=""/>
    <s v="Cannot check dates"/>
  </r>
  <r>
    <s v="A10427"/>
    <s v="P1323"/>
    <d v="2025-11-09T00:00:00"/>
    <d v="2025-11-20T00:00:00"/>
    <x v="0"/>
    <s v="COVID-19"/>
    <n v="70"/>
    <s v="Other"/>
    <s v="Dr. Patel"/>
    <x v="0"/>
    <n v="7880"/>
    <n v="11"/>
    <s v="Yes"/>
    <s v="Yes"/>
    <s v="OK"/>
    <x v="0"/>
    <n v="11"/>
    <s v="OK"/>
  </r>
  <r>
    <s v="A10439"/>
    <s v="P1078"/>
    <d v="2025-04-23T00:00:00"/>
    <d v="2025-04-29T00:00:00"/>
    <x v="4"/>
    <s v="Fracture - Femur"/>
    <n v="28"/>
    <s v="Female"/>
    <s v="Dr. Smith"/>
    <x v="0"/>
    <n v="2136"/>
    <n v="6"/>
    <s v="Yes"/>
    <s v="No"/>
    <s v="OK"/>
    <x v="0"/>
    <n v="6"/>
    <s v="OK"/>
  </r>
  <r>
    <s v="A10153"/>
    <s v="P1116"/>
    <d v="2025-07-11T00:00:00"/>
    <d v="2025-07-22T00:00:00"/>
    <x v="2"/>
    <s v="Asthma"/>
    <m/>
    <s v="Female"/>
    <s v="Dr. Patel"/>
    <x v="2"/>
    <n v="5612"/>
    <n v="11"/>
    <s v="No"/>
    <s v="No"/>
    <s v="OK"/>
    <x v="0"/>
    <n v="11"/>
    <s v="OK"/>
  </r>
  <r>
    <s v="A10365"/>
    <s v="P1134"/>
    <d v="2025-09-16T00:00:00"/>
    <d v="2025-09-30T00:00:00"/>
    <x v="5"/>
    <s v="Hypertension"/>
    <n v="11"/>
    <s v="Male"/>
    <s v="Dr. Patel"/>
    <x v="1"/>
    <m/>
    <n v="14"/>
    <s v="Yes"/>
    <s v="Yes"/>
    <s v="OK"/>
    <x v="1"/>
    <n v="14"/>
    <s v="OK"/>
  </r>
  <r>
    <s v="A10025"/>
    <s v="P1338"/>
    <d v="2025-11-19T00:00:00"/>
    <d v="2025-12-07T00:00:00"/>
    <x v="3"/>
    <s v="Type 2 Diabetes"/>
    <n v="38"/>
    <s v="Female"/>
    <s v="Dr. A. Jones"/>
    <x v="0"/>
    <n v="4498"/>
    <n v="18"/>
    <s v="Yes"/>
    <s v="No"/>
    <s v="OK"/>
    <x v="0"/>
    <n v="18"/>
    <s v="OK"/>
  </r>
  <r>
    <s v="A10166"/>
    <s v="P1231"/>
    <d v="2025-12-04T00:00:00"/>
    <d v="2025-12-05T00:00:00"/>
    <x v="1"/>
    <s v="Myocardial Infarction"/>
    <n v="32"/>
    <s v="Female"/>
    <s v="Dr. Smith"/>
    <x v="0"/>
    <n v="8225"/>
    <m/>
    <s v="Yes"/>
    <s v="Yes"/>
    <s v="OK"/>
    <x v="0"/>
    <n v="1"/>
    <s v="Missing recorded stay"/>
  </r>
  <r>
    <s v="A10097"/>
    <s v="P1286"/>
    <d v="2025-05-27T00:00:00"/>
    <d v="2025-06-13T00:00:00"/>
    <x v="3"/>
    <s v="Type 2 Diabetes"/>
    <n v="81"/>
    <s v="Female"/>
    <s v="Dr. Patel"/>
    <x v="0"/>
    <n v="4929"/>
    <n v="17"/>
    <s v="Yes"/>
    <s v="Yes"/>
    <s v="OK"/>
    <x v="0"/>
    <n v="17"/>
    <s v="OK"/>
  </r>
  <r>
    <s v="A10246"/>
    <s v="P1199"/>
    <d v="2025-09-26T00:00:00"/>
    <d v="2025-10-02T00:00:00"/>
    <x v="0"/>
    <s v="COVID-19"/>
    <n v="81"/>
    <s v="Female"/>
    <s v="Dr. Smith"/>
    <x v="2"/>
    <n v="4853"/>
    <n v="6"/>
    <s v="Yes"/>
    <s v="No"/>
    <s v="OK"/>
    <x v="0"/>
    <n v="6"/>
    <s v="OK"/>
  </r>
  <r>
    <s v="A10144"/>
    <s v="P1208"/>
    <d v="2025-12-13T00:00:00"/>
    <d v="2025-12-31T00:00:00"/>
    <x v="1"/>
    <s v="Myocardial Infarction"/>
    <n v="23"/>
    <s v="Male"/>
    <s v="Dr. Smith"/>
    <x v="2"/>
    <m/>
    <m/>
    <s v="Yes"/>
    <s v="Yes"/>
    <s v="OK"/>
    <x v="1"/>
    <n v="18"/>
    <s v="Missing recorded stay"/>
  </r>
  <r>
    <s v="A10038"/>
    <s v="P1195"/>
    <d v="2025-08-01T00:00:00"/>
    <m/>
    <x v="1"/>
    <s v="Myocardial Infarction"/>
    <n v="79"/>
    <s v="Other"/>
    <s v="Dr. Patel"/>
    <x v="2"/>
    <n v="12175"/>
    <n v="11"/>
    <s v="No"/>
    <s v="Yes"/>
    <s v="Missing date"/>
    <x v="0"/>
    <s v=""/>
    <s v="Cannot check dates"/>
  </r>
  <r>
    <s v="A10318"/>
    <s v="P1159"/>
    <d v="2025-01-29T00:00:00"/>
    <d v="2025-02-17T00:00:00"/>
    <x v="5"/>
    <s v="Hypertension"/>
    <n v="8"/>
    <s v="Female"/>
    <s v="Dr. Patel"/>
    <x v="0"/>
    <n v="3145"/>
    <n v="19"/>
    <s v="Yes"/>
    <s v="Yes"/>
    <s v="OK"/>
    <x v="0"/>
    <n v="19"/>
    <s v="OK"/>
  </r>
  <r>
    <s v="A10067"/>
    <s v="P1160"/>
    <d v="2025-02-11T00:00:00"/>
    <d v="2025-02-26T00:00:00"/>
    <x v="1"/>
    <s v="Myocardial Infarction"/>
    <n v="48"/>
    <s v="Male"/>
    <s v="Dr. Smith"/>
    <x v="2"/>
    <n v="1176"/>
    <n v="15"/>
    <s v="Yes"/>
    <s v="No"/>
    <s v="OK"/>
    <x v="0"/>
    <n v="15"/>
    <s v="OK"/>
  </r>
  <r>
    <s v="A10098"/>
    <s v="P1162"/>
    <d v="2025-02-27T00:00:00"/>
    <d v="2025-03-19T00:00:00"/>
    <x v="1"/>
    <s v="Myocardial Infarction"/>
    <n v="34"/>
    <s v="Male"/>
    <s v="Dr. Lee"/>
    <x v="1"/>
    <n v="8494"/>
    <n v="20"/>
    <s v="No"/>
    <s v="No"/>
    <s v="OK"/>
    <x v="0"/>
    <n v="20"/>
    <s v="OK"/>
  </r>
  <r>
    <s v="A10174"/>
    <s v="P1341"/>
    <d v="2025-03-07T00:00:00"/>
    <d v="2025-03-11T00:00:00"/>
    <x v="4"/>
    <s v="Fracture - Femur"/>
    <n v="38"/>
    <s v="Male"/>
    <s v="Dr. A. Jones"/>
    <x v="1"/>
    <n v="10341"/>
    <n v="4"/>
    <s v="Yes"/>
    <s v="No"/>
    <s v="OK"/>
    <x v="0"/>
    <n v="4"/>
    <s v="OK"/>
  </r>
  <r>
    <s v="A10032"/>
    <s v="P1175"/>
    <d v="2025-06-21T00:00:00"/>
    <d v="2025-07-02T00:00:00"/>
    <x v="0"/>
    <s v="COVID-19"/>
    <n v="22"/>
    <s v="Male"/>
    <m/>
    <x v="2"/>
    <n v="11030"/>
    <n v="11"/>
    <s v="Yes"/>
    <s v="Yes"/>
    <s v="OK"/>
    <x v="0"/>
    <n v="11"/>
    <s v="OK"/>
  </r>
  <r>
    <s v="A10247"/>
    <s v="P1304"/>
    <m/>
    <d v="2025-03-05T00:00:00"/>
    <x v="1"/>
    <s v="Myocardial Infarction"/>
    <n v="24"/>
    <s v="Female"/>
    <s v="Dr. Lee"/>
    <x v="0"/>
    <n v="11139"/>
    <n v="19"/>
    <s v="No"/>
    <s v="No"/>
    <s v="Missing date"/>
    <x v="0"/>
    <s v=""/>
    <s v="Cannot check dates"/>
  </r>
  <r>
    <s v="A10161"/>
    <s v="P1068"/>
    <d v="2025-01-30T00:00:00"/>
    <d v="2025-02-08T00:00:00"/>
    <x v="2"/>
    <s v="Asthma"/>
    <n v="58"/>
    <s v="Female"/>
    <s v="Dr. Smith"/>
    <x v="1"/>
    <n v="2350"/>
    <n v="9"/>
    <s v="Yes"/>
    <s v="No"/>
    <s v="OK"/>
    <x v="0"/>
    <n v="9"/>
    <s v="OK"/>
  </r>
  <r>
    <s v="A10458"/>
    <s v="P1168"/>
    <d v="2025-05-04T00:00:00"/>
    <d v="2025-05-12T00:00:00"/>
    <x v="2"/>
    <s v="Asthma"/>
    <n v="30"/>
    <s v="Male"/>
    <s v="Dr. Patel"/>
    <x v="0"/>
    <n v="9802"/>
    <n v="8"/>
    <s v="Yes"/>
    <s v="Yes"/>
    <s v="OK"/>
    <x v="0"/>
    <n v="8"/>
    <s v="OK"/>
  </r>
  <r>
    <s v="A10467"/>
    <s v="P1122"/>
    <d v="2025-09-20T00:00:00"/>
    <d v="2025-09-27T00:00:00"/>
    <x v="2"/>
    <s v="Asthma"/>
    <n v="31"/>
    <s v="Female"/>
    <s v="Dr. Smith"/>
    <x v="0"/>
    <n v="14370"/>
    <n v="7"/>
    <s v="Yes"/>
    <s v="No"/>
    <s v="OK"/>
    <x v="0"/>
    <n v="7"/>
    <s v="OK"/>
  </r>
  <r>
    <s v="A10010"/>
    <s v="P1216"/>
    <d v="2025-12-08T00:00:00"/>
    <d v="2025-12-17T00:00:00"/>
    <x v="3"/>
    <s v="Type 2 Diabetes"/>
    <n v="47"/>
    <s v="Other"/>
    <s v="Dr. Lee"/>
    <x v="2"/>
    <n v="11185"/>
    <n v="9"/>
    <s v="Yes"/>
    <s v="No"/>
    <s v="OK"/>
    <x v="0"/>
    <n v="9"/>
    <s v="OK"/>
  </r>
  <r>
    <s v="A10163"/>
    <s v="P1370"/>
    <d v="2025-10-03T00:00:00"/>
    <d v="2025-10-05T00:00:00"/>
    <x v="4"/>
    <s v="Fracture - Femur"/>
    <n v="89"/>
    <s v="Male"/>
    <s v="Dr. Lee"/>
    <x v="0"/>
    <n v="14128"/>
    <n v="2"/>
    <s v="Yes"/>
    <s v="No"/>
    <s v="OK"/>
    <x v="0"/>
    <n v="2"/>
    <s v="OK"/>
  </r>
  <r>
    <s v="A10207"/>
    <s v="P1269"/>
    <d v="2025-03-19T00:00:00"/>
    <d v="2025-03-27T00:00:00"/>
    <x v="4"/>
    <s v="Fracture - Femur"/>
    <n v="73"/>
    <s v="Female"/>
    <s v="Dr. A. Jones"/>
    <x v="0"/>
    <n v="2696"/>
    <n v="8"/>
    <s v="No"/>
    <s v="Yes"/>
    <s v="OK"/>
    <x v="0"/>
    <n v="8"/>
    <s v="OK"/>
  </r>
  <r>
    <s v="A10465"/>
    <s v="P1320"/>
    <d v="2025-04-08T00:00:00"/>
    <d v="2025-04-19T00:00:00"/>
    <x v="1"/>
    <s v="Myocardial Infarction"/>
    <n v="33"/>
    <m/>
    <s v="Dr. Patel"/>
    <x v="2"/>
    <n v="8507"/>
    <n v="11"/>
    <s v="No"/>
    <s v="No"/>
    <s v="OK"/>
    <x v="0"/>
    <n v="11"/>
    <s v="OK"/>
  </r>
  <r>
    <s v="A10448"/>
    <s v="P1310"/>
    <d v="2025-10-12T00:00:00"/>
    <d v="2025-10-15T00:00:00"/>
    <x v="3"/>
    <s v="Type 2 Diabetes"/>
    <n v="59"/>
    <s v="Male"/>
    <s v="Dr. Patel"/>
    <x v="1"/>
    <n v="12539"/>
    <n v="3"/>
    <s v="Yes"/>
    <s v="No"/>
    <s v="OK"/>
    <x v="0"/>
    <n v="3"/>
    <s v="OK"/>
  </r>
  <r>
    <s v="A10107"/>
    <s v="P1259"/>
    <d v="2025-02-06T00:00:00"/>
    <d v="2025-02-12T00:00:00"/>
    <x v="3"/>
    <s v="Type 2 Diabetes"/>
    <n v="84"/>
    <s v="Male"/>
    <s v="Dr. Patel"/>
    <x v="2"/>
    <n v="9756"/>
    <n v="90"/>
    <s v="No"/>
    <s v="No"/>
    <s v="OK"/>
    <x v="0"/>
    <n v="6"/>
    <s v="Mismatch"/>
  </r>
  <r>
    <s v="A10341"/>
    <s v="P1067"/>
    <m/>
    <d v="2025-06-13T00:00:00"/>
    <x v="1"/>
    <s v="Myocardial Infarction"/>
    <n v="65"/>
    <s v="Male"/>
    <s v="Dr. Patel"/>
    <x v="0"/>
    <n v="7102"/>
    <n v="5"/>
    <s v="Yes"/>
    <s v="Yes"/>
    <s v="Missing date"/>
    <x v="0"/>
    <s v=""/>
    <s v="Cannot check dates"/>
  </r>
  <r>
    <s v="A10137"/>
    <s v="P1077"/>
    <m/>
    <d v="2025-09-03T00:00:00"/>
    <x v="3"/>
    <s v="Type 2 Diabetes"/>
    <n v="89"/>
    <s v="Male"/>
    <s v="Dr. A. Jones"/>
    <x v="2"/>
    <n v="11320"/>
    <n v="17"/>
    <s v="Yes"/>
    <s v="Yes"/>
    <s v="Missing date"/>
    <x v="0"/>
    <s v=""/>
    <s v="Cannot check dates"/>
  </r>
  <r>
    <s v="A10015"/>
    <s v="P1072"/>
    <d v="2025-10-09T00:00:00"/>
    <d v="2025-10-11T00:00:00"/>
    <x v="0"/>
    <s v="COVID-19"/>
    <n v="64"/>
    <s v="Male"/>
    <s v="Dr. Lee"/>
    <x v="2"/>
    <n v="3889"/>
    <n v="2"/>
    <s v="Yes"/>
    <s v="No"/>
    <s v="OK"/>
    <x v="0"/>
    <n v="2"/>
    <s v="OK"/>
  </r>
  <r>
    <s v="A10477"/>
    <s v="P1047"/>
    <m/>
    <d v="2025-04-23T00:00:00"/>
    <x v="0"/>
    <s v="COVID-19"/>
    <n v="89"/>
    <s v="Female"/>
    <s v="Dr. Patel"/>
    <x v="1"/>
    <n v="2919"/>
    <n v="20"/>
    <s v="No"/>
    <s v="Yes"/>
    <s v="Missing date"/>
    <x v="0"/>
    <s v=""/>
    <s v="Cannot check dates"/>
  </r>
  <r>
    <s v="A10003"/>
    <s v="P1247"/>
    <d v="2025-12-08T00:00:00"/>
    <d v="2025-12-17T00:00:00"/>
    <x v="3"/>
    <s v="Type 2 Diabetes"/>
    <n v="34"/>
    <s v="Female"/>
    <s v="Dr. A. Jones"/>
    <x v="1"/>
    <n v="6726"/>
    <n v="9"/>
    <s v="No"/>
    <s v="No"/>
    <s v="OK"/>
    <x v="0"/>
    <n v="9"/>
    <s v="OK"/>
  </r>
  <r>
    <s v="A10303"/>
    <s v="P1285"/>
    <d v="2025-04-15T00:00:00"/>
    <d v="2025-04-24T00:00:00"/>
    <x v="1"/>
    <s v="Myocardial Infarction"/>
    <n v="28"/>
    <s v="Male"/>
    <s v="Dr. A. Jones"/>
    <x v="0"/>
    <n v="4737"/>
    <n v="9"/>
    <s v="Yes"/>
    <s v="Yes"/>
    <s v="OK"/>
    <x v="0"/>
    <n v="9"/>
    <s v="OK"/>
  </r>
  <r>
    <s v="A10029"/>
    <s v="P1266"/>
    <d v="2025-05-15T00:00:00"/>
    <d v="2025-05-28T00:00:00"/>
    <x v="0"/>
    <s v="COVID-19"/>
    <n v="39"/>
    <s v="Male"/>
    <s v="Dr. Smith"/>
    <x v="0"/>
    <n v="3521"/>
    <n v="13"/>
    <s v="No"/>
    <s v="Yes"/>
    <s v="OK"/>
    <x v="0"/>
    <n v="13"/>
    <s v="OK"/>
  </r>
  <r>
    <s v="A10403"/>
    <s v="P1188"/>
    <d v="2025-09-06T00:00:00"/>
    <d v="2025-09-08T00:00:00"/>
    <x v="3"/>
    <s v="Type 2 Diabetes"/>
    <n v="33"/>
    <s v="Male"/>
    <s v="Dr. A. Jones"/>
    <x v="0"/>
    <n v="3232"/>
    <n v="2"/>
    <s v="No"/>
    <s v="No"/>
    <s v="OK"/>
    <x v="0"/>
    <n v="2"/>
    <s v="OK"/>
  </r>
  <r>
    <s v="A10213"/>
    <s v="P1199"/>
    <d v="2025-03-02T00:00:00"/>
    <d v="2025-03-13T00:00:00"/>
    <x v="2"/>
    <s v="Asthma"/>
    <n v="37"/>
    <s v="Other"/>
    <s v="Dr. Smith"/>
    <x v="0"/>
    <n v="6522"/>
    <n v="90"/>
    <s v="Yes"/>
    <s v="No"/>
    <s v="OK"/>
    <x v="0"/>
    <n v="11"/>
    <s v="Mismatch"/>
  </r>
  <r>
    <s v="A10478"/>
    <s v="P1210"/>
    <d v="2025-10-19T00:00:00"/>
    <d v="2025-10-28T00:00:00"/>
    <x v="1"/>
    <s v="Myocardial Infarction"/>
    <n v="19"/>
    <s v="Female"/>
    <s v="Dr. Smith"/>
    <x v="2"/>
    <n v="884"/>
    <n v="90"/>
    <s v="Yes"/>
    <s v="Yes"/>
    <s v="OK"/>
    <x v="0"/>
    <n v="9"/>
    <s v="Mismatch"/>
  </r>
  <r>
    <s v="A10449"/>
    <s v="P1137"/>
    <d v="2025-04-14T00:00:00"/>
    <d v="2025-04-18T00:00:00"/>
    <x v="1"/>
    <s v="Myocardial Infarction"/>
    <n v="68"/>
    <s v="Male"/>
    <s v="Dr. Lee"/>
    <x v="1"/>
    <n v="7460"/>
    <n v="4"/>
    <s v="Yes"/>
    <s v="No"/>
    <s v="OK"/>
    <x v="0"/>
    <n v="4"/>
    <s v="OK"/>
  </r>
  <r>
    <s v="A10119"/>
    <s v="P1360"/>
    <d v="2025-05-26T00:00:00"/>
    <d v="2025-06-10T00:00:00"/>
    <x v="5"/>
    <s v="Hypertension"/>
    <n v="8"/>
    <s v="Other"/>
    <s v="Dr. A. Jones"/>
    <x v="2"/>
    <n v="4472"/>
    <n v="15"/>
    <s v="Yes"/>
    <m/>
    <s v="OK"/>
    <x v="0"/>
    <n v="15"/>
    <s v="OK"/>
  </r>
  <r>
    <s v="A10087"/>
    <s v="P1068"/>
    <d v="2025-03-29T00:00:00"/>
    <d v="2025-04-09T00:00:00"/>
    <x v="6"/>
    <s v="Type 2 Diabetes"/>
    <n v="40"/>
    <s v="Male"/>
    <s v="Dr. A. Jones"/>
    <x v="1"/>
    <n v="1306"/>
    <n v="11"/>
    <s v="No"/>
    <s v="Yes"/>
    <s v="OK"/>
    <x v="0"/>
    <n v="11"/>
    <s v="OK"/>
  </r>
  <r>
    <s v="A10386"/>
    <s v="P1159"/>
    <d v="2025-05-31T00:00:00"/>
    <d v="2025-06-08T00:00:00"/>
    <x v="1"/>
    <s v="Myocardial Infarction"/>
    <n v="84"/>
    <s v="Female"/>
    <s v="Dr. Patel"/>
    <x v="1"/>
    <n v="13571"/>
    <m/>
    <s v="No"/>
    <s v="No"/>
    <s v="OK"/>
    <x v="0"/>
    <n v="8"/>
    <s v="Missing recorded stay"/>
  </r>
  <r>
    <s v="A10319"/>
    <s v="P1266"/>
    <d v="2025-06-19T00:00:00"/>
    <d v="2025-06-26T00:00:00"/>
    <x v="0"/>
    <s v="COVID-19"/>
    <n v="25"/>
    <s v="Male"/>
    <s v="Dr. A. Jones"/>
    <x v="2"/>
    <n v="13526"/>
    <n v="90"/>
    <s v="No"/>
    <s v="No"/>
    <s v="OK"/>
    <x v="0"/>
    <n v="7"/>
    <s v="Mismatch"/>
  </r>
  <r>
    <s v="A10285"/>
    <s v="P1315"/>
    <d v="2025-05-23T00:00:00"/>
    <d v="2025-06-04T00:00:00"/>
    <x v="5"/>
    <s v="Hypertension"/>
    <n v="6"/>
    <s v="Male"/>
    <s v="Dr. Smith"/>
    <x v="0"/>
    <n v="10608"/>
    <n v="12"/>
    <s v="No"/>
    <s v="Yes"/>
    <s v="OK"/>
    <x v="0"/>
    <n v="12"/>
    <s v="OK"/>
  </r>
  <r>
    <s v="A10374"/>
    <s v="P1055"/>
    <d v="2025-06-23T00:00:00"/>
    <d v="2025-07-07T00:00:00"/>
    <x v="5"/>
    <s v="Hypertension"/>
    <n v="2"/>
    <s v="Female"/>
    <s v="Dr. A. Jones"/>
    <x v="1"/>
    <n v="3464"/>
    <n v="14"/>
    <s v="No"/>
    <s v="No"/>
    <s v="OK"/>
    <x v="0"/>
    <n v="14"/>
    <s v="OK"/>
  </r>
  <r>
    <s v="A10101"/>
    <s v="P1383"/>
    <d v="2025-05-01T00:00:00"/>
    <d v="2025-05-14T00:00:00"/>
    <x v="2"/>
    <s v="Asthma"/>
    <n v="26"/>
    <s v="Female"/>
    <s v="Dr. A. Jones"/>
    <x v="2"/>
    <n v="9385"/>
    <n v="13"/>
    <s v="Yes"/>
    <s v="No"/>
    <s v="OK"/>
    <x v="0"/>
    <n v="13"/>
    <s v="OK"/>
  </r>
  <r>
    <s v="A10404"/>
    <s v="P1135"/>
    <d v="2025-09-16T00:00:00"/>
    <d v="2025-09-17T00:00:00"/>
    <x v="0"/>
    <s v="COVID-19"/>
    <n v="93"/>
    <s v="Other"/>
    <m/>
    <x v="0"/>
    <m/>
    <n v="1"/>
    <s v="No"/>
    <s v="Yes"/>
    <s v="OK"/>
    <x v="1"/>
    <n v="1"/>
    <s v="OK"/>
  </r>
  <r>
    <s v="A10260"/>
    <s v="P1273"/>
    <d v="2025-09-19T00:00:00"/>
    <m/>
    <x v="3"/>
    <s v="Type 2 Diabetes"/>
    <n v="29"/>
    <s v="Female"/>
    <s v="Dr. Patel"/>
    <x v="0"/>
    <n v="1220"/>
    <n v="2"/>
    <s v="No"/>
    <s v="No"/>
    <s v="Missing date"/>
    <x v="0"/>
    <s v=""/>
    <s v="Cannot check dates"/>
  </r>
  <r>
    <s v="A10431"/>
    <s v="P1062"/>
    <d v="2025-05-04T00:00:00"/>
    <d v="2025-05-16T00:00:00"/>
    <x v="6"/>
    <s v="Hypertension"/>
    <n v="1"/>
    <s v="Female"/>
    <s v="Dr. A. Jones"/>
    <x v="1"/>
    <n v="14126"/>
    <n v="12"/>
    <s v="Yes"/>
    <s v="Yes"/>
    <s v="OK"/>
    <x v="0"/>
    <n v="12"/>
    <s v="OK"/>
  </r>
  <r>
    <s v="A10238"/>
    <s v="P1043"/>
    <d v="2025-03-07T00:00:00"/>
    <d v="2025-03-18T00:00:00"/>
    <x v="0"/>
    <s v="COVID-19"/>
    <n v="94"/>
    <s v="Female"/>
    <s v="Dr. Patel"/>
    <x v="0"/>
    <n v="6550"/>
    <n v="11"/>
    <s v="No"/>
    <s v="No"/>
    <s v="OK"/>
    <x v="0"/>
    <n v="11"/>
    <s v="OK"/>
  </r>
  <r>
    <s v="A10406"/>
    <s v="P1017"/>
    <d v="2025-05-30T00:00:00"/>
    <d v="2025-06-10T00:00:00"/>
    <x v="5"/>
    <s v="Hypertension"/>
    <n v="14"/>
    <s v="Male"/>
    <s v="Dr. Lee"/>
    <x v="2"/>
    <n v="11359"/>
    <n v="11"/>
    <s v="No"/>
    <s v="Yes"/>
    <s v="OK"/>
    <x v="0"/>
    <n v="11"/>
    <s v="OK"/>
  </r>
  <r>
    <s v="A10244"/>
    <s v="P1242"/>
    <d v="2025-02-18T00:00:00"/>
    <d v="2025-03-02T00:00:00"/>
    <x v="4"/>
    <s v="Fracture - Femur"/>
    <n v="31"/>
    <s v="Male"/>
    <s v="Dr. Patel"/>
    <x v="2"/>
    <n v="2390"/>
    <n v="12"/>
    <s v="No"/>
    <s v="Yes"/>
    <s v="OK"/>
    <x v="0"/>
    <n v="12"/>
    <s v="OK"/>
  </r>
  <r>
    <s v="A10459"/>
    <s v="P1097"/>
    <d v="2025-02-09T00:00:00"/>
    <d v="2025-02-11T00:00:00"/>
    <x v="3"/>
    <s v="Type 2 Diabetes"/>
    <n v="37"/>
    <s v="Female"/>
    <s v="Dr. A. Jones"/>
    <x v="2"/>
    <n v="1499"/>
    <n v="2"/>
    <s v="Yes"/>
    <s v="Yes"/>
    <s v="OK"/>
    <x v="0"/>
    <n v="2"/>
    <s v="OK"/>
  </r>
  <r>
    <s v="A10282"/>
    <s v="P1115"/>
    <d v="2025-06-18T00:00:00"/>
    <d v="2025-07-04T00:00:00"/>
    <x v="0"/>
    <s v="COVID-19"/>
    <n v="30"/>
    <s v="Male"/>
    <s v="Dr. Smith"/>
    <x v="0"/>
    <n v="3730"/>
    <n v="16"/>
    <s v="Yes"/>
    <s v="No"/>
    <s v="OK"/>
    <x v="0"/>
    <n v="16"/>
    <s v="OK"/>
  </r>
  <r>
    <s v="A10358"/>
    <s v="P1180"/>
    <m/>
    <d v="2025-05-19T00:00:00"/>
    <x v="3"/>
    <s v="Type 2 Diabetes"/>
    <n v="68"/>
    <s v="Female"/>
    <s v="Dr. Smith"/>
    <x v="0"/>
    <n v="8133"/>
    <n v="10"/>
    <s v="Yes"/>
    <s v="No"/>
    <s v="Missing date"/>
    <x v="0"/>
    <s v=""/>
    <s v="Cannot check dates"/>
  </r>
  <r>
    <s v="A10490"/>
    <s v="P1207"/>
    <d v="2025-02-08T00:00:00"/>
    <d v="2025-02-18T00:00:00"/>
    <x v="0"/>
    <s v="COVID-19"/>
    <n v="36"/>
    <s v="Female"/>
    <s v="Dr. A. Jones"/>
    <x v="2"/>
    <n v="4743"/>
    <n v="10"/>
    <s v="No"/>
    <s v="No"/>
    <s v="OK"/>
    <x v="0"/>
    <n v="10"/>
    <s v="OK"/>
  </r>
  <r>
    <s v="A10215"/>
    <s v="P1386"/>
    <d v="2025-02-02T00:00:00"/>
    <d v="2025-02-18T00:00:00"/>
    <x v="4"/>
    <s v="Fracture - Femur"/>
    <n v="47"/>
    <s v="Male"/>
    <s v="Dr. Smith"/>
    <x v="0"/>
    <n v="13115"/>
    <n v="16"/>
    <s v="No"/>
    <s v="Yes"/>
    <s v="OK"/>
    <x v="0"/>
    <n v="16"/>
    <s v="OK"/>
  </r>
  <r>
    <s v="A10016"/>
    <s v="P1066"/>
    <d v="2025-11-14T00:00:00"/>
    <d v="2025-11-20T00:00:00"/>
    <x v="5"/>
    <s v="Hypertension"/>
    <n v="13"/>
    <s v="Female"/>
    <s v="Dr. Smith"/>
    <x v="2"/>
    <n v="11725"/>
    <n v="6"/>
    <s v="Yes"/>
    <s v="Yes"/>
    <s v="OK"/>
    <x v="0"/>
    <n v="6"/>
    <s v="OK"/>
  </r>
  <r>
    <s v="A10268"/>
    <s v="P1070"/>
    <d v="2025-03-31T00:00:00"/>
    <d v="2025-04-10T00:00:00"/>
    <x v="4"/>
    <s v="Fracture - Femur"/>
    <n v="40"/>
    <s v="Male"/>
    <s v="Dr. Smith"/>
    <x v="1"/>
    <n v="8396"/>
    <n v="10"/>
    <s v="No"/>
    <s v="No"/>
    <s v="OK"/>
    <x v="0"/>
    <n v="10"/>
    <s v="OK"/>
  </r>
  <r>
    <s v="A10437"/>
    <s v="P1288"/>
    <d v="2025-03-16T00:00:00"/>
    <d v="2025-03-17T00:00:00"/>
    <x v="3"/>
    <s v="Type 2 Diabetes"/>
    <n v="27"/>
    <s v="Male"/>
    <s v="Dr. A. Jones"/>
    <x v="0"/>
    <n v="2527"/>
    <n v="1"/>
    <s v="No"/>
    <s v="Yes"/>
    <s v="OK"/>
    <x v="0"/>
    <n v="1"/>
    <s v="OK"/>
  </r>
  <r>
    <s v="A10415"/>
    <s v="P1117"/>
    <d v="2025-01-16T00:00:00"/>
    <m/>
    <x v="1"/>
    <s v="Myocardial Infarction"/>
    <n v="21"/>
    <s v="Other"/>
    <s v="Dr. Smith"/>
    <x v="1"/>
    <n v="9649"/>
    <n v="16"/>
    <s v="Yes"/>
    <s v="Yes"/>
    <s v="Missing date"/>
    <x v="0"/>
    <s v=""/>
    <s v="Cannot check dates"/>
  </r>
  <r>
    <s v="A10227"/>
    <s v="P1022"/>
    <d v="2025-08-30T00:00:00"/>
    <d v="2025-08-31T00:00:00"/>
    <x v="0"/>
    <s v="COVID-19"/>
    <n v="66"/>
    <s v="Female"/>
    <s v="Dr. Patel"/>
    <x v="1"/>
    <n v="9711"/>
    <n v="1"/>
    <s v="No"/>
    <s v="Yes"/>
    <s v="OK"/>
    <x v="0"/>
    <n v="1"/>
    <s v="OK"/>
  </r>
  <r>
    <s v="A10112"/>
    <s v="P1205"/>
    <d v="2025-04-02T00:00:00"/>
    <m/>
    <x v="1"/>
    <s v="Myocardial Infarction"/>
    <n v="87"/>
    <s v="Female"/>
    <s v="Dr. Smith"/>
    <x v="0"/>
    <n v="3002"/>
    <n v="3"/>
    <s v="No"/>
    <s v="Yes"/>
    <s v="Missing date"/>
    <x v="0"/>
    <s v=""/>
    <s v="Cannot check dates"/>
  </r>
  <r>
    <s v="A10210"/>
    <s v="P1273"/>
    <d v="2025-11-11T00:00:00"/>
    <d v="2025-11-22T00:00:00"/>
    <x v="5"/>
    <s v="Hypertension"/>
    <m/>
    <s v="Female"/>
    <s v="Dr. Smith"/>
    <x v="0"/>
    <n v="8134"/>
    <n v="11"/>
    <s v="No"/>
    <s v="Yes"/>
    <s v="OK"/>
    <x v="0"/>
    <n v="11"/>
    <s v="OK"/>
  </r>
  <r>
    <s v="A10184"/>
    <s v="P1001"/>
    <d v="2025-02-27T00:00:00"/>
    <d v="2025-03-18T00:00:00"/>
    <x v="5"/>
    <s v="Hypertension"/>
    <n v="10"/>
    <s v="Female"/>
    <s v="Dr. Patel"/>
    <x v="1"/>
    <n v="872"/>
    <n v="19"/>
    <s v="Yes"/>
    <s v="No"/>
    <s v="OK"/>
    <x v="0"/>
    <n v="19"/>
    <s v="OK"/>
  </r>
  <r>
    <s v="A10226"/>
    <s v="P1103"/>
    <d v="2025-02-21T00:00:00"/>
    <d v="2025-03-12T00:00:00"/>
    <x v="3"/>
    <s v="Type 2 Diabetes"/>
    <n v="76"/>
    <s v="Female"/>
    <s v="Dr. Patel"/>
    <x v="0"/>
    <n v="6381"/>
    <n v="19"/>
    <s v="No"/>
    <s v="Yes"/>
    <s v="OK"/>
    <x v="0"/>
    <n v="19"/>
    <s v="OK"/>
  </r>
  <r>
    <s v="A10081"/>
    <s v="P1094"/>
    <d v="2025-11-27T00:00:00"/>
    <d v="2025-12-03T00:00:00"/>
    <x v="2"/>
    <s v="Asthma"/>
    <n v="72"/>
    <s v="Female"/>
    <s v="Dr. Patel"/>
    <x v="1"/>
    <n v="3982"/>
    <n v="6"/>
    <s v="Yes"/>
    <s v="No"/>
    <s v="OK"/>
    <x v="0"/>
    <n v="6"/>
    <s v="OK"/>
  </r>
  <r>
    <s v="A10364"/>
    <s v="P1265"/>
    <d v="2025-11-01T00:00:00"/>
    <d v="2025-11-06T00:00:00"/>
    <x v="4"/>
    <s v="Fracture - Femur"/>
    <n v="25"/>
    <s v="Male"/>
    <s v="Dr. Smith"/>
    <x v="2"/>
    <n v="1458"/>
    <m/>
    <s v="No"/>
    <s v="Yes"/>
    <s v="OK"/>
    <x v="0"/>
    <n v="5"/>
    <s v="Missing recorded stay"/>
  </r>
  <r>
    <s v="A10371"/>
    <s v="P1313"/>
    <d v="2025-01-19T00:00:00"/>
    <m/>
    <x v="5"/>
    <s v="Hypertension"/>
    <n v="10"/>
    <s v="Other"/>
    <s v="Dr. Smith"/>
    <x v="2"/>
    <n v="8628"/>
    <n v="13"/>
    <s v="No"/>
    <s v="No"/>
    <s v="Missing date"/>
    <x v="0"/>
    <s v=""/>
    <s v="Cannot check dates"/>
  </r>
  <r>
    <s v="A10197"/>
    <s v="P1182"/>
    <d v="2025-03-14T00:00:00"/>
    <d v="2025-03-19T00:00:00"/>
    <x v="2"/>
    <s v="Asthma"/>
    <n v="79"/>
    <s v="Male"/>
    <s v="Dr. Smith"/>
    <x v="0"/>
    <n v="3598"/>
    <n v="5"/>
    <s v="No"/>
    <s v="Yes"/>
    <s v="OK"/>
    <x v="0"/>
    <n v="5"/>
    <s v="OK"/>
  </r>
  <r>
    <s v="A10079"/>
    <s v="P1264"/>
    <d v="2025-02-27T00:00:00"/>
    <d v="2025-03-12T00:00:00"/>
    <x v="5"/>
    <s v="Hypertension"/>
    <n v="17"/>
    <s v="Female"/>
    <s v="Dr. A. Jones"/>
    <x v="2"/>
    <m/>
    <n v="13"/>
    <s v="No"/>
    <s v="Yes"/>
    <s v="OK"/>
    <x v="1"/>
    <n v="13"/>
    <s v="OK"/>
  </r>
  <r>
    <s v="A10183"/>
    <s v="P1005"/>
    <d v="2025-11-06T00:00:00"/>
    <d v="2025-11-08T00:00:00"/>
    <x v="1"/>
    <s v="Myocardial Infarction"/>
    <n v="34"/>
    <s v="Male"/>
    <s v="Dr. Patel"/>
    <x v="2"/>
    <m/>
    <n v="2"/>
    <s v="Yes"/>
    <s v="No"/>
    <s v="OK"/>
    <x v="1"/>
    <n v="2"/>
    <s v="OK"/>
  </r>
  <r>
    <s v="A10037"/>
    <s v="P1245"/>
    <d v="2025-03-31T00:00:00"/>
    <d v="2025-04-03T00:00:00"/>
    <x v="2"/>
    <s v="Asthma"/>
    <n v="78"/>
    <s v="Male"/>
    <s v="Dr. Smith"/>
    <x v="0"/>
    <n v="9999"/>
    <n v="3"/>
    <s v="No"/>
    <s v="No"/>
    <s v="OK"/>
    <x v="0"/>
    <n v="3"/>
    <s v="OK"/>
  </r>
  <r>
    <s v="A10279"/>
    <s v="P1240"/>
    <d v="2025-03-26T00:00:00"/>
    <d v="2025-04-12T00:00:00"/>
    <x v="2"/>
    <s v="Asthma"/>
    <n v="25"/>
    <s v="Male"/>
    <s v="Dr. Smith"/>
    <x v="2"/>
    <n v="856"/>
    <n v="17"/>
    <s v="No"/>
    <s v="No"/>
    <s v="OK"/>
    <x v="0"/>
    <n v="17"/>
    <s v="OK"/>
  </r>
  <r>
    <s v="A10243"/>
    <s v="P1008"/>
    <d v="2025-08-31T00:00:00"/>
    <d v="2025-09-20T00:00:00"/>
    <x v="2"/>
    <s v="Asthma"/>
    <n v="78"/>
    <s v="Male"/>
    <s v="Dr. Patel"/>
    <x v="2"/>
    <n v="4606"/>
    <m/>
    <s v="Yes"/>
    <s v="Yes"/>
    <s v="OK"/>
    <x v="0"/>
    <n v="20"/>
    <s v="Missing recorded stay"/>
  </r>
  <r>
    <s v="A10488"/>
    <s v="P1188"/>
    <d v="2025-02-28T00:00:00"/>
    <d v="2025-03-14T00:00:00"/>
    <x v="2"/>
    <s v="Asthma"/>
    <n v="67"/>
    <s v="Male"/>
    <s v="Dr. Smith"/>
    <x v="1"/>
    <n v="7266"/>
    <n v="14"/>
    <s v="No"/>
    <s v="No"/>
    <s v="OK"/>
    <x v="0"/>
    <n v="14"/>
    <s v="OK"/>
  </r>
  <r>
    <s v="A10485"/>
    <s v="P1154"/>
    <d v="2025-08-05T00:00:00"/>
    <d v="2025-08-13T00:00:00"/>
    <x v="3"/>
    <s v="Type 2 Diabetes"/>
    <n v="59"/>
    <s v="Male"/>
    <s v="Dr. A. Jones"/>
    <x v="2"/>
    <n v="5867"/>
    <m/>
    <s v="No"/>
    <s v="Yes"/>
    <s v="OK"/>
    <x v="0"/>
    <n v="8"/>
    <s v="Missing recorded stay"/>
  </r>
  <r>
    <s v="A10035"/>
    <s v="P1258"/>
    <m/>
    <d v="2025-06-11T00:00:00"/>
    <x v="1"/>
    <s v="Myocardial Infarction"/>
    <n v="24"/>
    <s v="Other"/>
    <s v="Dr. Smith"/>
    <x v="1"/>
    <n v="8284"/>
    <n v="4"/>
    <s v="No"/>
    <s v="No"/>
    <s v="Missing date"/>
    <x v="0"/>
    <s v=""/>
    <s v="Cannot check dates"/>
  </r>
  <r>
    <s v="A10152"/>
    <s v="P1298"/>
    <d v="2025-01-03T00:00:00"/>
    <d v="2025-01-09T00:00:00"/>
    <x v="5"/>
    <s v="Hypertension"/>
    <n v="7"/>
    <s v="Male"/>
    <s v="Dr. A. Jones"/>
    <x v="2"/>
    <n v="3725"/>
    <n v="6"/>
    <s v="Yes"/>
    <s v="No"/>
    <s v="OK"/>
    <x v="0"/>
    <n v="6"/>
    <s v="OK"/>
  </r>
  <r>
    <s v="A10211"/>
    <s v="P1346"/>
    <d v="2025-05-24T00:00:00"/>
    <d v="2025-05-29T00:00:00"/>
    <x v="1"/>
    <s v="Myocardial Infarction"/>
    <n v="33"/>
    <s v="Female"/>
    <s v="Dr. A. Jones"/>
    <x v="2"/>
    <n v="425"/>
    <n v="5"/>
    <s v="No"/>
    <s v="No"/>
    <s v="OK"/>
    <x v="0"/>
    <n v="5"/>
    <s v="OK"/>
  </r>
  <r>
    <s v="A10366"/>
    <s v="P1115"/>
    <d v="2025-04-19T00:00:00"/>
    <d v="2025-05-05T00:00:00"/>
    <x v="2"/>
    <s v="Asthma"/>
    <n v="36"/>
    <s v="Female"/>
    <s v="Dr. Smith"/>
    <x v="2"/>
    <n v="14056"/>
    <n v="16"/>
    <s v="No"/>
    <s v="Yes"/>
    <s v="OK"/>
    <x v="0"/>
    <n v="16"/>
    <s v="OK"/>
  </r>
  <r>
    <s v="A10181"/>
    <s v="P1270"/>
    <d v="2025-04-07T00:00:00"/>
    <d v="2025-04-27T00:00:00"/>
    <x v="0"/>
    <s v="COVID-19"/>
    <n v="81"/>
    <s v="Male"/>
    <s v="Dr. Patel"/>
    <x v="1"/>
    <n v="584"/>
    <n v="20"/>
    <s v="No"/>
    <s v="No"/>
    <s v="OK"/>
    <x v="0"/>
    <n v="20"/>
    <s v="OK"/>
  </r>
  <r>
    <s v="A10384"/>
    <s v="P1179"/>
    <d v="2025-10-30T00:00:00"/>
    <d v="2025-11-12T00:00:00"/>
    <x v="4"/>
    <s v="Fracture - Femur"/>
    <n v="80"/>
    <s v="Other"/>
    <s v="Dr. Lee"/>
    <x v="0"/>
    <n v="9906"/>
    <n v="13"/>
    <s v="No"/>
    <s v="Yes"/>
    <s v="OK"/>
    <x v="0"/>
    <n v="13"/>
    <s v="OK"/>
  </r>
  <r>
    <s v="A10250"/>
    <s v="P1339"/>
    <d v="2025-09-21T00:00:00"/>
    <d v="2025-09-23T00:00:00"/>
    <x v="5"/>
    <s v="Hypertension"/>
    <n v="10"/>
    <s v="Female"/>
    <s v="Dr. Patel"/>
    <x v="2"/>
    <n v="8584"/>
    <n v="2"/>
    <s v="Yes"/>
    <s v="Yes"/>
    <s v="OK"/>
    <x v="0"/>
    <n v="2"/>
    <s v="OK"/>
  </r>
  <r>
    <s v="A10495"/>
    <s v="P1376"/>
    <d v="2025-02-22T00:00:00"/>
    <d v="2025-03-08T00:00:00"/>
    <x v="3"/>
    <s v="Type 2 Diabetes"/>
    <m/>
    <s v="Male"/>
    <s v="Dr. A. Jones"/>
    <x v="0"/>
    <m/>
    <n v="14"/>
    <s v="Yes"/>
    <s v="No"/>
    <s v="OK"/>
    <x v="1"/>
    <n v="14"/>
    <s v="OK"/>
  </r>
  <r>
    <s v="A10336"/>
    <s v="P1281"/>
    <d v="2025-12-03T00:00:00"/>
    <d v="2025-12-11T00:00:00"/>
    <x v="5"/>
    <s v="Hypertension"/>
    <n v="2"/>
    <s v="Male"/>
    <s v="Dr. Patel"/>
    <x v="2"/>
    <n v="8316"/>
    <n v="8"/>
    <s v="Yes"/>
    <s v="No"/>
    <s v="OK"/>
    <x v="0"/>
    <n v="8"/>
    <s v="OK"/>
  </r>
  <r>
    <s v="A10100"/>
    <s v="P1117"/>
    <d v="2025-01-10T00:00:00"/>
    <d v="2025-01-13T00:00:00"/>
    <x v="2"/>
    <s v="Asthma"/>
    <n v="92"/>
    <s v="Female"/>
    <s v="Dr. A. Jones"/>
    <x v="1"/>
    <n v="7488"/>
    <n v="3"/>
    <s v="No"/>
    <s v="No"/>
    <s v="OK"/>
    <x v="0"/>
    <n v="3"/>
    <s v="OK"/>
  </r>
  <r>
    <s v="A10481"/>
    <s v="P1070"/>
    <d v="2025-07-22T00:00:00"/>
    <d v="2025-07-27T00:00:00"/>
    <x v="2"/>
    <s v="Asthma"/>
    <n v="19"/>
    <s v="Female"/>
    <s v="Dr. Lee"/>
    <x v="0"/>
    <n v="1576"/>
    <n v="5"/>
    <s v="Yes"/>
    <s v="Yes"/>
    <s v="OK"/>
    <x v="0"/>
    <n v="5"/>
    <s v="OK"/>
  </r>
  <r>
    <s v="A10249"/>
    <s v="P1224"/>
    <d v="2025-08-20T00:00:00"/>
    <d v="2025-09-09T00:00:00"/>
    <x v="0"/>
    <s v="COVID-19"/>
    <n v="69"/>
    <s v="Female"/>
    <m/>
    <x v="0"/>
    <n v="4330"/>
    <n v="20"/>
    <s v="No"/>
    <s v="Yes"/>
    <s v="OK"/>
    <x v="0"/>
    <n v="20"/>
    <s v="OK"/>
  </r>
  <r>
    <s v="A10269"/>
    <s v="P1317"/>
    <d v="2025-11-09T00:00:00"/>
    <d v="2025-11-22T00:00:00"/>
    <x v="2"/>
    <s v="Asthma"/>
    <n v="34"/>
    <s v="Male"/>
    <s v="Dr. Smith"/>
    <x v="2"/>
    <n v="10596"/>
    <n v="13"/>
    <s v="Yes"/>
    <s v="No"/>
    <s v="OK"/>
    <x v="0"/>
    <n v="13"/>
    <s v="OK"/>
  </r>
  <r>
    <s v="A10376"/>
    <s v="P1242"/>
    <d v="2025-10-15T00:00:00"/>
    <d v="2025-10-23T00:00:00"/>
    <x v="3"/>
    <s v="Type 2 Diabetes"/>
    <n v="89"/>
    <s v="Male"/>
    <s v="Dr. Smith"/>
    <x v="0"/>
    <n v="12437"/>
    <n v="8"/>
    <s v="No"/>
    <s v="No"/>
    <s v="OK"/>
    <x v="0"/>
    <n v="8"/>
    <s v="OK"/>
  </r>
  <r>
    <s v="A10385"/>
    <s v="P1006"/>
    <d v="2025-09-30T00:00:00"/>
    <d v="2025-10-08T00:00:00"/>
    <x v="5"/>
    <s v="Hypertension"/>
    <n v="8"/>
    <s v="Female"/>
    <s v="Dr. A. Jones"/>
    <x v="1"/>
    <n v="9171"/>
    <n v="8"/>
    <s v="Yes"/>
    <s v="No"/>
    <s v="OK"/>
    <x v="0"/>
    <n v="8"/>
    <s v="OK"/>
  </r>
  <r>
    <s v="A10042"/>
    <s v="P1379"/>
    <m/>
    <d v="2025-09-07T00:00:00"/>
    <x v="4"/>
    <s v="Fracture - Femur"/>
    <n v="77"/>
    <s v="Male"/>
    <s v="Dr. Lee"/>
    <x v="1"/>
    <n v="11939"/>
    <n v="18"/>
    <s v="Yes"/>
    <s v="No"/>
    <s v="Missing date"/>
    <x v="0"/>
    <s v=""/>
    <s v="Cannot check dates"/>
  </r>
  <r>
    <s v="A10176"/>
    <s v="P1233"/>
    <d v="2025-11-20T00:00:00"/>
    <d v="2025-12-10T00:00:00"/>
    <x v="2"/>
    <s v="Asthma"/>
    <n v="87"/>
    <s v="Female"/>
    <s v="Dr. Smith"/>
    <x v="0"/>
    <n v="5111"/>
    <n v="20"/>
    <s v="Yes"/>
    <s v="Yes"/>
    <s v="OK"/>
    <x v="0"/>
    <n v="20"/>
    <s v="OK"/>
  </r>
  <r>
    <s v="A10245"/>
    <s v="P1373"/>
    <d v="2025-03-25T00:00:00"/>
    <d v="2025-03-27T00:00:00"/>
    <x v="1"/>
    <s v="Myocardial Infarction"/>
    <n v="88"/>
    <s v="Male"/>
    <s v="Dr. A. Jones"/>
    <x v="2"/>
    <n v="12855"/>
    <n v="2"/>
    <s v="No"/>
    <s v="No"/>
    <s v="OK"/>
    <x v="0"/>
    <n v="2"/>
    <s v="OK"/>
  </r>
  <r>
    <s v="A10496"/>
    <s v="P1197"/>
    <d v="2025-10-04T00:00:00"/>
    <d v="2025-10-21T00:00:00"/>
    <x v="1"/>
    <s v="Myocardial Infarction"/>
    <n v="23"/>
    <s v="Female"/>
    <s v="Dr. Patel"/>
    <x v="2"/>
    <n v="13403"/>
    <m/>
    <s v="Yes"/>
    <s v="No"/>
    <s v="OK"/>
    <x v="0"/>
    <n v="17"/>
    <s v="Missing recorded stay"/>
  </r>
  <r>
    <s v="A10291"/>
    <s v="P1366"/>
    <d v="2025-09-01T00:00:00"/>
    <d v="2025-09-21T00:00:00"/>
    <x v="1"/>
    <s v="Myocardial Infarction"/>
    <n v="76"/>
    <m/>
    <s v="Dr. Smith"/>
    <x v="1"/>
    <n v="11334"/>
    <n v="20"/>
    <s v="Yes"/>
    <s v="No"/>
    <s v="OK"/>
    <x v="0"/>
    <n v="20"/>
    <s v="OK"/>
  </r>
  <r>
    <s v="A10359"/>
    <s v="P1070"/>
    <d v="2025-02-13T00:00:00"/>
    <d v="2025-03-05T00:00:00"/>
    <x v="1"/>
    <s v="Myocardial Infarction"/>
    <n v="81"/>
    <s v="Female"/>
    <s v="Dr. Lee"/>
    <x v="1"/>
    <n v="13243"/>
    <n v="20"/>
    <s v="No"/>
    <s v="No"/>
    <s v="OK"/>
    <x v="0"/>
    <n v="20"/>
    <s v="OK"/>
  </r>
  <r>
    <s v="A10164"/>
    <s v="P1190"/>
    <d v="2025-09-25T00:00:00"/>
    <d v="2025-10-10T00:00:00"/>
    <x v="3"/>
    <s v="Type 2 Diabetes"/>
    <n v="54"/>
    <s v="Female"/>
    <s v="Dr. Patel"/>
    <x v="1"/>
    <n v="12623"/>
    <n v="15"/>
    <s v="No"/>
    <s v="Yes"/>
    <s v="OK"/>
    <x v="0"/>
    <n v="15"/>
    <s v="OK"/>
  </r>
  <r>
    <s v="A10375"/>
    <s v="P1045"/>
    <m/>
    <d v="2025-07-21T00:00:00"/>
    <x v="1"/>
    <s v="Myocardial Infarction"/>
    <n v="18"/>
    <s v="Female"/>
    <s v="Dr. A. Jones"/>
    <x v="1"/>
    <n v="5126"/>
    <m/>
    <s v="Yes"/>
    <s v="Yes"/>
    <s v="Missing date"/>
    <x v="0"/>
    <s v=""/>
    <s v="Cannot check dates"/>
  </r>
  <r>
    <s v="A10045"/>
    <s v="P1187"/>
    <d v="2025-11-26T00:00:00"/>
    <d v="2025-11-29T00:00:00"/>
    <x v="4"/>
    <s v="Fracture - Femur"/>
    <n v="50"/>
    <s v="Female"/>
    <s v="Dr. Patel"/>
    <x v="1"/>
    <n v="4145"/>
    <m/>
    <s v="Yes"/>
    <s v="No"/>
    <s v="OK"/>
    <x v="0"/>
    <n v="3"/>
    <s v="Missing recorded stay"/>
  </r>
  <r>
    <s v="A10060"/>
    <s v="P1019"/>
    <d v="2025-03-12T00:00:00"/>
    <d v="2025-03-16T00:00:00"/>
    <x v="0"/>
    <s v="COVID-19"/>
    <n v="43"/>
    <s v="Male"/>
    <s v="Dr. Smith"/>
    <x v="2"/>
    <n v="5596"/>
    <n v="4"/>
    <s v="Yes"/>
    <m/>
    <s v="OK"/>
    <x v="0"/>
    <n v="4"/>
    <s v="OK"/>
  </r>
  <r>
    <s v="A10232"/>
    <s v="P1102"/>
    <d v="2025-01-14T00:00:00"/>
    <d v="2025-01-19T00:00:00"/>
    <x v="5"/>
    <s v="Hypertension"/>
    <n v="9"/>
    <s v="Male"/>
    <s v="Dr. A. Jones"/>
    <x v="2"/>
    <n v="1844"/>
    <m/>
    <s v="Yes"/>
    <s v="Yes"/>
    <s v="OK"/>
    <x v="0"/>
    <n v="5"/>
    <s v="Missing recorded stay"/>
  </r>
  <r>
    <s v="A10455"/>
    <s v="P1080"/>
    <d v="2025-08-14T00:00:00"/>
    <d v="2025-09-03T00:00:00"/>
    <x v="5"/>
    <s v="Hypertension"/>
    <n v="4"/>
    <s v="Female"/>
    <s v="Dr. A. Jones"/>
    <x v="2"/>
    <n v="9757"/>
    <n v="20"/>
    <s v="Yes"/>
    <s v="No"/>
    <s v="OK"/>
    <x v="0"/>
    <n v="20"/>
    <s v="OK"/>
  </r>
  <r>
    <s v="A10135"/>
    <s v="P1155"/>
    <d v="2025-04-29T00:00:00"/>
    <d v="2025-05-10T00:00:00"/>
    <x v="0"/>
    <s v="COVID-19"/>
    <n v="82"/>
    <s v="Female"/>
    <s v="Dr. Patel"/>
    <x v="1"/>
    <n v="6969"/>
    <n v="11"/>
    <s v="No"/>
    <s v="Yes"/>
    <s v="OK"/>
    <x v="0"/>
    <n v="11"/>
    <s v="OK"/>
  </r>
  <r>
    <s v="A10237"/>
    <s v="P1380"/>
    <d v="2025-12-13T00:00:00"/>
    <d v="2026-01-02T00:00:00"/>
    <x v="5"/>
    <s v="Hypertension"/>
    <n v="9"/>
    <s v="Female"/>
    <s v="Dr. Smith"/>
    <x v="0"/>
    <n v="4924"/>
    <n v="20"/>
    <s v="Yes"/>
    <m/>
    <s v="OK"/>
    <x v="0"/>
    <n v="20"/>
    <s v="OK"/>
  </r>
  <r>
    <s v="A10383"/>
    <s v="P1397"/>
    <d v="2025-03-22T00:00:00"/>
    <d v="2025-04-07T00:00:00"/>
    <x v="4"/>
    <s v="Fracture - Femur"/>
    <n v="71"/>
    <s v="Male"/>
    <s v="Dr. Smith"/>
    <x v="0"/>
    <n v="13990"/>
    <n v="16"/>
    <s v="No"/>
    <s v="No"/>
    <s v="OK"/>
    <x v="0"/>
    <n v="16"/>
    <s v="OK"/>
  </r>
  <r>
    <s v="A10370"/>
    <s v="P1091"/>
    <m/>
    <d v="2025-08-14T00:00:00"/>
    <x v="4"/>
    <s v="Fracture - Femur"/>
    <n v="55"/>
    <s v="Female"/>
    <s v="Dr. A. Jones"/>
    <x v="2"/>
    <n v="9267"/>
    <n v="16"/>
    <s v="No"/>
    <s v="Yes"/>
    <s v="Missing date"/>
    <x v="0"/>
    <s v=""/>
    <s v="Cannot check dates"/>
  </r>
  <r>
    <s v="A10453"/>
    <s v="P1153"/>
    <d v="2025-06-03T00:00:00"/>
    <d v="2025-06-11T00:00:00"/>
    <x v="1"/>
    <s v="Myocardial Infarction"/>
    <n v="89"/>
    <s v="Male"/>
    <s v="Dr. Patel"/>
    <x v="1"/>
    <n v="570"/>
    <n v="8"/>
    <s v="No"/>
    <s v="No"/>
    <s v="OK"/>
    <x v="0"/>
    <n v="8"/>
    <s v="OK"/>
  </r>
  <r>
    <s v="A10440"/>
    <s v="P1360"/>
    <d v="2025-06-03T00:00:00"/>
    <d v="2025-06-17T00:00:00"/>
    <x v="1"/>
    <s v="Myocardial Infarction"/>
    <n v="79"/>
    <s v="Male"/>
    <s v="Dr. Lee"/>
    <x v="2"/>
    <n v="12956"/>
    <n v="14"/>
    <s v="Yes"/>
    <s v="Yes"/>
    <s v="OK"/>
    <x v="0"/>
    <n v="14"/>
    <s v="OK"/>
  </r>
  <r>
    <s v="A10394"/>
    <s v="P1200"/>
    <d v="2025-08-02T00:00:00"/>
    <d v="2025-08-06T00:00:00"/>
    <x v="0"/>
    <s v="COVID-19"/>
    <n v="82"/>
    <s v="Male"/>
    <s v="Dr. Lee"/>
    <x v="1"/>
    <n v="10288"/>
    <n v="4"/>
    <s v="No"/>
    <s v="No"/>
    <s v="OK"/>
    <x v="0"/>
    <n v="4"/>
    <s v="OK"/>
  </r>
  <r>
    <s v="A10007"/>
    <s v="P1236"/>
    <d v="2025-08-09T00:00:00"/>
    <d v="2025-08-27T00:00:00"/>
    <x v="2"/>
    <s v="Asthma"/>
    <n v="77"/>
    <s v="Female"/>
    <s v="Dr. A. Jones"/>
    <x v="1"/>
    <n v="14138"/>
    <n v="18"/>
    <s v="Yes"/>
    <s v="No"/>
    <s v="OK"/>
    <x v="0"/>
    <n v="18"/>
    <s v="OK"/>
  </r>
  <r>
    <s v="A10369"/>
    <s v="P1240"/>
    <d v="2025-05-19T00:00:00"/>
    <m/>
    <x v="3"/>
    <s v="Type 2 Diabetes"/>
    <n v="46"/>
    <s v="Female"/>
    <s v="Dr. Patel"/>
    <x v="0"/>
    <n v="8105"/>
    <n v="1"/>
    <s v="No"/>
    <s v="No"/>
    <s v="Missing date"/>
    <x v="0"/>
    <s v=""/>
    <s v="Cannot check dates"/>
  </r>
  <r>
    <s v="A10072"/>
    <s v="P1242"/>
    <d v="2025-02-19T00:00:00"/>
    <d v="2025-03-10T00:00:00"/>
    <x v="1"/>
    <s v="Myocardial Infarction"/>
    <n v="18"/>
    <s v="Female"/>
    <s v="Dr. A. Jones"/>
    <x v="1"/>
    <n v="13398"/>
    <n v="19"/>
    <s v="No"/>
    <s v="Yes"/>
    <s v="OK"/>
    <x v="0"/>
    <n v="19"/>
    <s v="OK"/>
  </r>
  <r>
    <s v="A10105"/>
    <s v="P1269"/>
    <d v="2025-09-21T00:00:00"/>
    <d v="2025-09-22T00:00:00"/>
    <x v="0"/>
    <s v="COVID-19"/>
    <n v="90"/>
    <s v="Other"/>
    <s v="Dr. Lee"/>
    <x v="0"/>
    <m/>
    <n v="1"/>
    <s v="Yes"/>
    <s v="No"/>
    <s v="OK"/>
    <x v="1"/>
    <n v="1"/>
    <s v="OK"/>
  </r>
  <r>
    <s v="A10493"/>
    <s v="P1236"/>
    <m/>
    <d v="2025-06-27T00:00:00"/>
    <x v="1"/>
    <s v="Myocardial Infarction"/>
    <n v="43"/>
    <s v="Other"/>
    <s v="Dr. Smith"/>
    <x v="2"/>
    <n v="13217"/>
    <n v="11"/>
    <s v="Yes"/>
    <s v="No"/>
    <s v="Missing date"/>
    <x v="0"/>
    <s v=""/>
    <s v="Cannot check dates"/>
  </r>
  <r>
    <s v="A10113"/>
    <s v="P1330"/>
    <d v="2025-07-21T00:00:00"/>
    <d v="2025-07-29T00:00:00"/>
    <x v="3"/>
    <s v="Type 2 Diabetes"/>
    <n v="26"/>
    <s v="Female"/>
    <s v="Dr. Smith"/>
    <x v="0"/>
    <n v="5816"/>
    <n v="8"/>
    <s v="Yes"/>
    <s v="Yes"/>
    <s v="OK"/>
    <x v="0"/>
    <n v="8"/>
    <s v="OK"/>
  </r>
  <r>
    <s v="A10473"/>
    <s v="P1011"/>
    <d v="2025-05-18T00:00:00"/>
    <d v="2025-05-20T00:00:00"/>
    <x v="1"/>
    <s v="Myocardial Infarction"/>
    <n v="82"/>
    <s v="Female"/>
    <s v="Dr. Patel"/>
    <x v="0"/>
    <n v="1429"/>
    <n v="2"/>
    <s v="No"/>
    <m/>
    <s v="OK"/>
    <x v="0"/>
    <n v="2"/>
    <s v="OK"/>
  </r>
  <r>
    <s v="A10445"/>
    <s v="P1195"/>
    <d v="2025-06-25T00:00:00"/>
    <m/>
    <x v="1"/>
    <s v="Myocardial Infarction"/>
    <n v="27"/>
    <s v="Male"/>
    <s v="Dr. Patel"/>
    <x v="0"/>
    <n v="489"/>
    <n v="20"/>
    <s v="No"/>
    <s v="No"/>
    <s v="Missing date"/>
    <x v="0"/>
    <s v=""/>
    <s v="Cannot check dates"/>
  </r>
  <r>
    <s v="A10118"/>
    <s v="P1193"/>
    <d v="2025-06-26T00:00:00"/>
    <d v="2025-07-05T00:00:00"/>
    <x v="1"/>
    <s v="Myocardial Infarction"/>
    <n v="31"/>
    <s v="Female"/>
    <s v="Dr. Lee"/>
    <x v="2"/>
    <m/>
    <n v="9"/>
    <s v="No"/>
    <s v="No"/>
    <s v="OK"/>
    <x v="1"/>
    <n v="9"/>
    <s v="OK"/>
  </r>
  <r>
    <s v="A10464"/>
    <s v="P1060"/>
    <d v="2025-03-21T00:00:00"/>
    <d v="2025-04-08T00:00:00"/>
    <x v="4"/>
    <s v="Fracture - Femur"/>
    <n v="24"/>
    <s v="Male"/>
    <s v="Dr. Lee"/>
    <x v="0"/>
    <n v="2951"/>
    <n v="18"/>
    <s v="Yes"/>
    <s v="Yes"/>
    <s v="OK"/>
    <x v="0"/>
    <n v="18"/>
    <s v="OK"/>
  </r>
  <r>
    <s v="A10241"/>
    <s v="P1267"/>
    <d v="2025-04-25T00:00:00"/>
    <d v="2025-05-15T00:00:00"/>
    <x v="4"/>
    <s v="Fracture - Femur"/>
    <n v="31"/>
    <s v="Other"/>
    <s v="Dr. Smith"/>
    <x v="1"/>
    <n v="13827"/>
    <n v="20"/>
    <s v="No"/>
    <s v="Yes"/>
    <s v="OK"/>
    <x v="0"/>
    <n v="20"/>
    <s v="OK"/>
  </r>
  <r>
    <s v="A10420"/>
    <s v="P1238"/>
    <d v="2025-07-19T00:00:00"/>
    <d v="2025-08-08T00:00:00"/>
    <x v="0"/>
    <s v="COVID-19"/>
    <n v="24"/>
    <s v="Male"/>
    <s v="Dr. Smith"/>
    <x v="1"/>
    <n v="3379"/>
    <n v="20"/>
    <s v="Yes"/>
    <s v="No"/>
    <s v="OK"/>
    <x v="0"/>
    <n v="20"/>
    <s v="OK"/>
  </r>
  <r>
    <s v="A10217"/>
    <s v="P1239"/>
    <d v="2025-03-24T00:00:00"/>
    <d v="2025-04-10T00:00:00"/>
    <x v="3"/>
    <s v="Type 2 Diabetes"/>
    <n v="82"/>
    <s v="Female"/>
    <s v="Dr. Smith"/>
    <x v="0"/>
    <n v="1223"/>
    <n v="17"/>
    <s v="Yes"/>
    <s v="No"/>
    <s v="OK"/>
    <x v="0"/>
    <n v="17"/>
    <s v="OK"/>
  </r>
  <r>
    <s v="A10487"/>
    <s v="P1041"/>
    <d v="2025-06-25T00:00:00"/>
    <d v="2025-07-09T00:00:00"/>
    <x v="1"/>
    <s v="Myocardial Infarction"/>
    <n v="32"/>
    <s v="Female"/>
    <s v="Dr. Smith"/>
    <x v="2"/>
    <n v="4945"/>
    <n v="14"/>
    <s v="Yes"/>
    <s v="Yes"/>
    <s v="OK"/>
    <x v="0"/>
    <n v="14"/>
    <s v="OK"/>
  </r>
  <r>
    <s v="A10012"/>
    <s v="P1262"/>
    <d v="2025-08-31T00:00:00"/>
    <d v="2025-09-07T00:00:00"/>
    <x v="3"/>
    <s v="Type 2 Diabetes"/>
    <n v="49"/>
    <s v="Female"/>
    <s v="Dr. Patel"/>
    <x v="1"/>
    <n v="9563"/>
    <n v="7"/>
    <s v="Yes"/>
    <s v="Yes"/>
    <s v="OK"/>
    <x v="0"/>
    <n v="7"/>
    <s v="OK"/>
  </r>
  <r>
    <s v="A10349"/>
    <s v="P1044"/>
    <d v="2025-01-27T00:00:00"/>
    <d v="2025-02-08T00:00:00"/>
    <x v="2"/>
    <s v="Asthma"/>
    <n v="64"/>
    <m/>
    <s v="Dr. A. Jones"/>
    <x v="2"/>
    <n v="4870"/>
    <n v="12"/>
    <s v="No"/>
    <s v="No"/>
    <s v="OK"/>
    <x v="0"/>
    <n v="12"/>
    <s v="OK"/>
  </r>
  <r>
    <s v="A10396"/>
    <s v="P1174"/>
    <d v="2025-09-25T00:00:00"/>
    <d v="2025-10-09T00:00:00"/>
    <x v="2"/>
    <s v="Asthma"/>
    <n v="93"/>
    <s v="Male"/>
    <s v="Dr. Smith"/>
    <x v="1"/>
    <n v="2687"/>
    <n v="14"/>
    <s v="No"/>
    <s v="No"/>
    <s v="OK"/>
    <x v="0"/>
    <n v="14"/>
    <s v="OK"/>
  </r>
  <r>
    <s v="A10055"/>
    <s v="P1352"/>
    <d v="2025-09-07T00:00:00"/>
    <d v="2025-09-27T00:00:00"/>
    <x v="0"/>
    <s v="COVID-19"/>
    <n v="32"/>
    <s v="Female"/>
    <s v="Dr. Smith"/>
    <x v="2"/>
    <n v="419"/>
    <n v="20"/>
    <s v="Yes"/>
    <s v="No"/>
    <s v="OK"/>
    <x v="0"/>
    <n v="20"/>
    <s v="OK"/>
  </r>
  <r>
    <s v="A10419"/>
    <s v="P1099"/>
    <d v="2025-06-03T00:00:00"/>
    <d v="2025-06-18T00:00:00"/>
    <x v="2"/>
    <s v="Asthma"/>
    <m/>
    <s v="Female"/>
    <s v="Dr. A. Jones"/>
    <x v="0"/>
    <n v="1981"/>
    <n v="15"/>
    <s v="Yes"/>
    <s v="No"/>
    <s v="OK"/>
    <x v="0"/>
    <n v="15"/>
    <s v="OK"/>
  </r>
  <r>
    <s v="A10090"/>
    <s v="P1254"/>
    <d v="2025-01-12T00:00:00"/>
    <d v="2025-01-23T00:00:00"/>
    <x v="3"/>
    <s v="Type 2 Diabetes"/>
    <n v="58"/>
    <s v="Other"/>
    <s v="Dr. Patel"/>
    <x v="1"/>
    <n v="7090"/>
    <n v="11"/>
    <s v="No"/>
    <s v="Yes"/>
    <s v="OK"/>
    <x v="0"/>
    <n v="11"/>
    <s v="OK"/>
  </r>
  <r>
    <s v="A10471"/>
    <s v="P1317"/>
    <d v="2025-08-26T00:00:00"/>
    <d v="2025-09-05T00:00:00"/>
    <x v="2"/>
    <s v="Asthma"/>
    <n v="83"/>
    <s v="Female"/>
    <s v="Dr. Patel"/>
    <x v="1"/>
    <n v="-250"/>
    <n v="10"/>
    <s v="No"/>
    <s v="No"/>
    <s v="OK"/>
    <x v="3"/>
    <n v="10"/>
    <s v="OK"/>
  </r>
  <r>
    <s v="A10070"/>
    <s v="P1030"/>
    <d v="2025-04-23T00:00:00"/>
    <m/>
    <x v="4"/>
    <s v="Fracture - Femur"/>
    <n v="62"/>
    <s v="Male"/>
    <s v="Dr. Smith"/>
    <x v="2"/>
    <n v="12150"/>
    <n v="14"/>
    <s v="No"/>
    <s v="Yes"/>
    <s v="Missing date"/>
    <x v="0"/>
    <s v=""/>
    <s v="Cannot check dates"/>
  </r>
  <r>
    <s v="A10148"/>
    <s v="P1059"/>
    <d v="2025-01-29T00:00:00"/>
    <d v="2025-01-31T00:00:00"/>
    <x v="5"/>
    <s v="Hypertension"/>
    <n v="5"/>
    <s v="Female"/>
    <s v="Dr. Patel"/>
    <x v="2"/>
    <n v="12463"/>
    <n v="2"/>
    <s v="No"/>
    <s v="Yes"/>
    <s v="OK"/>
    <x v="0"/>
    <n v="2"/>
    <s v="OK"/>
  </r>
  <r>
    <s v="A10489"/>
    <s v="P1310"/>
    <d v="2025-06-09T00:00:00"/>
    <d v="2025-06-27T00:00:00"/>
    <x v="5"/>
    <s v="Hypertension"/>
    <n v="11"/>
    <s v="Male"/>
    <s v="Dr. Patel"/>
    <x v="0"/>
    <n v="1168"/>
    <n v="18"/>
    <s v="No"/>
    <s v="Yes"/>
    <s v="OK"/>
    <x v="0"/>
    <n v="18"/>
    <s v="OK"/>
  </r>
  <r>
    <s v="A10155"/>
    <s v="P1189"/>
    <d v="2025-08-14T00:00:00"/>
    <d v="2025-08-21T00:00:00"/>
    <x v="3"/>
    <s v="Type 2 Diabetes"/>
    <n v="74"/>
    <s v="Male"/>
    <s v="Dr. A. Jones"/>
    <x v="1"/>
    <n v="12116"/>
    <n v="7"/>
    <s v="Yes"/>
    <s v="No"/>
    <s v="OK"/>
    <x v="0"/>
    <n v="7"/>
    <s v="OK"/>
  </r>
  <r>
    <s v="A10212"/>
    <s v="P1077"/>
    <d v="2025-10-15T00:00:00"/>
    <d v="2025-10-18T00:00:00"/>
    <x v="0"/>
    <s v="COVID-19"/>
    <n v="56"/>
    <s v="Female"/>
    <s v="Dr. Patel"/>
    <x v="2"/>
    <n v="5137"/>
    <n v="3"/>
    <s v="No"/>
    <s v="Yes"/>
    <s v="OK"/>
    <x v="0"/>
    <n v="3"/>
    <s v="OK"/>
  </r>
  <r>
    <s v="A10108"/>
    <s v="P1272"/>
    <d v="2025-03-12T00:00:00"/>
    <d v="2025-03-31T00:00:00"/>
    <x v="0"/>
    <s v="COVID-19"/>
    <n v="95"/>
    <s v="Male"/>
    <s v="Dr. Smith"/>
    <x v="1"/>
    <n v="10065"/>
    <n v="19"/>
    <s v="Yes"/>
    <s v="No"/>
    <s v="OK"/>
    <x v="0"/>
    <n v="19"/>
    <s v="OK"/>
  </r>
  <r>
    <s v="A10422"/>
    <s v="P1136"/>
    <d v="2025-11-25T00:00:00"/>
    <d v="2025-12-03T00:00:00"/>
    <x v="4"/>
    <s v="Fracture - Femur"/>
    <n v="54"/>
    <s v="Other"/>
    <s v="Dr. A. Jones"/>
    <x v="0"/>
    <n v="3269"/>
    <n v="8"/>
    <s v="Yes"/>
    <s v="Yes"/>
    <s v="OK"/>
    <x v="0"/>
    <n v="8"/>
    <s v="OK"/>
  </r>
  <r>
    <s v="A10299"/>
    <s v="P1180"/>
    <d v="2025-10-03T00:00:00"/>
    <d v="2025-10-06T00:00:00"/>
    <x v="2"/>
    <s v="Asthma"/>
    <n v="93"/>
    <s v="Female"/>
    <s v="Dr. A. Jones"/>
    <x v="1"/>
    <n v="7304"/>
    <n v="3"/>
    <s v="Yes"/>
    <s v="No"/>
    <s v="OK"/>
    <x v="0"/>
    <n v="3"/>
    <s v="OK"/>
  </r>
  <r>
    <s v="A10399"/>
    <s v="P1251"/>
    <d v="2025-10-15T00:00:00"/>
    <d v="2025-10-28T00:00:00"/>
    <x v="1"/>
    <s v="Myocardial Infarction"/>
    <n v="46"/>
    <s v="Male"/>
    <s v="Dr. Smith"/>
    <x v="1"/>
    <n v="10514"/>
    <n v="13"/>
    <s v="Yes"/>
    <s v="No"/>
    <s v="OK"/>
    <x v="0"/>
    <n v="13"/>
    <s v="OK"/>
  </r>
  <r>
    <s v="A10177"/>
    <s v="P1105"/>
    <d v="2025-04-24T00:00:00"/>
    <d v="2025-05-05T00:00:00"/>
    <x v="5"/>
    <s v="Hypertension"/>
    <n v="6"/>
    <s v="Male"/>
    <s v="Dr. Smith"/>
    <x v="2"/>
    <n v="3372"/>
    <m/>
    <s v="Yes"/>
    <s v="No"/>
    <s v="OK"/>
    <x v="0"/>
    <n v="11"/>
    <s v="Missing recorded stay"/>
  </r>
  <r>
    <s v="A10468"/>
    <s v="P1245"/>
    <d v="2025-05-07T00:00:00"/>
    <d v="2025-05-11T00:00:00"/>
    <x v="3"/>
    <s v="Type 2 Diabetes"/>
    <n v="81"/>
    <s v="Other"/>
    <s v="Dr. Smith"/>
    <x v="1"/>
    <n v="13278"/>
    <n v="4"/>
    <s v="Yes"/>
    <s v="Yes"/>
    <s v="OK"/>
    <x v="0"/>
    <n v="4"/>
    <s v="OK"/>
  </r>
  <r>
    <s v="A10311"/>
    <s v="P1086"/>
    <d v="2025-06-21T00:00:00"/>
    <d v="2025-07-10T00:00:00"/>
    <x v="4"/>
    <s v="Fracture - Femur"/>
    <n v="86"/>
    <s v="Male"/>
    <m/>
    <x v="2"/>
    <n v="14132"/>
    <n v="19"/>
    <s v="Yes"/>
    <s v="Yes"/>
    <s v="OK"/>
    <x v="0"/>
    <n v="19"/>
    <s v="OK"/>
  </r>
  <r>
    <s v="A10412"/>
    <s v="P1329"/>
    <d v="2025-09-20T00:00:00"/>
    <d v="2025-09-22T00:00:00"/>
    <x v="4"/>
    <s v="Fracture - Femur"/>
    <n v="31"/>
    <s v="Female"/>
    <s v="Dr. Lee"/>
    <x v="2"/>
    <n v="11764"/>
    <n v="2"/>
    <s v="Yes"/>
    <s v="No"/>
    <s v="OK"/>
    <x v="0"/>
    <n v="2"/>
    <s v="OK"/>
  </r>
  <r>
    <s v="A10194"/>
    <s v="P1105"/>
    <d v="2025-06-15T00:00:00"/>
    <d v="2025-06-17T00:00:00"/>
    <x v="5"/>
    <s v="Hypertension"/>
    <n v="13"/>
    <s v="Female"/>
    <s v="Dr. Smith"/>
    <x v="1"/>
    <n v="9317"/>
    <n v="2"/>
    <s v="Yes"/>
    <s v="Yes"/>
    <s v="OK"/>
    <x v="0"/>
    <n v="2"/>
    <s v="OK"/>
  </r>
  <r>
    <s v="A10408"/>
    <s v="P1211"/>
    <d v="2025-03-19T00:00:00"/>
    <m/>
    <x v="3"/>
    <s v="Type 2 Diabetes"/>
    <n v="63"/>
    <s v="Other"/>
    <s v="Dr. Smith"/>
    <x v="1"/>
    <n v="5529"/>
    <m/>
    <s v="Yes"/>
    <s v="No"/>
    <s v="Missing date"/>
    <x v="0"/>
    <s v=""/>
    <s v="Cannot check dates"/>
  </r>
  <r>
    <s v="A10475"/>
    <s v="P1348"/>
    <d v="2025-07-21T00:00:00"/>
    <d v="2025-08-02T00:00:00"/>
    <x v="3"/>
    <s v="Type 2 Diabetes"/>
    <n v="87"/>
    <s v="Female"/>
    <s v="Dr. A. Jones"/>
    <x v="2"/>
    <n v="6214"/>
    <n v="12"/>
    <s v="Yes"/>
    <s v="No"/>
    <s v="OK"/>
    <x v="0"/>
    <n v="12"/>
    <s v="OK"/>
  </r>
  <r>
    <s v="A10344"/>
    <s v="P1255"/>
    <d v="2025-01-21T00:00:00"/>
    <d v="2025-02-02T00:00:00"/>
    <x v="3"/>
    <s v="Type 2 Diabetes"/>
    <n v="49"/>
    <s v="Male"/>
    <s v="Dr. Smith"/>
    <x v="2"/>
    <n v="2101"/>
    <n v="12"/>
    <s v="No"/>
    <s v="No"/>
    <s v="OK"/>
    <x v="0"/>
    <n v="12"/>
    <s v="OK"/>
  </r>
  <r>
    <s v="A10185"/>
    <s v="P1181"/>
    <d v="2025-01-26T00:00:00"/>
    <m/>
    <x v="5"/>
    <s v="Hypertension"/>
    <n v="11"/>
    <s v="Female"/>
    <s v="Dr. Smith"/>
    <x v="1"/>
    <n v="4979"/>
    <n v="19"/>
    <s v="No"/>
    <s v="No"/>
    <s v="Missing date"/>
    <x v="0"/>
    <s v=""/>
    <s v="Cannot check dates"/>
  </r>
  <r>
    <s v="A10071"/>
    <s v="P1364"/>
    <d v="2025-05-06T00:00:00"/>
    <d v="2025-05-22T00:00:00"/>
    <x v="2"/>
    <s v="Asthma"/>
    <n v="77"/>
    <s v="Male"/>
    <s v="Dr. Smith"/>
    <x v="0"/>
    <n v="7381"/>
    <n v="16"/>
    <s v="No"/>
    <s v="No"/>
    <s v="OK"/>
    <x v="0"/>
    <n v="16"/>
    <s v="OK"/>
  </r>
  <r>
    <s v="A10400"/>
    <s v="P1346"/>
    <d v="2025-04-07T00:00:00"/>
    <d v="2025-04-09T00:00:00"/>
    <x v="2"/>
    <s v="Asthma"/>
    <m/>
    <s v="Other"/>
    <s v="Dr. Lee"/>
    <x v="1"/>
    <n v="1393"/>
    <n v="2"/>
    <s v="Yes"/>
    <s v="No"/>
    <s v="OK"/>
    <x v="0"/>
    <n v="2"/>
    <s v="OK"/>
  </r>
  <r>
    <s v="A10127"/>
    <s v="P1341"/>
    <d v="2025-06-17T00:00:00"/>
    <d v="2025-07-03T00:00:00"/>
    <x v="5"/>
    <s v="Hypertension"/>
    <n v="16"/>
    <s v="Female"/>
    <s v="Dr. Smith"/>
    <x v="2"/>
    <n v="3698"/>
    <n v="16"/>
    <s v="Yes"/>
    <s v="No"/>
    <s v="OK"/>
    <x v="0"/>
    <n v="16"/>
    <s v="OK"/>
  </r>
  <r>
    <s v="A10452"/>
    <s v="P1254"/>
    <m/>
    <d v="2025-02-26T00:00:00"/>
    <x v="1"/>
    <s v="Myocardial Infarction"/>
    <n v="37"/>
    <s v="Female"/>
    <s v="Dr. Smith"/>
    <x v="0"/>
    <n v="9203"/>
    <n v="10"/>
    <s v="Yes"/>
    <s v="Yes"/>
    <s v="Missing date"/>
    <x v="0"/>
    <s v=""/>
    <s v="Cannot check dates"/>
  </r>
  <r>
    <s v="A10417"/>
    <s v="P1037"/>
    <d v="2025-06-26T00:00:00"/>
    <d v="2025-07-02T00:00:00"/>
    <x v="0"/>
    <s v="COVID-19"/>
    <n v="46"/>
    <s v="Female"/>
    <s v="Dr. Smith"/>
    <x v="1"/>
    <m/>
    <n v="6"/>
    <s v="Yes"/>
    <s v="No"/>
    <s v="OK"/>
    <x v="1"/>
    <n v="6"/>
    <s v="OK"/>
  </r>
  <r>
    <s v="A10254"/>
    <s v="P1146"/>
    <d v="2025-01-29T00:00:00"/>
    <m/>
    <x v="2"/>
    <s v="Asthma"/>
    <n v="37"/>
    <s v="Female"/>
    <s v="Dr. Patel"/>
    <x v="1"/>
    <n v="12042"/>
    <s v="?"/>
    <s v="No"/>
    <s v="No"/>
    <s v="Missing date"/>
    <x v="0"/>
    <s v=""/>
    <s v="Cannot check dates"/>
  </r>
  <r>
    <s v="A10469"/>
    <s v="P1135"/>
    <d v="2025-02-18T00:00:00"/>
    <d v="2025-03-05T00:00:00"/>
    <x v="3"/>
    <s v="Type 2 Diabetes"/>
    <n v="37"/>
    <s v="Female"/>
    <s v="Dr. Patel"/>
    <x v="0"/>
    <m/>
    <n v="15"/>
    <s v="No"/>
    <s v="No"/>
    <s v="OK"/>
    <x v="1"/>
    <n v="15"/>
    <s v="OK"/>
  </r>
  <r>
    <s v="A10121"/>
    <s v="P1197"/>
    <d v="2025-03-06T00:00:00"/>
    <d v="2025-03-11T00:00:00"/>
    <x v="3"/>
    <s v="Type 2 Diabetes"/>
    <n v="76"/>
    <s v="Female"/>
    <s v="Dr. Patel"/>
    <x v="0"/>
    <n v="5104"/>
    <n v="5"/>
    <s v="No"/>
    <s v="No"/>
    <s v="OK"/>
    <x v="0"/>
    <n v="5"/>
    <s v="OK"/>
  </r>
  <r>
    <s v="A10149"/>
    <s v="P1137"/>
    <d v="2025-06-06T00:00:00"/>
    <m/>
    <x v="5"/>
    <s v="Hypertension"/>
    <n v="13"/>
    <s v="Male"/>
    <s v="Dr. Smith"/>
    <x v="1"/>
    <n v="6660"/>
    <n v="8"/>
    <s v="Yes"/>
    <s v="Yes"/>
    <s v="Missing date"/>
    <x v="0"/>
    <s v=""/>
    <s v="Cannot check dates"/>
  </r>
  <r>
    <s v="A10061"/>
    <s v="P1040"/>
    <d v="2025-10-09T00:00:00"/>
    <d v="2025-10-22T00:00:00"/>
    <x v="1"/>
    <s v="Myocardial Infarction"/>
    <n v="29"/>
    <s v="Male"/>
    <s v="Dr. Patel"/>
    <x v="0"/>
    <n v="7923"/>
    <n v="13"/>
    <s v="No"/>
    <s v="Yes"/>
    <s v="OK"/>
    <x v="0"/>
    <n v="13"/>
    <s v="OK"/>
  </r>
  <r>
    <s v="A10294"/>
    <s v="P1091"/>
    <d v="2025-11-17T00:00:00"/>
    <d v="2025-11-25T00:00:00"/>
    <x v="0"/>
    <s v="COVID-19"/>
    <n v="80"/>
    <s v="Other"/>
    <s v="Dr. Lee"/>
    <x v="0"/>
    <n v="3064"/>
    <n v="8"/>
    <s v="No"/>
    <s v="No"/>
    <s v="OK"/>
    <x v="0"/>
    <n v="8"/>
    <s v="OK"/>
  </r>
  <r>
    <s v="A10256"/>
    <s v="P1271"/>
    <m/>
    <d v="2025-08-23T00:00:00"/>
    <x v="5"/>
    <s v="Hypertension"/>
    <n v="13"/>
    <s v="Female"/>
    <s v="Dr. Lee"/>
    <x v="2"/>
    <n v="4973"/>
    <n v="7"/>
    <s v="No"/>
    <s v="No"/>
    <s v="Missing date"/>
    <x v="0"/>
    <s v=""/>
    <s v="Cannot check dates"/>
  </r>
  <r>
    <s v="A10019"/>
    <s v="P1079"/>
    <d v="2025-04-28T00:00:00"/>
    <d v="2025-05-15T00:00:00"/>
    <x v="4"/>
    <s v="Fracture - Femur"/>
    <n v="50"/>
    <s v="Male"/>
    <s v="Dr. A. Jones"/>
    <x v="2"/>
    <n v="11424"/>
    <n v="17"/>
    <s v="No"/>
    <s v="No"/>
    <s v="OK"/>
    <x v="0"/>
    <n v="17"/>
    <s v="OK"/>
  </r>
  <r>
    <s v="A10009"/>
    <s v="P1378"/>
    <d v="2025-10-15T00:00:00"/>
    <d v="2025-10-31T00:00:00"/>
    <x v="1"/>
    <s v="Myocardial Infarction"/>
    <n v="26"/>
    <s v="Male"/>
    <s v="Dr. Patel"/>
    <x v="1"/>
    <n v="9578"/>
    <n v="16"/>
    <s v="Yes"/>
    <s v="Yes"/>
    <s v="OK"/>
    <x v="0"/>
    <n v="16"/>
    <s v="OK"/>
  </r>
  <r>
    <s v="A10381"/>
    <s v="P1037"/>
    <d v="2025-03-07T00:00:00"/>
    <d v="2025-03-22T00:00:00"/>
    <x v="1"/>
    <s v="Myocardial Infarction"/>
    <m/>
    <s v="Male"/>
    <s v="Dr. Smith"/>
    <x v="1"/>
    <n v="2560"/>
    <n v="15"/>
    <s v="No"/>
    <s v="Yes"/>
    <s v="OK"/>
    <x v="0"/>
    <n v="15"/>
    <s v="OK"/>
  </r>
  <r>
    <s v="A10178"/>
    <s v="P1029"/>
    <d v="2025-07-27T00:00:00"/>
    <d v="2025-08-09T00:00:00"/>
    <x v="3"/>
    <s v="Type 2 Diabetes"/>
    <n v="47"/>
    <s v="Male"/>
    <s v="Dr. Patel"/>
    <x v="2"/>
    <n v="11078"/>
    <n v="13"/>
    <s v="No"/>
    <m/>
    <s v="OK"/>
    <x v="0"/>
    <n v="13"/>
    <s v="OK"/>
  </r>
  <r>
    <s v="A10388"/>
    <s v="P1345"/>
    <d v="2025-03-25T00:00:00"/>
    <d v="2025-04-14T00:00:00"/>
    <x v="6"/>
    <s v="Asthma"/>
    <n v="50"/>
    <s v="Male"/>
    <s v="Dr. Patel"/>
    <x v="0"/>
    <n v="2453"/>
    <n v="20"/>
    <s v="Yes"/>
    <s v="Yes"/>
    <s v="OK"/>
    <x v="0"/>
    <n v="20"/>
    <s v="OK"/>
  </r>
  <r>
    <s v="A10373"/>
    <s v="P1235"/>
    <d v="2025-02-26T00:00:00"/>
    <d v="2025-03-16T00:00:00"/>
    <x v="5"/>
    <s v="Hypertension"/>
    <n v="3"/>
    <s v="Other"/>
    <m/>
    <x v="1"/>
    <n v="8162"/>
    <n v="18"/>
    <s v="Yes"/>
    <s v="Yes"/>
    <s v="OK"/>
    <x v="0"/>
    <n v="18"/>
    <s v="OK"/>
  </r>
  <r>
    <s v="A10053"/>
    <s v="P1293"/>
    <d v="2025-09-30T00:00:00"/>
    <d v="2025-10-20T00:00:00"/>
    <x v="5"/>
    <s v="Hypertension"/>
    <n v="10"/>
    <s v="Female"/>
    <s v="Dr. A. Jones"/>
    <x v="2"/>
    <m/>
    <n v="20"/>
    <s v="No"/>
    <s v="No"/>
    <s v="OK"/>
    <x v="1"/>
    <n v="20"/>
    <s v="OK"/>
  </r>
  <r>
    <s v="A10169"/>
    <s v="P1212"/>
    <d v="2025-03-08T00:00:00"/>
    <d v="2025-03-18T00:00:00"/>
    <x v="2"/>
    <s v="Asthma"/>
    <n v="34"/>
    <s v="Other"/>
    <s v="Dr. Lee"/>
    <x v="1"/>
    <n v="10523"/>
    <n v="10"/>
    <s v="Yes"/>
    <s v="No"/>
    <s v="OK"/>
    <x v="0"/>
    <n v="10"/>
    <s v="OK"/>
  </r>
  <r>
    <s v="A10330"/>
    <s v="P1328"/>
    <d v="2025-10-22T00:00:00"/>
    <d v="2025-11-05T00:00:00"/>
    <x v="0"/>
    <s v="COVID-19"/>
    <n v="80"/>
    <s v="Female"/>
    <s v="Dr. Patel"/>
    <x v="1"/>
    <n v="-250"/>
    <n v="14"/>
    <s v="Yes"/>
    <s v="Yes"/>
    <s v="OK"/>
    <x v="3"/>
    <n v="14"/>
    <s v="OK"/>
  </r>
  <r>
    <s v="A10145"/>
    <s v="P1191"/>
    <d v="2025-12-01T00:00:00"/>
    <d v="2025-12-17T00:00:00"/>
    <x v="0"/>
    <s v="COVID-19"/>
    <n v="71"/>
    <s v="Female"/>
    <s v="Dr. Patel"/>
    <x v="0"/>
    <n v="975"/>
    <n v="16"/>
    <s v="No"/>
    <s v="Yes"/>
    <s v="OK"/>
    <x v="0"/>
    <n v="16"/>
    <s v="OK"/>
  </r>
  <r>
    <s v="A10300"/>
    <s v="P1189"/>
    <d v="2025-05-07T00:00:00"/>
    <m/>
    <x v="5"/>
    <s v="Hypertension"/>
    <n v="9"/>
    <s v="Female"/>
    <s v="Dr. Lee"/>
    <x v="0"/>
    <m/>
    <n v="6"/>
    <s v="Yes"/>
    <s v="Yes"/>
    <s v="Missing date"/>
    <x v="1"/>
    <s v=""/>
    <s v="Cannot check dates"/>
  </r>
  <r>
    <s v="A10421"/>
    <s v="P1379"/>
    <d v="2025-01-30T00:00:00"/>
    <d v="2025-02-11T00:00:00"/>
    <x v="2"/>
    <s v="Asthma"/>
    <n v="64"/>
    <s v="Male"/>
    <s v="Dr. A. Jones"/>
    <x v="0"/>
    <n v="2841"/>
    <n v="12"/>
    <s v="Yes"/>
    <s v="No"/>
    <s v="OK"/>
    <x v="0"/>
    <n v="12"/>
    <s v="OK"/>
  </r>
  <r>
    <s v="A10345"/>
    <s v="P1341"/>
    <d v="2025-03-01T00:00:00"/>
    <d v="2025-03-20T00:00:00"/>
    <x v="6"/>
    <s v="Type 2 Diabetes"/>
    <n v="92"/>
    <s v="Female"/>
    <s v="Dr. Smith"/>
    <x v="1"/>
    <n v="6765"/>
    <n v="19"/>
    <s v="No"/>
    <s v="Yes"/>
    <s v="OK"/>
    <x v="0"/>
    <n v="19"/>
    <s v="OK"/>
  </r>
  <r>
    <s v="A10186"/>
    <s v="P1285"/>
    <d v="2025-06-25T00:00:00"/>
    <m/>
    <x v="0"/>
    <s v="COVID-19"/>
    <n v="27"/>
    <s v="Female"/>
    <s v="Dr. Smith"/>
    <x v="2"/>
    <n v="13076"/>
    <n v="16"/>
    <s v="No"/>
    <s v="Yes"/>
    <s v="Missing date"/>
    <x v="0"/>
    <s v=""/>
    <s v="Cannot check dates"/>
  </r>
  <r>
    <s v="A10372"/>
    <s v="P1007"/>
    <d v="2025-02-18T00:00:00"/>
    <d v="2025-03-06T00:00:00"/>
    <x v="3"/>
    <s v="Type 2 Diabetes"/>
    <n v="37"/>
    <s v="Male"/>
    <s v="Dr. Patel"/>
    <x v="2"/>
    <n v="11045"/>
    <n v="90"/>
    <s v="No"/>
    <s v="Yes"/>
    <s v="OK"/>
    <x v="0"/>
    <n v="16"/>
    <s v="Mismatch"/>
  </r>
  <r>
    <s v="A10151"/>
    <s v="P1044"/>
    <d v="2025-07-24T00:00:00"/>
    <d v="2025-08-05T00:00:00"/>
    <x v="3"/>
    <s v="Type 2 Diabetes"/>
    <n v="72"/>
    <s v="Female"/>
    <s v="Dr. Patel"/>
    <x v="2"/>
    <n v="13951"/>
    <n v="12"/>
    <s v="No"/>
    <s v="Yes"/>
    <s v="OK"/>
    <x v="0"/>
    <n v="12"/>
    <s v="OK"/>
  </r>
  <r>
    <s v="A10126"/>
    <s v="P1375"/>
    <d v="2025-04-30T00:00:00"/>
    <d v="2025-05-03T00:00:00"/>
    <x v="5"/>
    <s v="Hypertension"/>
    <n v="5"/>
    <s v="Male"/>
    <s v="Dr. Patel"/>
    <x v="2"/>
    <n v="3248"/>
    <n v="3"/>
    <s v="No"/>
    <s v="No"/>
    <s v="OK"/>
    <x v="0"/>
    <n v="3"/>
    <s v="OK"/>
  </r>
  <r>
    <s v="A10104"/>
    <s v="P1129"/>
    <d v="2025-08-08T00:00:00"/>
    <d v="2025-08-11T00:00:00"/>
    <x v="3"/>
    <s v="Type 2 Diabetes"/>
    <n v="86"/>
    <s v="Male"/>
    <s v="Dr. Patel"/>
    <x v="0"/>
    <n v="11743"/>
    <n v="3"/>
    <s v="Yes"/>
    <s v="Yes"/>
    <s v="OK"/>
    <x v="0"/>
    <n v="3"/>
    <s v="OK"/>
  </r>
  <r>
    <s v="A10114"/>
    <s v="P1020"/>
    <d v="2025-02-27T00:00:00"/>
    <d v="2025-03-10T00:00:00"/>
    <x v="3"/>
    <s v="Type 2 Diabetes"/>
    <n v="23"/>
    <s v="Female"/>
    <s v="Dr. A. Jones"/>
    <x v="0"/>
    <n v="8181"/>
    <n v="11"/>
    <s v="No"/>
    <s v="Yes"/>
    <s v="OK"/>
    <x v="0"/>
    <n v="11"/>
    <s v="OK"/>
  </r>
  <r>
    <s v="A10204"/>
    <s v="P1177"/>
    <d v="2025-10-02T00:00:00"/>
    <d v="2025-10-20T00:00:00"/>
    <x v="3"/>
    <s v="Type 2 Diabetes"/>
    <n v="90"/>
    <m/>
    <s v="Dr. Smith"/>
    <x v="2"/>
    <n v="14374"/>
    <n v="18"/>
    <s v="Yes"/>
    <s v="Yes"/>
    <s v="OK"/>
    <x v="0"/>
    <n v="18"/>
    <s v="OK"/>
  </r>
  <r>
    <s v="A10092"/>
    <s v="P1091"/>
    <d v="2025-10-08T00:00:00"/>
    <d v="2025-10-10T00:00:00"/>
    <x v="2"/>
    <s v="Asthma"/>
    <n v="31"/>
    <s v="Male"/>
    <s v="Dr. A. Jones"/>
    <x v="0"/>
    <m/>
    <n v="2"/>
    <s v="Yes"/>
    <s v="No"/>
    <s v="OK"/>
    <x v="1"/>
    <n v="2"/>
    <s v="OK"/>
  </r>
  <r>
    <s v="A10251"/>
    <s v="P1199"/>
    <d v="2025-07-02T00:00:00"/>
    <d v="2025-07-05T00:00:00"/>
    <x v="5"/>
    <s v="Hypertension"/>
    <n v="5"/>
    <s v="Female"/>
    <s v="Dr. Smith"/>
    <x v="2"/>
    <n v="1074"/>
    <n v="3"/>
    <s v="Yes"/>
    <s v="Yes"/>
    <s v="OK"/>
    <x v="0"/>
    <n v="3"/>
    <s v="OK"/>
  </r>
  <r>
    <s v="A10280"/>
    <s v="P1381"/>
    <d v="2025-09-04T00:00:00"/>
    <d v="2025-09-16T00:00:00"/>
    <x v="1"/>
    <s v="Myocardial Infarction"/>
    <n v="86"/>
    <s v="Male"/>
    <m/>
    <x v="1"/>
    <n v="4433"/>
    <n v="12"/>
    <s v="No"/>
    <s v="No"/>
    <s v="OK"/>
    <x v="0"/>
    <n v="12"/>
    <s v="OK"/>
  </r>
  <r>
    <s v="A10263"/>
    <s v="P1179"/>
    <d v="2025-08-26T00:00:00"/>
    <d v="2025-09-09T00:00:00"/>
    <x v="0"/>
    <s v="COVID-19"/>
    <n v="35"/>
    <s v="Male"/>
    <s v="Dr. A. Jones"/>
    <x v="2"/>
    <n v="11549"/>
    <n v="14"/>
    <s v="Yes"/>
    <s v="No"/>
    <s v="OK"/>
    <x v="0"/>
    <n v="14"/>
    <s v="OK"/>
  </r>
  <r>
    <s v="A10134"/>
    <s v="P1238"/>
    <d v="2025-09-08T00:00:00"/>
    <d v="2025-09-23T00:00:00"/>
    <x v="5"/>
    <s v="Hypertension"/>
    <m/>
    <s v="Female"/>
    <s v="Dr. Lee"/>
    <x v="1"/>
    <n v="11072"/>
    <n v="15"/>
    <s v="No"/>
    <s v="No"/>
    <s v="OK"/>
    <x v="0"/>
    <n v="15"/>
    <s v="OK"/>
  </r>
  <r>
    <s v="A10334"/>
    <s v="P1234"/>
    <d v="2025-12-02T00:00:00"/>
    <m/>
    <x v="5"/>
    <s v="Hypertension"/>
    <n v="14"/>
    <s v="Male"/>
    <s v="Dr. Smith"/>
    <x v="0"/>
    <n v="7169"/>
    <n v="13"/>
    <s v="No"/>
    <s v="Yes"/>
    <s v="Missing date"/>
    <x v="0"/>
    <s v=""/>
    <s v="Cannot check dates"/>
  </r>
  <r>
    <s v="A10461"/>
    <s v="P1170"/>
    <d v="2025-11-14T00:00:00"/>
    <m/>
    <x v="0"/>
    <s v="COVID-19"/>
    <n v="63"/>
    <s v="Male"/>
    <s v="Dr. Patel"/>
    <x v="1"/>
    <n v="6098"/>
    <n v="16"/>
    <s v="No"/>
    <s v="Yes"/>
    <s v="Missing date"/>
    <x v="0"/>
    <s v=""/>
    <s v="Cannot check dates"/>
  </r>
  <r>
    <s v="A10157"/>
    <s v="P1348"/>
    <d v="2025-02-27T00:00:00"/>
    <d v="2025-03-02T00:00:00"/>
    <x v="2"/>
    <s v="Asthma"/>
    <n v="86"/>
    <s v="Female"/>
    <s v="Dr. A. Jones"/>
    <x v="1"/>
    <m/>
    <n v="3"/>
    <s v="No"/>
    <s v="Yes"/>
    <s v="OK"/>
    <x v="1"/>
    <n v="3"/>
    <s v="OK"/>
  </r>
  <r>
    <s v="A10402"/>
    <s v="P1124"/>
    <d v="2025-09-02T00:00:00"/>
    <d v="2025-09-12T00:00:00"/>
    <x v="2"/>
    <s v="Asthma"/>
    <n v="71"/>
    <s v="Female"/>
    <s v="Dr. Smith"/>
    <x v="1"/>
    <n v="1362"/>
    <n v="10"/>
    <s v="No"/>
    <s v="Yes"/>
    <s v="OK"/>
    <x v="0"/>
    <n v="10"/>
    <s v="OK"/>
  </r>
  <r>
    <s v="A10353"/>
    <s v="P1101"/>
    <d v="2025-03-14T00:00:00"/>
    <d v="2025-03-16T00:00:00"/>
    <x v="2"/>
    <s v="Asthma"/>
    <n v="25"/>
    <s v="Male"/>
    <s v="Dr. Smith"/>
    <x v="0"/>
    <n v="12355"/>
    <m/>
    <s v="No"/>
    <s v="No"/>
    <s v="OK"/>
    <x v="0"/>
    <n v="2"/>
    <s v="Missing recorded stay"/>
  </r>
  <r>
    <s v="A10317"/>
    <s v="P1110"/>
    <d v="2025-07-09T00:00:00"/>
    <d v="2025-07-22T00:00:00"/>
    <x v="5"/>
    <s v="Hypertension"/>
    <n v="8"/>
    <s v="Female"/>
    <s v="Dr. Lee"/>
    <x v="0"/>
    <n v="9977"/>
    <n v="13"/>
    <s v="Yes"/>
    <s v="Yes"/>
    <s v="OK"/>
    <x v="0"/>
    <n v="13"/>
    <s v="OK"/>
  </r>
  <r>
    <s v="A10377"/>
    <s v="P1304"/>
    <d v="2025-01-21T00:00:00"/>
    <d v="2025-01-25T00:00:00"/>
    <x v="3"/>
    <s v="Type 2 Diabetes"/>
    <n v="87"/>
    <s v="Male"/>
    <s v="Dr. Lee"/>
    <x v="0"/>
    <n v="-250"/>
    <n v="4"/>
    <s v="Yes"/>
    <s v="No"/>
    <s v="OK"/>
    <x v="3"/>
    <n v="4"/>
    <s v="OK"/>
  </r>
  <r>
    <s v="A10052"/>
    <s v="P1068"/>
    <m/>
    <d v="2025-05-30T00:00:00"/>
    <x v="3"/>
    <s v="Type 2 Diabetes"/>
    <n v="23"/>
    <s v="Male"/>
    <s v="Dr. Smith"/>
    <x v="1"/>
    <n v="8036"/>
    <n v="3"/>
    <s v="No"/>
    <s v="No"/>
    <s v="Missing date"/>
    <x v="0"/>
    <s v=""/>
    <s v="Cannot check dates"/>
  </r>
  <r>
    <s v="A10276"/>
    <s v="P1235"/>
    <d v="2025-05-13T00:00:00"/>
    <d v="2025-05-18T00:00:00"/>
    <x v="2"/>
    <s v="Asthma"/>
    <n v="54"/>
    <s v="Other"/>
    <s v="Dr. A. Jones"/>
    <x v="2"/>
    <n v="1347"/>
    <n v="5"/>
    <s v="No"/>
    <s v="Yes"/>
    <s v="OK"/>
    <x v="0"/>
    <n v="5"/>
    <s v="OK"/>
  </r>
  <r>
    <s v="A10013"/>
    <s v="P1259"/>
    <d v="2025-08-09T00:00:00"/>
    <d v="2025-08-19T00:00:00"/>
    <x v="5"/>
    <s v="Hypertension"/>
    <n v="17"/>
    <s v="Female"/>
    <s v="Dr. Patel"/>
    <x v="0"/>
    <n v="11395"/>
    <n v="10"/>
    <s v="No"/>
    <s v="No"/>
    <s v="OK"/>
    <x v="0"/>
    <n v="10"/>
    <s v="OK"/>
  </r>
  <r>
    <s v="A10188"/>
    <s v="P1013"/>
    <m/>
    <d v="2025-02-25T00:00:00"/>
    <x v="4"/>
    <s v="Fracture - Femur"/>
    <n v="66"/>
    <s v="Other"/>
    <s v="Dr. Smith"/>
    <x v="2"/>
    <n v="7655"/>
    <n v="4"/>
    <s v="No"/>
    <s v="No"/>
    <s v="Missing date"/>
    <x v="0"/>
    <s v=""/>
    <s v="Cannot check dates"/>
  </r>
  <r>
    <s v="A10389"/>
    <s v="P1382"/>
    <d v="2025-02-26T00:00:00"/>
    <d v="2025-03-18T00:00:00"/>
    <x v="3"/>
    <s v="Type 2 Diabetes"/>
    <n v="46"/>
    <s v="Female"/>
    <s v="Dr. Patel"/>
    <x v="0"/>
    <n v="2071"/>
    <n v="20"/>
    <s v="Yes"/>
    <s v="Yes"/>
    <s v="OK"/>
    <x v="0"/>
    <n v="20"/>
    <s v="OK"/>
  </r>
  <r>
    <s v="A10438"/>
    <s v="P1180"/>
    <d v="2025-04-13T00:00:00"/>
    <m/>
    <x v="3"/>
    <s v="Type 2 Diabetes"/>
    <m/>
    <s v="Male"/>
    <s v="Dr. A. Jones"/>
    <x v="1"/>
    <n v="5982"/>
    <n v="15"/>
    <s v="No"/>
    <s v="Yes"/>
    <s v="Missing date"/>
    <x v="0"/>
    <s v=""/>
    <s v="Cannot check dates"/>
  </r>
  <r>
    <s v="A10043"/>
    <s v="P1246"/>
    <d v="2025-07-27T00:00:00"/>
    <d v="2025-08-11T00:00:00"/>
    <x v="4"/>
    <s v="Fracture - Femur"/>
    <n v="21"/>
    <s v="Other"/>
    <s v="Dr. A. Jones"/>
    <x v="0"/>
    <n v="3529"/>
    <n v="15"/>
    <s v="No"/>
    <s v="No"/>
    <s v="OK"/>
    <x v="0"/>
    <n v="15"/>
    <s v="OK"/>
  </r>
  <r>
    <s v="A10351"/>
    <s v="P1111"/>
    <d v="2025-10-06T00:00:00"/>
    <d v="2025-10-18T00:00:00"/>
    <x v="0"/>
    <s v="COVID-19"/>
    <n v="51"/>
    <s v="Female"/>
    <s v="Dr. Smith"/>
    <x v="2"/>
    <n v="3709"/>
    <n v="12"/>
    <s v="No"/>
    <s v="No"/>
    <s v="OK"/>
    <x v="0"/>
    <n v="12"/>
    <s v="OK"/>
  </r>
  <r>
    <s v="A10436"/>
    <s v="P1137"/>
    <d v="2025-04-01T00:00:00"/>
    <d v="2025-04-11T00:00:00"/>
    <x v="3"/>
    <s v="Type 2 Diabetes"/>
    <n v="36"/>
    <m/>
    <s v="Dr. Patel"/>
    <x v="1"/>
    <n v="3248"/>
    <n v="10"/>
    <s v="Yes"/>
    <s v="No"/>
    <s v="OK"/>
    <x v="0"/>
    <n v="10"/>
    <s v="OK"/>
  </r>
  <r>
    <s v="A10234"/>
    <s v="P1051"/>
    <d v="2025-02-17T00:00:00"/>
    <d v="2025-02-28T00:00:00"/>
    <x v="2"/>
    <s v="Asthma"/>
    <n v="61"/>
    <s v="Male"/>
    <s v="Dr. Patel"/>
    <x v="0"/>
    <n v="4256"/>
    <n v="11"/>
    <s v="No"/>
    <s v="Yes"/>
    <s v="OK"/>
    <x v="0"/>
    <n v="11"/>
    <s v="OK"/>
  </r>
  <r>
    <s v="A10352"/>
    <s v="P1125"/>
    <d v="2025-11-17T00:00:00"/>
    <d v="2025-12-05T00:00:00"/>
    <x v="3"/>
    <s v="Type 2 Diabetes"/>
    <n v="55"/>
    <s v="Other"/>
    <s v="Dr. Patel"/>
    <x v="1"/>
    <m/>
    <n v="18"/>
    <s v="Yes"/>
    <s v="No"/>
    <s v="OK"/>
    <x v="1"/>
    <n v="18"/>
    <s v="OK"/>
  </r>
  <r>
    <s v="A10407"/>
    <s v="P1350"/>
    <d v="2025-05-15T00:00:00"/>
    <d v="2025-05-18T00:00:00"/>
    <x v="5"/>
    <s v="Hypertension"/>
    <n v="11"/>
    <m/>
    <s v="Dr. Patel"/>
    <x v="0"/>
    <n v="2889"/>
    <n v="3"/>
    <s v="Yes"/>
    <s v="Yes"/>
    <s v="OK"/>
    <x v="0"/>
    <n v="3"/>
    <s v="OK"/>
  </r>
  <r>
    <s v="A10223"/>
    <s v="P1014"/>
    <d v="2025-09-22T00:00:00"/>
    <m/>
    <x v="4"/>
    <s v="Fracture - Femur"/>
    <n v="85"/>
    <s v="Female"/>
    <s v="Dr. Lee"/>
    <x v="0"/>
    <n v="12526"/>
    <n v="3"/>
    <s v="No"/>
    <s v="No"/>
    <s v="Missing date"/>
    <x v="0"/>
    <s v=""/>
    <s v="Cannot check dates"/>
  </r>
  <r>
    <s v="A10008"/>
    <s v="P1110"/>
    <d v="2025-03-07T00:00:00"/>
    <d v="2025-03-16T00:00:00"/>
    <x v="4"/>
    <s v="Fracture - Femur"/>
    <n v="41"/>
    <s v="Other"/>
    <s v="Dr. Smith"/>
    <x v="1"/>
    <n v="4346"/>
    <n v="9"/>
    <s v="No"/>
    <s v="No"/>
    <s v="OK"/>
    <x v="0"/>
    <n v="9"/>
    <s v="OK"/>
  </r>
  <r>
    <s v="A10046"/>
    <s v="P1097"/>
    <d v="2025-07-05T00:00:00"/>
    <d v="2025-07-09T00:00:00"/>
    <x v="5"/>
    <s v="Hypertension"/>
    <n v="1"/>
    <s v="Female"/>
    <s v="Dr. Lee"/>
    <x v="2"/>
    <n v="4722"/>
    <n v="4"/>
    <s v="Yes"/>
    <s v="Yes"/>
    <s v="OK"/>
    <x v="0"/>
    <n v="4"/>
    <s v="OK"/>
  </r>
  <r>
    <s v="A10397"/>
    <s v="P1023"/>
    <d v="2025-05-28T00:00:00"/>
    <d v="2025-06-02T00:00:00"/>
    <x v="1"/>
    <s v="Myocardial Infarction"/>
    <n v="20"/>
    <s v="Female"/>
    <s v="Dr. Patel"/>
    <x v="2"/>
    <n v="6117"/>
    <m/>
    <s v="No"/>
    <s v="No"/>
    <s v="OK"/>
    <x v="0"/>
    <n v="5"/>
    <s v="Missing recorded stay"/>
  </r>
  <r>
    <s v="A10333"/>
    <s v="P1213"/>
    <d v="2025-06-05T00:00:00"/>
    <d v="2025-06-16T00:00:00"/>
    <x v="5"/>
    <s v="Hypertension"/>
    <n v="16"/>
    <s v="Male"/>
    <s v="Dr. Patel"/>
    <x v="2"/>
    <n v="5837"/>
    <n v="11"/>
    <s v="No"/>
    <s v="Yes"/>
    <s v="OK"/>
    <x v="0"/>
    <n v="11"/>
    <s v="OK"/>
  </r>
  <r>
    <s v="A10281"/>
    <s v="P1381"/>
    <d v="2025-01-10T00:00:00"/>
    <d v="2025-01-25T00:00:00"/>
    <x v="5"/>
    <s v="Hypertension"/>
    <n v="16"/>
    <s v="Female"/>
    <s v="Dr. Patel"/>
    <x v="0"/>
    <n v="4224"/>
    <n v="15"/>
    <s v="Yes"/>
    <s v="No"/>
    <s v="OK"/>
    <x v="0"/>
    <n v="15"/>
    <s v="OK"/>
  </r>
  <r>
    <s v="A10049"/>
    <s v="P1235"/>
    <d v="2025-09-25T00:00:00"/>
    <d v="2025-09-29T00:00:00"/>
    <x v="3"/>
    <s v="Type 2 Diabetes"/>
    <n v="92"/>
    <s v="Other"/>
    <s v="Dr. Smith"/>
    <x v="1"/>
    <n v="6462"/>
    <n v="4"/>
    <s v="No"/>
    <s v="No"/>
    <s v="OK"/>
    <x v="0"/>
    <n v="4"/>
    <s v="OK"/>
  </r>
  <r>
    <s v="A10413"/>
    <s v="P1312"/>
    <d v="2025-04-23T00:00:00"/>
    <d v="2025-04-24T00:00:00"/>
    <x v="2"/>
    <s v="Asthma"/>
    <n v="18"/>
    <s v="Other"/>
    <s v="Dr. Patel"/>
    <x v="2"/>
    <n v="3744"/>
    <n v="1"/>
    <s v="Yes"/>
    <s v="No"/>
    <s v="OK"/>
    <x v="0"/>
    <n v="1"/>
    <s v="OK"/>
  </r>
  <r>
    <s v="A10363"/>
    <s v="P1351"/>
    <d v="2025-09-04T00:00:00"/>
    <d v="2025-09-11T00:00:00"/>
    <x v="4"/>
    <s v="Fracture - Femur"/>
    <n v="68"/>
    <s v="Other"/>
    <s v="Dr. Smith"/>
    <x v="1"/>
    <n v="13620"/>
    <n v="7"/>
    <s v="No"/>
    <s v="No"/>
    <s v="OK"/>
    <x v="0"/>
    <n v="7"/>
    <s v="OK"/>
  </r>
  <r>
    <s v="A10283"/>
    <s v="P1187"/>
    <d v="2025-10-25T00:00:00"/>
    <d v="2025-10-30T00:00:00"/>
    <x v="4"/>
    <s v="Fracture - Femur"/>
    <n v="94"/>
    <s v="Female"/>
    <s v="Dr. Patel"/>
    <x v="2"/>
    <n v="-250"/>
    <n v="5"/>
    <s v="Yes"/>
    <s v="Yes"/>
    <s v="OK"/>
    <x v="3"/>
    <n v="5"/>
    <s v="OK"/>
  </r>
  <r>
    <s v="A10290"/>
    <s v="P1045"/>
    <m/>
    <d v="2025-01-27T00:00:00"/>
    <x v="0"/>
    <s v="COVID-19"/>
    <n v="41"/>
    <s v="Female"/>
    <s v="Dr. Patel"/>
    <x v="2"/>
    <n v="3316"/>
    <n v="9"/>
    <s v="Yes"/>
    <s v="Yes"/>
    <s v="Missing date"/>
    <x v="0"/>
    <s v=""/>
    <s v="Cannot check dates"/>
  </r>
  <r>
    <s v="A10001"/>
    <s v="P1305"/>
    <m/>
    <m/>
    <x v="6"/>
    <s v="Hypertension"/>
    <m/>
    <m/>
    <m/>
    <x v="2"/>
    <n v="750000"/>
    <n v="90"/>
    <s v="Yes"/>
    <m/>
    <s v="Missing date"/>
    <x v="2"/>
    <s v=""/>
    <s v="Cannot check dates"/>
  </r>
  <r>
    <s v="A10266"/>
    <s v="P1102"/>
    <d v="2025-09-22T00:00:00"/>
    <d v="2025-10-10T00:00:00"/>
    <x v="0"/>
    <s v="COVID-19"/>
    <n v="89"/>
    <s v="Male"/>
    <s v="Dr. Smith"/>
    <x v="2"/>
    <n v="3968"/>
    <n v="90"/>
    <s v="No"/>
    <s v="No"/>
    <s v="OK"/>
    <x v="0"/>
    <n v="18"/>
    <s v="Mismatch"/>
  </r>
  <r>
    <s v="A10116"/>
    <s v="P1010"/>
    <d v="2025-02-17T00:00:00"/>
    <m/>
    <x v="3"/>
    <s v="Type 2 Diabetes"/>
    <n v="89"/>
    <s v="Male"/>
    <s v="Dr. Patel"/>
    <x v="2"/>
    <n v="2429"/>
    <n v="15"/>
    <s v="No"/>
    <s v="No"/>
    <s v="Missing date"/>
    <x v="0"/>
    <s v=""/>
    <s v="Cannot check dates"/>
  </r>
  <r>
    <s v="A10094"/>
    <s v="P1340"/>
    <d v="2025-11-09T00:00:00"/>
    <d v="2025-11-28T00:00:00"/>
    <x v="3"/>
    <s v="Type 2 Diabetes"/>
    <n v="34"/>
    <s v="Male"/>
    <m/>
    <x v="1"/>
    <n v="6242"/>
    <n v="19"/>
    <s v="No"/>
    <s v="No"/>
    <s v="OK"/>
    <x v="0"/>
    <n v="19"/>
    <s v="OK"/>
  </r>
  <r>
    <s v="A10150"/>
    <s v="P1156"/>
    <d v="2025-07-27T00:00:00"/>
    <d v="2025-08-09T00:00:00"/>
    <x v="1"/>
    <s v="Myocardial Infarction"/>
    <n v="69"/>
    <s v="Male"/>
    <s v="Dr. Patel"/>
    <x v="2"/>
    <n v="5882"/>
    <n v="13"/>
    <s v="Yes"/>
    <s v="Yes"/>
    <s v="OK"/>
    <x v="0"/>
    <n v="13"/>
    <s v="OK"/>
  </r>
  <r>
    <s v="A10433"/>
    <s v="P1399"/>
    <d v="2025-08-02T00:00:00"/>
    <d v="2025-08-20T00:00:00"/>
    <x v="2"/>
    <s v="Asthma"/>
    <n v="25"/>
    <s v="Male"/>
    <s v="Dr. Lee"/>
    <x v="2"/>
    <n v="7838"/>
    <n v="18"/>
    <s v="No"/>
    <s v="No"/>
    <s v="OK"/>
    <x v="0"/>
    <n v="18"/>
    <s v="OK"/>
  </r>
  <r>
    <s v="A10434"/>
    <s v="P1011"/>
    <d v="2025-10-08T00:00:00"/>
    <d v="2025-10-16T00:00:00"/>
    <x v="2"/>
    <s v="Asthma"/>
    <n v="54"/>
    <s v="Male"/>
    <s v="Dr. Patel"/>
    <x v="0"/>
    <n v="1105"/>
    <n v="8"/>
    <s v="Yes"/>
    <s v="No"/>
    <s v="OK"/>
    <x v="0"/>
    <n v="8"/>
    <s v="OK"/>
  </r>
  <r>
    <s v="A10287"/>
    <s v="P1002"/>
    <d v="2025-10-12T00:00:00"/>
    <d v="2025-10-30T00:00:00"/>
    <x v="3"/>
    <s v="Type 2 Diabetes"/>
    <n v="49"/>
    <s v="Male"/>
    <s v="Dr. Patel"/>
    <x v="0"/>
    <m/>
    <m/>
    <s v="Yes"/>
    <s v="No"/>
    <s v="OK"/>
    <x v="1"/>
    <n v="18"/>
    <s v="Missing recorded stay"/>
  </r>
  <r>
    <s v="A10378"/>
    <s v="P1119"/>
    <d v="2025-10-09T00:00:00"/>
    <d v="2025-10-10T00:00:00"/>
    <x v="4"/>
    <s v="Fracture - Femur"/>
    <n v="81"/>
    <m/>
    <s v="Dr. Smith"/>
    <x v="1"/>
    <m/>
    <n v="1"/>
    <s v="Yes"/>
    <s v="No"/>
    <s v="OK"/>
    <x v="1"/>
    <n v="1"/>
    <s v="OK"/>
  </r>
  <r>
    <s v="A10216"/>
    <s v="P1205"/>
    <d v="2025-07-06T00:00:00"/>
    <d v="2025-07-21T00:00:00"/>
    <x v="6"/>
    <s v="Fracture - Femur"/>
    <n v="71"/>
    <s v="Female"/>
    <s v="Dr. Patel"/>
    <x v="1"/>
    <n v="2132"/>
    <n v="15"/>
    <s v="No"/>
    <s v="Yes"/>
    <s v="OK"/>
    <x v="0"/>
    <n v="15"/>
    <s v="OK"/>
  </r>
  <r>
    <s v="A10154"/>
    <s v="P1156"/>
    <m/>
    <d v="2025-05-30T00:00:00"/>
    <x v="2"/>
    <s v="Asthma"/>
    <n v="62"/>
    <s v="Other"/>
    <s v="Dr. Lee"/>
    <x v="1"/>
    <n v="13078"/>
    <n v="20"/>
    <s v="Yes"/>
    <s v="No"/>
    <s v="Missing date"/>
    <x v="0"/>
    <s v=""/>
    <s v="Cannot check dates"/>
  </r>
  <r>
    <s v="A10474"/>
    <s v="P1238"/>
    <d v="2025-04-24T00:00:00"/>
    <d v="2025-05-11T00:00:00"/>
    <x v="6"/>
    <s v="Type 2 Diabetes"/>
    <n v="86"/>
    <s v="Female"/>
    <s v="Dr. Smith"/>
    <x v="2"/>
    <n v="1406"/>
    <m/>
    <s v="No"/>
    <s v="No"/>
    <s v="OK"/>
    <x v="0"/>
    <n v="17"/>
    <s v="Missing recorded stay"/>
  </r>
  <r>
    <s v="A10450"/>
    <s v="P1153"/>
    <d v="2025-01-24T00:00:00"/>
    <d v="2025-02-12T00:00:00"/>
    <x v="1"/>
    <s v="Myocardial Infarction"/>
    <n v="19"/>
    <s v="Female"/>
    <s v="Dr. Smith"/>
    <x v="2"/>
    <n v="12413"/>
    <n v="19"/>
    <s v="No"/>
    <s v="No"/>
    <s v="OK"/>
    <x v="0"/>
    <n v="19"/>
    <s v="OK"/>
  </r>
  <r>
    <s v="A10258"/>
    <s v="P1386"/>
    <d v="2025-05-11T00:00:00"/>
    <d v="2025-05-13T00:00:00"/>
    <x v="1"/>
    <s v="Myocardial Infarction"/>
    <n v="33"/>
    <s v="Male"/>
    <s v="Dr. A. Jones"/>
    <x v="1"/>
    <n v="8710"/>
    <n v="2"/>
    <s v="No"/>
    <s v="Yes"/>
    <s v="OK"/>
    <x v="0"/>
    <n v="2"/>
    <s v="OK"/>
  </r>
  <r>
    <s v="A10022"/>
    <s v="P1215"/>
    <d v="2025-02-11T00:00:00"/>
    <d v="2025-02-26T00:00:00"/>
    <x v="2"/>
    <s v="Asthma"/>
    <n v="74"/>
    <s v="Male"/>
    <s v="Dr. Patel"/>
    <x v="0"/>
    <n v="1779"/>
    <n v="15"/>
    <s v="Yes"/>
    <s v="No"/>
    <s v="OK"/>
    <x v="0"/>
    <n v="15"/>
    <s v="OK"/>
  </r>
  <r>
    <s v="A10425"/>
    <s v="P1178"/>
    <d v="2025-01-01T00:00:00"/>
    <d v="2025-01-04T00:00:00"/>
    <x v="1"/>
    <s v="Myocardial Infarction"/>
    <n v="63"/>
    <s v="Male"/>
    <s v="Dr. Smith"/>
    <x v="0"/>
    <n v="7393"/>
    <n v="90"/>
    <s v="Yes"/>
    <s v="Yes"/>
    <s v="OK"/>
    <x v="0"/>
    <n v="3"/>
    <s v="Mismatch"/>
  </r>
  <r>
    <s v="A10021"/>
    <s v="P1032"/>
    <d v="2025-08-17T00:00:00"/>
    <d v="2025-08-22T00:00:00"/>
    <x v="2"/>
    <s v="Asthma"/>
    <n v="63"/>
    <s v="Male"/>
    <s v="Dr. Patel"/>
    <x v="2"/>
    <n v="8022"/>
    <n v="5"/>
    <s v="Yes"/>
    <s v="No"/>
    <s v="OK"/>
    <x v="0"/>
    <n v="5"/>
    <s v="OK"/>
  </r>
  <r>
    <s v="A10401"/>
    <s v="P1162"/>
    <d v="2025-07-26T00:00:00"/>
    <d v="2025-08-03T00:00:00"/>
    <x v="1"/>
    <s v="Myocardial Infarction"/>
    <n v="70"/>
    <s v="Male"/>
    <s v="Dr. Patel"/>
    <x v="2"/>
    <n v="4414"/>
    <n v="8"/>
    <s v="No"/>
    <s v="No"/>
    <s v="OK"/>
    <x v="0"/>
    <n v="8"/>
    <s v="OK"/>
  </r>
  <r>
    <s v="A10240"/>
    <s v="P1055"/>
    <d v="2025-03-01T00:00:00"/>
    <d v="2025-03-02T00:00:00"/>
    <x v="4"/>
    <s v="Fracture - Femur"/>
    <n v="22"/>
    <s v="Male"/>
    <s v="Dr. Smith"/>
    <x v="2"/>
    <n v="2927"/>
    <n v="1"/>
    <s v="Yes"/>
    <s v="Yes"/>
    <s v="OK"/>
    <x v="0"/>
    <n v="1"/>
    <s v="OK"/>
  </r>
  <r>
    <s v="A10367"/>
    <s v="P1190"/>
    <d v="2025-06-15T00:00:00"/>
    <d v="2025-06-24T00:00:00"/>
    <x v="5"/>
    <s v="Hypertension"/>
    <n v="13"/>
    <s v="Male"/>
    <s v="Dr. A. Jones"/>
    <x v="1"/>
    <n v="1124"/>
    <n v="9"/>
    <s v="No"/>
    <s v="No"/>
    <s v="OK"/>
    <x v="0"/>
    <n v="9"/>
    <s v="OK"/>
  </r>
  <r>
    <s v="A10324"/>
    <s v="P1351"/>
    <m/>
    <d v="2025-06-04T00:00:00"/>
    <x v="1"/>
    <s v="Myocardial Infarction"/>
    <m/>
    <s v="Female"/>
    <s v="Dr. Lee"/>
    <x v="0"/>
    <n v="5353"/>
    <n v="7"/>
    <s v="Yes"/>
    <s v="Yes"/>
    <s v="Missing date"/>
    <x v="0"/>
    <s v=""/>
    <s v="Cannot check dates"/>
  </r>
  <r>
    <s v="A10316"/>
    <s v="P1179"/>
    <d v="2025-05-01T00:00:00"/>
    <d v="2025-05-09T00:00:00"/>
    <x v="3"/>
    <s v="Type 2 Diabetes"/>
    <n v="30"/>
    <s v="Male"/>
    <s v="Dr. Smith"/>
    <x v="1"/>
    <n v="1430"/>
    <n v="8"/>
    <s v="No"/>
    <s v="No"/>
    <s v="OK"/>
    <x v="0"/>
    <n v="8"/>
    <s v="OK"/>
  </r>
  <r>
    <s v="A10454"/>
    <s v="P1290"/>
    <d v="2025-12-16T00:00:00"/>
    <d v="2026-01-02T00:00:00"/>
    <x v="1"/>
    <s v="Myocardial Infarction"/>
    <n v="74"/>
    <s v="Female"/>
    <s v="Dr. Smith"/>
    <x v="0"/>
    <n v="7082"/>
    <n v="17"/>
    <s v="No"/>
    <s v="No"/>
    <s v="OK"/>
    <x v="0"/>
    <n v="17"/>
    <s v="OK"/>
  </r>
  <r>
    <s v="A10486"/>
    <s v="P1199"/>
    <d v="2025-10-06T00:00:00"/>
    <d v="2025-10-12T00:00:00"/>
    <x v="0"/>
    <s v="COVID-19"/>
    <n v="77"/>
    <s v="Female"/>
    <s v="Dr. A. Jones"/>
    <x v="0"/>
    <n v="12443"/>
    <n v="6"/>
    <s v="Yes"/>
    <s v="No"/>
    <s v="OK"/>
    <x v="0"/>
    <n v="6"/>
    <s v="OK"/>
  </r>
  <r>
    <s v="A10286"/>
    <s v="P1177"/>
    <d v="2025-07-07T00:00:00"/>
    <d v="2025-07-20T00:00:00"/>
    <x v="5"/>
    <s v="Hypertension"/>
    <m/>
    <s v="Female"/>
    <s v="Dr. Smith"/>
    <x v="1"/>
    <n v="12716"/>
    <n v="13"/>
    <s v="No"/>
    <s v="Yes"/>
    <s v="OK"/>
    <x v="0"/>
    <n v="13"/>
    <s v="OK"/>
  </r>
  <r>
    <s v="A10056"/>
    <s v="P1327"/>
    <d v="2025-08-25T00:00:00"/>
    <d v="2025-09-11T00:00:00"/>
    <x v="1"/>
    <s v="Myocardial Infarction"/>
    <n v="44"/>
    <s v="Male"/>
    <s v="Dr. Patel"/>
    <x v="1"/>
    <n v="6597"/>
    <n v="17"/>
    <s v="Yes"/>
    <s v="No"/>
    <s v="OK"/>
    <x v="0"/>
    <n v="17"/>
    <s v="OK"/>
  </r>
  <r>
    <s v="A10058"/>
    <s v="P1092"/>
    <d v="2025-01-19T00:00:00"/>
    <d v="2025-02-07T00:00:00"/>
    <x v="4"/>
    <s v="Fracture - Femur"/>
    <m/>
    <s v="Male"/>
    <s v="Dr. A. Jones"/>
    <x v="2"/>
    <n v="5645"/>
    <n v="19"/>
    <s v="No"/>
    <s v="No"/>
    <s v="OK"/>
    <x v="0"/>
    <n v="19"/>
    <s v="OK"/>
  </r>
  <r>
    <s v="A10273"/>
    <s v="P1261"/>
    <m/>
    <d v="2025-08-10T00:00:00"/>
    <x v="3"/>
    <s v="Type 2 Diabetes"/>
    <n v="41"/>
    <s v="Female"/>
    <s v="Dr. Smith"/>
    <x v="2"/>
    <n v="12299"/>
    <n v="17"/>
    <s v="Yes"/>
    <s v="Yes"/>
    <s v="Missing date"/>
    <x v="0"/>
    <s v=""/>
    <s v="Cannot check dates"/>
  </r>
  <r>
    <s v="A10200"/>
    <s v="P1021"/>
    <d v="2025-08-31T00:00:00"/>
    <d v="2025-09-19T00:00:00"/>
    <x v="3"/>
    <s v="Type 2 Diabetes"/>
    <n v="81"/>
    <s v="Male"/>
    <s v="Dr. Smith"/>
    <x v="0"/>
    <n v="11815"/>
    <n v="19"/>
    <s v="No"/>
    <s v="Yes"/>
    <s v="OK"/>
    <x v="0"/>
    <n v="19"/>
    <s v="OK"/>
  </r>
  <r>
    <s v="A10033"/>
    <s v="P1002"/>
    <d v="2025-02-21T00:00:00"/>
    <d v="2025-03-09T00:00:00"/>
    <x v="2"/>
    <s v="Asthma"/>
    <n v="48"/>
    <s v="Female"/>
    <s v="Dr. Smith"/>
    <x v="1"/>
    <n v="5483"/>
    <n v="16"/>
    <s v="Yes"/>
    <s v="No"/>
    <s v="OK"/>
    <x v="0"/>
    <n v="16"/>
    <s v="OK"/>
  </r>
  <r>
    <s v="A10382"/>
    <s v="P1096"/>
    <d v="2025-09-30T00:00:00"/>
    <d v="2025-10-09T00:00:00"/>
    <x v="4"/>
    <s v="Fracture - Femur"/>
    <n v="92"/>
    <s v="Male"/>
    <s v="Dr. Smith"/>
    <x v="0"/>
    <n v="6000"/>
    <n v="9"/>
    <s v="Yes"/>
    <s v="Yes"/>
    <s v="OK"/>
    <x v="0"/>
    <n v="9"/>
    <s v="OK"/>
  </r>
  <r>
    <s v="A10172"/>
    <s v="P1212"/>
    <d v="2025-11-10T00:00:00"/>
    <d v="2025-11-20T00:00:00"/>
    <x v="2"/>
    <s v="Asthma"/>
    <m/>
    <s v="Male"/>
    <s v="Dr. Smith"/>
    <x v="2"/>
    <n v="4549"/>
    <n v="10"/>
    <s v="Yes"/>
    <s v="Yes"/>
    <s v="OK"/>
    <x v="0"/>
    <n v="10"/>
    <s v="OK"/>
  </r>
  <r>
    <s v="A10262"/>
    <s v="P1325"/>
    <d v="2025-04-23T00:00:00"/>
    <d v="2025-05-07T00:00:00"/>
    <x v="2"/>
    <s v="Asthma"/>
    <n v="60"/>
    <m/>
    <s v="Dr. A. Jones"/>
    <x v="2"/>
    <n v="10070"/>
    <n v="14"/>
    <s v="Yes"/>
    <s v="No"/>
    <s v="OK"/>
    <x v="0"/>
    <n v="14"/>
    <s v="OK"/>
  </r>
  <r>
    <s v="A10180"/>
    <s v="P1162"/>
    <d v="2025-09-28T00:00:00"/>
    <d v="2025-10-08T00:00:00"/>
    <x v="0"/>
    <s v="COVID-19"/>
    <n v="86"/>
    <s v="Male"/>
    <s v="Dr. A. Jones"/>
    <x v="1"/>
    <n v="6189"/>
    <n v="10"/>
    <s v="No"/>
    <s v="Yes"/>
    <s v="OK"/>
    <x v="0"/>
    <n v="10"/>
    <s v="OK"/>
  </r>
  <r>
    <s v="A10278"/>
    <s v="P1128"/>
    <d v="2025-09-06T00:00:00"/>
    <d v="2025-09-17T00:00:00"/>
    <x v="1"/>
    <s v="Myocardial Infarction"/>
    <n v="93"/>
    <s v="Male"/>
    <s v="Dr. Patel"/>
    <x v="2"/>
    <n v="10131"/>
    <n v="11"/>
    <s v="Yes"/>
    <s v="No"/>
    <s v="OK"/>
    <x v="0"/>
    <n v="11"/>
    <s v="OK"/>
  </r>
  <r>
    <s v="A10201"/>
    <s v="P1022"/>
    <d v="2025-05-31T00:00:00"/>
    <d v="2025-06-04T00:00:00"/>
    <x v="2"/>
    <s v="Asthma"/>
    <n v="20"/>
    <s v="Male"/>
    <s v="Dr. A. Jones"/>
    <x v="2"/>
    <n v="1754"/>
    <n v="4"/>
    <s v="No"/>
    <s v="Yes"/>
    <s v="OK"/>
    <x v="0"/>
    <n v="4"/>
    <s v="OK"/>
  </r>
  <r>
    <s v="A10331"/>
    <s v="P1298"/>
    <d v="2025-01-06T00:00:00"/>
    <d v="2025-01-23T00:00:00"/>
    <x v="3"/>
    <s v="Type 2 Diabetes"/>
    <n v="23"/>
    <s v="Female"/>
    <s v="Dr. A. Jones"/>
    <x v="2"/>
    <n v="11097"/>
    <m/>
    <s v="Yes"/>
    <s v="No"/>
    <s v="OK"/>
    <x v="0"/>
    <n v="17"/>
    <s v="Missing recorded stay"/>
  </r>
  <r>
    <s v="A10002"/>
    <s v="P1129"/>
    <d v="2025-09-26T00:00:00"/>
    <d v="2025-10-06T00:00:00"/>
    <x v="2"/>
    <s v="Asthma"/>
    <n v="61"/>
    <s v="Male"/>
    <s v="Dr. Patel"/>
    <x v="1"/>
    <n v="10757"/>
    <n v="10"/>
    <s v="Yes"/>
    <s v="Yes"/>
    <s v="OK"/>
    <x v="0"/>
    <n v="10"/>
    <s v="OK"/>
  </r>
  <r>
    <s v="A10272"/>
    <s v="P1385"/>
    <d v="2025-11-17T00:00:00"/>
    <d v="2025-12-03T00:00:00"/>
    <x v="5"/>
    <s v="Hypertension"/>
    <n v="12"/>
    <s v="Female"/>
    <s v="Dr. Patel"/>
    <x v="0"/>
    <n v="5378"/>
    <n v="16"/>
    <s v="Yes"/>
    <s v="No"/>
    <s v="OK"/>
    <x v="0"/>
    <n v="16"/>
    <s v="OK"/>
  </r>
  <r>
    <s v="A10139"/>
    <s v="P1077"/>
    <d v="2025-02-04T00:00:00"/>
    <m/>
    <x v="4"/>
    <s v="Fracture - Femur"/>
    <n v="74"/>
    <s v="Male"/>
    <s v="Dr. Patel"/>
    <x v="1"/>
    <n v="5143"/>
    <n v="20"/>
    <s v="No"/>
    <s v="Yes"/>
    <s v="Missing date"/>
    <x v="0"/>
    <s v=""/>
    <s v="Cannot check dates"/>
  </r>
  <r>
    <s v="A10233"/>
    <s v="P1368"/>
    <d v="2025-10-04T00:00:00"/>
    <d v="2025-10-06T00:00:00"/>
    <x v="4"/>
    <s v="Fracture - Femur"/>
    <n v="59"/>
    <m/>
    <s v="Dr. A. Jones"/>
    <x v="0"/>
    <n v="13040"/>
    <n v="2"/>
    <s v="Yes"/>
    <s v="No"/>
    <s v="OK"/>
    <x v="0"/>
    <n v="2"/>
    <s v="OK"/>
  </r>
  <r>
    <s v="A10309"/>
    <s v="P1213"/>
    <d v="2025-08-29T00:00:00"/>
    <d v="2025-09-05T00:00:00"/>
    <x v="5"/>
    <s v="Hypertension"/>
    <n v="6"/>
    <s v="Female"/>
    <s v="Dr. Smith"/>
    <x v="0"/>
    <n v="7579"/>
    <m/>
    <s v="No"/>
    <s v="Yes"/>
    <s v="OK"/>
    <x v="0"/>
    <n v="7"/>
    <s v="Missing recorded stay"/>
  </r>
  <r>
    <s v="A10190"/>
    <s v="P1286"/>
    <d v="2025-08-30T00:00:00"/>
    <d v="2025-08-31T00:00:00"/>
    <x v="0"/>
    <s v="COVID-19"/>
    <n v="39"/>
    <s v="Female"/>
    <s v="Dr. A. Jones"/>
    <x v="1"/>
    <n v="5390"/>
    <n v="1"/>
    <s v="No"/>
    <s v="Yes"/>
    <s v="OK"/>
    <x v="0"/>
    <n v="1"/>
    <s v="OK"/>
  </r>
  <r>
    <s v="A10480"/>
    <s v="P1033"/>
    <d v="2025-05-20T00:00:00"/>
    <d v="2025-05-22T00:00:00"/>
    <x v="4"/>
    <s v="Fracture - Femur"/>
    <n v="54"/>
    <s v="Female"/>
    <s v="Dr. Patel"/>
    <x v="2"/>
    <n v="5489"/>
    <n v="2"/>
    <s v="No"/>
    <s v="Yes"/>
    <s v="OK"/>
    <x v="0"/>
    <n v="2"/>
    <s v="OK"/>
  </r>
  <r>
    <s v="A10355"/>
    <s v="P1157"/>
    <d v="2025-04-13T00:00:00"/>
    <d v="2025-04-14T00:00:00"/>
    <x v="1"/>
    <s v="Myocardial Infarction"/>
    <n v="27"/>
    <s v="Male"/>
    <s v="Dr. A. Jones"/>
    <x v="2"/>
    <n v="8589"/>
    <n v="1"/>
    <s v="No"/>
    <m/>
    <s v="OK"/>
    <x v="0"/>
    <n v="1"/>
    <s v="OK"/>
  </r>
  <r>
    <s v="A10380"/>
    <s v="P1142"/>
    <d v="2025-02-24T00:00:00"/>
    <d v="2025-03-06T00:00:00"/>
    <x v="3"/>
    <s v="Type 2 Diabetes"/>
    <n v="93"/>
    <s v="Male"/>
    <s v="Dr. A. Jones"/>
    <x v="2"/>
    <n v="9892"/>
    <n v="10"/>
    <s v="No"/>
    <s v="Yes"/>
    <s v="OK"/>
    <x v="0"/>
    <n v="10"/>
    <s v="OK"/>
  </r>
  <r>
    <s v="A10476"/>
    <s v="P1275"/>
    <d v="2025-10-16T00:00:00"/>
    <d v="2025-10-26T00:00:00"/>
    <x v="2"/>
    <s v="Asthma"/>
    <m/>
    <s v="Male"/>
    <s v="Dr. A. Jones"/>
    <x v="0"/>
    <n v="9854"/>
    <n v="10"/>
    <s v="No"/>
    <s v="Yes"/>
    <s v="OK"/>
    <x v="0"/>
    <n v="10"/>
    <s v="OK"/>
  </r>
  <r>
    <s v="A10482"/>
    <s v="P1078"/>
    <d v="2025-02-11T00:00:00"/>
    <m/>
    <x v="2"/>
    <s v="Asthma"/>
    <n v="53"/>
    <s v="Male"/>
    <s v="Dr. A. Jones"/>
    <x v="2"/>
    <m/>
    <n v="18"/>
    <s v="Yes"/>
    <s v="No"/>
    <s v="Missing date"/>
    <x v="1"/>
    <s v=""/>
    <s v="Cannot check dates"/>
  </r>
  <r>
    <s v="A10075"/>
    <s v="P1292"/>
    <d v="2025-06-01T00:00:00"/>
    <s v="O1"/>
    <x v="2"/>
    <s v="Asthma"/>
    <n v="35"/>
    <s v="Female"/>
    <s v="Dr. Smith"/>
    <x v="1"/>
    <n v="5337"/>
    <n v="12"/>
    <s v="No"/>
    <s v="Yes"/>
    <s v="OK"/>
    <x v="0"/>
    <s v=""/>
    <s v="Cannot check dates"/>
  </r>
  <r>
    <s v="A10242"/>
    <s v="P1219"/>
    <d v="2025-09-25T00:00:00"/>
    <d v="2025-10-15T00:00:00"/>
    <x v="5"/>
    <s v="Hypertension"/>
    <n v="6"/>
    <s v="Male"/>
    <s v="Dr. Smith"/>
    <x v="0"/>
    <n v="5653"/>
    <n v="20"/>
    <s v="Yes"/>
    <s v="No"/>
    <s v="OK"/>
    <x v="0"/>
    <n v="20"/>
    <s v="OK"/>
  </r>
  <r>
    <s v="A10347"/>
    <s v="P1392"/>
    <d v="2025-09-23T00:00:00"/>
    <d v="2025-09-26T00:00:00"/>
    <x v="4"/>
    <s v="Fracture - Femur"/>
    <n v="83"/>
    <s v="Male"/>
    <s v="Dr. Patel"/>
    <x v="1"/>
    <n v="13376"/>
    <n v="3"/>
    <s v="Yes"/>
    <s v="Yes"/>
    <s v="OK"/>
    <x v="0"/>
    <n v="3"/>
    <s v="OK"/>
  </r>
  <r>
    <s v="A10441"/>
    <s v="P1256"/>
    <d v="2025-04-23T00:00:00"/>
    <d v="2025-05-06T00:00:00"/>
    <x v="1"/>
    <s v="Myocardial Infarction"/>
    <n v="75"/>
    <s v="Male"/>
    <s v="Dr. Smith"/>
    <x v="1"/>
    <n v="1475"/>
    <m/>
    <s v="Yes"/>
    <s v="Yes"/>
    <s v="OK"/>
    <x v="0"/>
    <n v="13"/>
    <s v="Missing recorded stay"/>
  </r>
  <r>
    <s v="A10462"/>
    <s v="P1188"/>
    <d v="2025-10-17T00:00:00"/>
    <d v="2025-11-01T00:00:00"/>
    <x v="1"/>
    <s v="Myocardial Infarction"/>
    <n v="38"/>
    <s v="Male"/>
    <s v="Dr. Smith"/>
    <x v="2"/>
    <n v="1900"/>
    <n v="15"/>
    <s v="No"/>
    <s v="No"/>
    <s v="OK"/>
    <x v="0"/>
    <n v="15"/>
    <s v="OK"/>
  </r>
  <r>
    <s v="A10292"/>
    <s v="P1329"/>
    <d v="2025-07-17T00:00:00"/>
    <d v="2025-07-25T00:00:00"/>
    <x v="1"/>
    <s v="Myocardial Infarction"/>
    <n v="82"/>
    <s v="Male"/>
    <s v="Dr. A. Jones"/>
    <x v="1"/>
    <n v="12137"/>
    <n v="8"/>
    <s v="Yes"/>
    <s v="Yes"/>
    <s v="OK"/>
    <x v="0"/>
    <n v="8"/>
    <s v="OK"/>
  </r>
  <r>
    <s v="A10109"/>
    <s v="P1280"/>
    <d v="2025-07-25T00:00:00"/>
    <d v="2025-08-02T00:00:00"/>
    <x v="3"/>
    <s v="Type 2 Diabetes"/>
    <n v="64"/>
    <s v="Male"/>
    <s v="Dr. Smith"/>
    <x v="0"/>
    <n v="5481"/>
    <n v="8"/>
    <s v="Yes"/>
    <s v="Yes"/>
    <s v="OK"/>
    <x v="0"/>
    <n v="8"/>
    <s v="OK"/>
  </r>
  <r>
    <s v="A10435"/>
    <s v="P1058"/>
    <d v="2025-07-25T00:00:00"/>
    <d v="2025-08-11T00:00:00"/>
    <x v="1"/>
    <s v="Myocardial Infarction"/>
    <n v="23"/>
    <s v="Female"/>
    <m/>
    <x v="1"/>
    <n v="1971"/>
    <n v="17"/>
    <s v="Yes"/>
    <s v="No"/>
    <s v="OK"/>
    <x v="0"/>
    <n v="17"/>
    <s v="OK"/>
  </r>
  <r>
    <s v="A10479"/>
    <s v="P1050"/>
    <d v="2025-02-26T00:00:00"/>
    <d v="2025-03-15T00:00:00"/>
    <x v="3"/>
    <s v="Type 2 Diabetes"/>
    <n v="34"/>
    <s v="Female"/>
    <s v="Dr. A. Jones"/>
    <x v="2"/>
    <n v="3851"/>
    <n v="17"/>
    <s v="No"/>
    <s v="Yes"/>
    <s v="OK"/>
    <x v="0"/>
    <n v="17"/>
    <s v="OK"/>
  </r>
  <r>
    <s v="A10457"/>
    <s v="P1292"/>
    <d v="2025-12-16T00:00:00"/>
    <d v="2025-12-30T00:00:00"/>
    <x v="3"/>
    <s v="Type 2 Diabetes"/>
    <m/>
    <s v="Female"/>
    <s v="Dr. Patel"/>
    <x v="2"/>
    <n v="4093"/>
    <n v="14"/>
    <s v="No"/>
    <s v="No"/>
    <s v="OK"/>
    <x v="0"/>
    <n v="14"/>
    <s v="OK"/>
  </r>
  <r>
    <s v="A10170"/>
    <s v="P1123"/>
    <d v="2025-03-18T00:00:00"/>
    <d v="2025-04-03T00:00:00"/>
    <x v="5"/>
    <s v="Hypertension"/>
    <n v="1"/>
    <s v="Male"/>
    <s v="Dr. Smith"/>
    <x v="1"/>
    <m/>
    <n v="16"/>
    <s v="Yes"/>
    <s v="Yes"/>
    <s v="OK"/>
    <x v="1"/>
    <n v="16"/>
    <s v="OK"/>
  </r>
  <r>
    <s v="A10424"/>
    <s v="P1300"/>
    <d v="2025-11-28T00:00:00"/>
    <d v="2025-11-30T00:00:00"/>
    <x v="0"/>
    <s v="COVID-19"/>
    <n v="63"/>
    <s v="Female"/>
    <s v="Dr. Patel"/>
    <x v="1"/>
    <n v="-250"/>
    <n v="2"/>
    <s v="Yes"/>
    <s v="Yes"/>
    <s v="OK"/>
    <x v="3"/>
    <n v="2"/>
    <s v="OK"/>
  </r>
  <r>
    <s v="A10136"/>
    <s v="P1004"/>
    <d v="2025-05-02T00:00:00"/>
    <d v="2025-05-15T00:00:00"/>
    <x v="1"/>
    <s v="Myocardial Infarction"/>
    <n v="32"/>
    <s v="Other"/>
    <s v="Dr. Smith"/>
    <x v="1"/>
    <n v="4197"/>
    <n v="13"/>
    <s v="Yes"/>
    <s v="Yes"/>
    <s v="OK"/>
    <x v="0"/>
    <n v="13"/>
    <s v="OK"/>
  </r>
  <r>
    <s v="A10442"/>
    <s v="P1219"/>
    <d v="2025-03-29T00:00:00"/>
    <d v="2025-04-03T00:00:00"/>
    <x v="4"/>
    <s v="Fracture - Femur"/>
    <n v="22"/>
    <s v="Male"/>
    <s v="Dr. Smith"/>
    <x v="1"/>
    <n v="10395"/>
    <n v="5"/>
    <s v="Yes"/>
    <s v="No"/>
    <s v="OK"/>
    <x v="0"/>
    <n v="5"/>
    <s v="OK"/>
  </r>
  <r>
    <s v="A10110"/>
    <s v="P1180"/>
    <d v="2025-05-11T00:00:00"/>
    <d v="2025-05-13T00:00:00"/>
    <x v="1"/>
    <s v="Myocardial Infarction"/>
    <n v="52"/>
    <s v="Female"/>
    <s v="Dr. Smith"/>
    <x v="0"/>
    <n v="9098"/>
    <n v="2"/>
    <s v="Yes"/>
    <s v="No"/>
    <s v="OK"/>
    <x v="0"/>
    <n v="2"/>
    <s v="OK"/>
  </r>
  <r>
    <s v="A10428"/>
    <s v="P1262"/>
    <d v="2025-05-31T00:00:00"/>
    <d v="2025-06-14T00:00:00"/>
    <x v="2"/>
    <s v="Asthma"/>
    <n v="66"/>
    <s v="Male"/>
    <s v="Dr. Smith"/>
    <x v="2"/>
    <n v="11471"/>
    <n v="14"/>
    <s v="Yes"/>
    <s v="Yes"/>
    <s v="OK"/>
    <x v="0"/>
    <n v="14"/>
    <s v="OK"/>
  </r>
  <r>
    <s v="A10205"/>
    <s v="P1250"/>
    <m/>
    <d v="2025-01-15T00:00:00"/>
    <x v="3"/>
    <s v="Type 2 Diabetes"/>
    <n v="41"/>
    <s v="Male"/>
    <s v="Dr. Patel"/>
    <x v="2"/>
    <n v="4379"/>
    <n v="9"/>
    <s v="Yes"/>
    <s v="Yes"/>
    <s v="Missing date"/>
    <x v="0"/>
    <s v=""/>
    <s v="Cannot check dates"/>
  </r>
  <r>
    <s v="A10395"/>
    <s v="P1394"/>
    <d v="2025-06-26T00:00:00"/>
    <d v="2025-07-15T00:00:00"/>
    <x v="1"/>
    <s v="Myocardial Infarction"/>
    <n v="88"/>
    <s v="Male"/>
    <s v="Dr. Smith"/>
    <x v="0"/>
    <n v="4601"/>
    <n v="19"/>
    <s v="No"/>
    <s v="Yes"/>
    <s v="OK"/>
    <x v="0"/>
    <n v="19"/>
    <s v="OK"/>
  </r>
  <r>
    <s v="A10498"/>
    <s v="P1340"/>
    <d v="2025-09-23T00:00:00"/>
    <d v="2025-09-24T00:00:00"/>
    <x v="1"/>
    <s v="Myocardial Infarction"/>
    <n v="29"/>
    <s v="Male"/>
    <s v="Dr. Smith"/>
    <x v="2"/>
    <n v="9856"/>
    <n v="1"/>
    <s v="No"/>
    <s v="Yes"/>
    <s v="OK"/>
    <x v="0"/>
    <n v="1"/>
    <s v="OK"/>
  </r>
  <r>
    <s v="A10066"/>
    <s v="P1185"/>
    <d v="2025-01-04T00:00:00"/>
    <d v="2025-01-13T00:00:00"/>
    <x v="2"/>
    <s v="Asthma"/>
    <n v="49"/>
    <s v="Male"/>
    <s v="Dr. Smith"/>
    <x v="0"/>
    <m/>
    <n v="9"/>
    <s v="No"/>
    <s v="No"/>
    <s v="OK"/>
    <x v="1"/>
    <n v="9"/>
    <s v="OK"/>
  </r>
  <r>
    <s v="A10348"/>
    <s v="P1111"/>
    <d v="2025-03-03T00:00:00"/>
    <d v="2025-03-11T00:00:00"/>
    <x v="4"/>
    <s v="Fracture - Femur"/>
    <n v="29"/>
    <s v="Male"/>
    <s v="Dr. Patel"/>
    <x v="0"/>
    <n v="7647"/>
    <n v="8"/>
    <s v="Yes"/>
    <s v="No"/>
    <s v="OK"/>
    <x v="0"/>
    <n v="8"/>
    <s v="OK"/>
  </r>
  <r>
    <s v="A10080"/>
    <s v="P1390"/>
    <d v="2025-03-20T00:00:00"/>
    <d v="2025-04-04T00:00:00"/>
    <x v="0"/>
    <s v="COVID-19"/>
    <n v="46"/>
    <s v="Female"/>
    <s v="Dr. Patel"/>
    <x v="2"/>
    <n v="10384"/>
    <n v="15"/>
    <s v="Yes"/>
    <s v="No"/>
    <s v="OK"/>
    <x v="0"/>
    <n v="15"/>
    <s v="OK"/>
  </r>
  <r>
    <s v="A10089"/>
    <s v="P1001"/>
    <d v="2025-03-01T00:00:00"/>
    <d v="2025-03-21T00:00:00"/>
    <x v="5"/>
    <s v="Hypertension"/>
    <n v="8"/>
    <s v="Male"/>
    <s v="Dr. Lee"/>
    <x v="0"/>
    <n v="12270"/>
    <m/>
    <s v="No"/>
    <s v="Yes"/>
    <s v="OK"/>
    <x v="0"/>
    <n v="20"/>
    <s v="Missing recorded stay"/>
  </r>
  <r>
    <s v="A10065"/>
    <s v="P1013"/>
    <d v="2025-10-10T00:00:00"/>
    <d v="2025-10-20T00:00:00"/>
    <x v="5"/>
    <s v="Hypertension"/>
    <n v="13"/>
    <s v="Male"/>
    <s v="Dr. Patel"/>
    <x v="2"/>
    <n v="3984"/>
    <n v="10"/>
    <s v="No"/>
    <s v="Yes"/>
    <s v="OK"/>
    <x v="0"/>
    <n v="10"/>
    <s v="OK"/>
  </r>
  <r>
    <s v="A10409"/>
    <s v="P1029"/>
    <m/>
    <d v="2025-11-12T00:00:00"/>
    <x v="1"/>
    <s v="Myocardial Infarction"/>
    <n v="54"/>
    <s v="Female"/>
    <s v="Dr. Lee"/>
    <x v="2"/>
    <n v="6766"/>
    <n v="2"/>
    <s v="No"/>
    <s v="Yes"/>
    <s v="Missing date"/>
    <x v="0"/>
    <s v=""/>
    <s v="Cannot check dates"/>
  </r>
  <r>
    <s v="A10142"/>
    <s v="P1168"/>
    <d v="2025-08-19T00:00:00"/>
    <d v="2025-08-25T00:00:00"/>
    <x v="3"/>
    <s v="Type 2 Diabetes"/>
    <n v="35"/>
    <s v="Male"/>
    <s v="Dr. Patel"/>
    <x v="0"/>
    <n v="-250"/>
    <n v="6"/>
    <s v="No"/>
    <s v="Yes"/>
    <s v="OK"/>
    <x v="3"/>
    <n v="6"/>
    <s v="OK"/>
  </r>
  <r>
    <s v="A10255"/>
    <s v="P1035"/>
    <d v="2025-09-04T00:00:00"/>
    <d v="2025-09-11T00:00:00"/>
    <x v="4"/>
    <s v="Fracture - Femur"/>
    <n v="66"/>
    <s v="Female"/>
    <s v="Dr. Patel"/>
    <x v="1"/>
    <n v="14181"/>
    <n v="7"/>
    <s v="Yes"/>
    <s v="Yes"/>
    <s v="OK"/>
    <x v="0"/>
    <n v="7"/>
    <s v="OK"/>
  </r>
  <r>
    <s v="A10497"/>
    <s v="P1073"/>
    <d v="2025-09-27T00:00:00"/>
    <d v="2025-10-07T00:00:00"/>
    <x v="1"/>
    <s v="Myocardial Infarction"/>
    <n v="60"/>
    <s v="Male"/>
    <m/>
    <x v="2"/>
    <n v="11242"/>
    <n v="10"/>
    <s v="Yes"/>
    <s v="No"/>
    <s v="OK"/>
    <x v="0"/>
    <n v="10"/>
    <s v="OK"/>
  </r>
  <r>
    <s v="A10310"/>
    <s v="P1188"/>
    <d v="2025-09-18T00:00:00"/>
    <d v="2025-10-06T00:00:00"/>
    <x v="2"/>
    <s v="Asthma"/>
    <n v="79"/>
    <s v="Female"/>
    <s v="Dr. Patel"/>
    <x v="2"/>
    <n v="883"/>
    <n v="18"/>
    <s v="No"/>
    <s v="Yes"/>
    <s v="OK"/>
    <x v="0"/>
    <n v="18"/>
    <s v="OK"/>
  </r>
  <r>
    <s v="A10138"/>
    <s v="P1272"/>
    <d v="2025-04-20T00:00:00"/>
    <d v="2025-05-04T00:00:00"/>
    <x v="3"/>
    <s v="Type 2 Diabetes"/>
    <n v="83"/>
    <s v="Female"/>
    <s v="Dr. Smith"/>
    <x v="1"/>
    <n v="8097"/>
    <n v="14"/>
    <s v="No"/>
    <s v="No"/>
    <s v="OK"/>
    <x v="0"/>
    <n v="14"/>
    <s v="OK"/>
  </r>
  <r>
    <s v="A10027"/>
    <s v="P1195"/>
    <d v="2025-12-14T00:00:00"/>
    <d v="2025-12-24T00:00:00"/>
    <x v="3"/>
    <s v="Type 2 Diabetes"/>
    <n v="39"/>
    <s v="Male"/>
    <s v="Dr. A. Jones"/>
    <x v="1"/>
    <m/>
    <n v="10"/>
    <s v="Yes"/>
    <s v="Yes"/>
    <s v="OK"/>
    <x v="1"/>
    <n v="10"/>
    <s v="OK"/>
  </r>
  <r>
    <s v="A10257"/>
    <s v="P1154"/>
    <d v="2025-08-08T00:00:00"/>
    <d v="2025-08-18T00:00:00"/>
    <x v="4"/>
    <s v="Fracture - Femur"/>
    <n v="39"/>
    <s v="Female"/>
    <s v="Dr. Smith"/>
    <x v="1"/>
    <n v="721"/>
    <n v="10"/>
    <s v="Yes"/>
    <s v="No"/>
    <s v="OK"/>
    <x v="0"/>
    <n v="10"/>
    <s v="OK"/>
  </r>
  <r>
    <s v="A10082"/>
    <s v="P1380"/>
    <d v="2025-09-25T00:00:00"/>
    <d v="2025-10-05T00:00:00"/>
    <x v="4"/>
    <s v="Fracture - Femur"/>
    <n v="82"/>
    <s v="Male"/>
    <s v="Dr. Lee"/>
    <x v="2"/>
    <n v="9852"/>
    <n v="10"/>
    <s v="Yes"/>
    <s v="No"/>
    <s v="OK"/>
    <x v="0"/>
    <n v="10"/>
    <s v="OK"/>
  </r>
  <r>
    <s v="A10325"/>
    <s v="P1053"/>
    <d v="2025-05-01T00:00:00"/>
    <d v="2025-05-09T00:00:00"/>
    <x v="0"/>
    <s v="COVID-19"/>
    <n v="29"/>
    <s v="Male"/>
    <s v="Dr. Patel"/>
    <x v="2"/>
    <n v="4733"/>
    <n v="8"/>
    <s v="Yes"/>
    <s v="Yes"/>
    <s v="OK"/>
    <x v="0"/>
    <n v="8"/>
    <s v="OK"/>
  </r>
  <r>
    <s v="A10140"/>
    <s v="P1310"/>
    <d v="2025-11-25T00:00:00"/>
    <d v="2025-12-11T00:00:00"/>
    <x v="0"/>
    <s v="COVID-19"/>
    <n v="47"/>
    <s v="Female"/>
    <s v="Dr. Patel"/>
    <x v="1"/>
    <n v="10794"/>
    <n v="16"/>
    <s v="No"/>
    <s v="No"/>
    <s v="OK"/>
    <x v="0"/>
    <n v="16"/>
    <s v="OK"/>
  </r>
  <r>
    <s v="A10103"/>
    <s v="P1363"/>
    <m/>
    <d v="2025-11-18T00:00:00"/>
    <x v="5"/>
    <s v="Hypertension"/>
    <n v="3"/>
    <s v="Female"/>
    <s v="Dr. A. Jones"/>
    <x v="2"/>
    <n v="714"/>
    <n v="1"/>
    <s v="No"/>
    <s v="Yes"/>
    <s v="Missing date"/>
    <x v="0"/>
    <s v=""/>
    <s v="Cannot check dates"/>
  </r>
  <r>
    <s v="A10231"/>
    <s v="P1203"/>
    <d v="2025-07-07T00:00:00"/>
    <m/>
    <x v="3"/>
    <s v="Type 2 Diabetes"/>
    <n v="73"/>
    <s v="Male"/>
    <s v="Dr. Patel"/>
    <x v="2"/>
    <n v="13245"/>
    <n v="18"/>
    <s v="No"/>
    <s v="Yes"/>
    <s v="Missing date"/>
    <x v="0"/>
    <s v=""/>
    <s v="Cannot check dates"/>
  </r>
  <r>
    <s v="A10271"/>
    <s v="P1217"/>
    <d v="2025-04-08T00:00:00"/>
    <d v="2025-04-18T00:00:00"/>
    <x v="2"/>
    <s v="Asthma"/>
    <n v="42"/>
    <s v="Male"/>
    <s v="Dr. Patel"/>
    <x v="2"/>
    <n v="5253"/>
    <n v="10"/>
    <s v="No"/>
    <s v="No"/>
    <s v="OK"/>
    <x v="0"/>
    <n v="10"/>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5E2E8F-27B9-4CC6-83C5-5FAEB651D25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rowPageCount="1" colPageCount="1"/>
  <pivotFields count="18">
    <pivotField showAll="0"/>
    <pivotField showAll="0"/>
    <pivotField showAll="0"/>
    <pivotField showAll="0"/>
    <pivotField axis="axisRow" showAll="0">
      <items count="8">
        <item x="1"/>
        <item x="2"/>
        <item x="3"/>
        <item x="0"/>
        <item x="4"/>
        <item x="5"/>
        <item x="6"/>
        <item t="default"/>
      </items>
    </pivotField>
    <pivotField showAll="0"/>
    <pivotField showAll="0"/>
    <pivotField showAll="0"/>
    <pivotField showAll="0"/>
    <pivotField showAll="0">
      <items count="4">
        <item x="0"/>
        <item x="2"/>
        <item x="1"/>
        <item t="default"/>
      </items>
    </pivotField>
    <pivotField dataField="1" showAll="0"/>
    <pivotField showAll="0"/>
    <pivotField showAll="0"/>
    <pivotField showAll="0"/>
    <pivotField showAll="0"/>
    <pivotField axis="axisPage" multipleItemSelectionAllowed="1" showAll="0">
      <items count="5">
        <item h="1" x="1"/>
        <item h="1" x="3"/>
        <item x="0"/>
        <item x="2"/>
        <item t="default"/>
      </items>
    </pivotField>
    <pivotField showAll="0"/>
    <pivotField showAll="0"/>
  </pivotFields>
  <rowFields count="1">
    <field x="4"/>
  </rowFields>
  <rowItems count="8">
    <i>
      <x/>
    </i>
    <i>
      <x v="1"/>
    </i>
    <i>
      <x v="2"/>
    </i>
    <i>
      <x v="3"/>
    </i>
    <i>
      <x v="4"/>
    </i>
    <i>
      <x v="5"/>
    </i>
    <i>
      <x v="6"/>
    </i>
    <i t="grand">
      <x/>
    </i>
  </rowItems>
  <colItems count="1">
    <i/>
  </colItems>
  <pageFields count="1">
    <pageField fld="15" hier="-1"/>
  </pageFields>
  <dataFields count="1">
    <dataField name="Sum of Treatment_Cost_GBP" fld="10" baseField="0" baseItem="0"/>
  </dataFields>
  <chartFormats count="2">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615A0C-6FAF-4162-A68D-85B1C09C7255}"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8">
    <pivotField showAll="0"/>
    <pivotField showAll="0"/>
    <pivotField showAll="0"/>
    <pivotField showAll="0"/>
    <pivotField axis="axisRow" showAll="0">
      <items count="8">
        <item x="1"/>
        <item x="2"/>
        <item x="3"/>
        <item x="0"/>
        <item x="4"/>
        <item x="5"/>
        <item x="6"/>
        <item t="default"/>
      </items>
    </pivotField>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dataField="1" showAll="0"/>
    <pivotField showAll="0"/>
  </pivotFields>
  <rowFields count="1">
    <field x="4"/>
  </rowFields>
  <rowItems count="8">
    <i>
      <x/>
    </i>
    <i>
      <x v="1"/>
    </i>
    <i>
      <x v="2"/>
    </i>
    <i>
      <x v="3"/>
    </i>
    <i>
      <x v="4"/>
    </i>
    <i>
      <x v="5"/>
    </i>
    <i>
      <x v="6"/>
    </i>
    <i t="grand">
      <x/>
    </i>
  </rowItems>
  <colItems count="1">
    <i/>
  </colItems>
  <dataFields count="1">
    <dataField name="Average of Calculated_stay_Days" fld="16" subtotal="average" baseField="4"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A49810-4071-43F9-88A4-71B1C380650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18">
    <pivotField dataField="1" showAll="0"/>
    <pivotField showAll="0"/>
    <pivotField showAll="0"/>
    <pivotField showAll="0"/>
    <pivotField axis="axisRow" showAll="0">
      <items count="8">
        <item x="1"/>
        <item x="2"/>
        <item x="3"/>
        <item x="0"/>
        <item x="4"/>
        <item x="5"/>
        <item x="6"/>
        <item t="default"/>
      </items>
    </pivotField>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Count of Admission_ID"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73EB713-053E-48C7-BF22-0CAD53B17F59}" sourceName="Department">
  <pivotTables>
    <pivotTable tabId="9" name="PivotTable1"/>
    <pivotTable tabId="10" name="PivotTable1"/>
    <pivotTable tabId="12" name="PivotTable2"/>
  </pivotTables>
  <data>
    <tabular pivotCacheId="1055247259">
      <items count="7">
        <i x="1" s="1"/>
        <i x="2" s="1"/>
        <i x="3" s="1"/>
        <i x="0"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ype" xr10:uid="{D1768775-AA11-4FF9-83BC-290B7697E15F}" sourceName="Insurance_Type">
  <pivotTables>
    <pivotTable tabId="9" name="PivotTable1"/>
    <pivotTable tabId="10" name="PivotTable1"/>
    <pivotTable tabId="12" name="PivotTable2"/>
  </pivotTables>
  <data>
    <tabular pivotCacheId="105524725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CFF207A-5FC4-480F-9383-2AF16092E4BC}" cache="Slicer_Department" caption="Department" rowHeight="241300"/>
  <slicer name="Insurance_Type" xr10:uid="{DA5342ED-D799-4CF8-B519-7259E5DA2FF8}" cache="Slicer_Insurance_Type" caption="Insurance_Type" rowHeight="241300"/>
</slicer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3CEED-9D74-403C-A2E6-67FD3F4E38A2}">
  <dimension ref="A1:C16"/>
  <sheetViews>
    <sheetView workbookViewId="0">
      <selection activeCell="D2" sqref="D2:L17"/>
    </sheetView>
  </sheetViews>
  <sheetFormatPr defaultRowHeight="14.25"/>
  <cols>
    <col min="1" max="1" width="15" bestFit="1" customWidth="1"/>
    <col min="2" max="2" width="27.375" bestFit="1" customWidth="1"/>
  </cols>
  <sheetData>
    <row r="1" spans="1:3">
      <c r="A1" s="11" t="s">
        <v>1699</v>
      </c>
      <c r="B1" t="s">
        <v>1715</v>
      </c>
    </row>
    <row r="3" spans="1:3">
      <c r="A3" s="11" t="s">
        <v>1710</v>
      </c>
      <c r="B3" t="s">
        <v>1714</v>
      </c>
    </row>
    <row r="4" spans="1:3">
      <c r="A4" s="12" t="s">
        <v>29</v>
      </c>
      <c r="B4" s="13">
        <v>661619</v>
      </c>
    </row>
    <row r="5" spans="1:3">
      <c r="A5" s="12" t="s">
        <v>120</v>
      </c>
      <c r="B5" s="13">
        <v>540710</v>
      </c>
    </row>
    <row r="6" spans="1:3">
      <c r="A6" s="12" t="s">
        <v>149</v>
      </c>
      <c r="B6" s="13">
        <v>1452858</v>
      </c>
    </row>
    <row r="7" spans="1:3">
      <c r="A7" s="12" t="s">
        <v>18</v>
      </c>
      <c r="B7" s="13">
        <v>1139674</v>
      </c>
    </row>
    <row r="8" spans="1:3">
      <c r="A8" s="12" t="s">
        <v>125</v>
      </c>
      <c r="B8" s="13">
        <v>2010611</v>
      </c>
    </row>
    <row r="9" spans="1:3">
      <c r="A9" s="12" t="s">
        <v>249</v>
      </c>
      <c r="B9" s="13">
        <v>436183</v>
      </c>
    </row>
    <row r="10" spans="1:3">
      <c r="A10" s="12" t="s">
        <v>1711</v>
      </c>
      <c r="B10" s="13">
        <v>818551</v>
      </c>
    </row>
    <row r="11" spans="1:3">
      <c r="A11" s="12" t="s">
        <v>1712</v>
      </c>
      <c r="B11" s="13">
        <v>7060206</v>
      </c>
    </row>
    <row r="16" spans="1:3">
      <c r="C16" t="s">
        <v>1716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7CD35-5213-46FC-BFCC-FCDB061AA09F}">
  <dimension ref="A3:B11"/>
  <sheetViews>
    <sheetView workbookViewId="0">
      <selection activeCell="B7" sqref="B7"/>
    </sheetView>
  </sheetViews>
  <sheetFormatPr defaultRowHeight="14.25"/>
  <cols>
    <col min="1" max="1" width="15" bestFit="1" customWidth="1"/>
    <col min="2" max="2" width="30.75" bestFit="1" customWidth="1"/>
  </cols>
  <sheetData>
    <row r="3" spans="1:2">
      <c r="A3" s="11" t="s">
        <v>1710</v>
      </c>
      <c r="B3" t="s">
        <v>1717</v>
      </c>
    </row>
    <row r="4" spans="1:2">
      <c r="A4" s="12" t="s">
        <v>29</v>
      </c>
      <c r="B4" s="13">
        <v>11.155844155844155</v>
      </c>
    </row>
    <row r="5" spans="1:2">
      <c r="A5" s="12" t="s">
        <v>120</v>
      </c>
      <c r="B5" s="13">
        <v>10.012658227848101</v>
      </c>
    </row>
    <row r="6" spans="1:2">
      <c r="A6" s="12" t="s">
        <v>149</v>
      </c>
      <c r="B6" s="13">
        <v>11.219512195121951</v>
      </c>
    </row>
    <row r="7" spans="1:2">
      <c r="A7" s="12" t="s">
        <v>18</v>
      </c>
      <c r="B7" s="13">
        <v>10.684210526315789</v>
      </c>
    </row>
    <row r="8" spans="1:2">
      <c r="A8" s="12" t="s">
        <v>125</v>
      </c>
      <c r="B8" s="13">
        <v>9.9499999999999993</v>
      </c>
    </row>
    <row r="9" spans="1:2">
      <c r="A9" s="12" t="s">
        <v>249</v>
      </c>
      <c r="B9" s="13">
        <v>10.698412698412698</v>
      </c>
    </row>
    <row r="10" spans="1:2">
      <c r="A10" s="12" t="s">
        <v>1711</v>
      </c>
      <c r="B10" s="13">
        <v>14.272727272727273</v>
      </c>
    </row>
    <row r="11" spans="1:2">
      <c r="A11" s="12" t="s">
        <v>1712</v>
      </c>
      <c r="B11" s="13">
        <v>10.738927738927739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90555-422A-4B1B-A661-806C9468389E}">
  <dimension ref="A1:S506"/>
  <sheetViews>
    <sheetView showGridLines="0" topLeftCell="I1" workbookViewId="0">
      <pane ySplit="1" topLeftCell="A465" activePane="bottomLeft" state="frozen"/>
      <selection activeCell="M1" sqref="M1"/>
      <selection pane="bottomLeft" activeCell="E24" sqref="E24"/>
    </sheetView>
  </sheetViews>
  <sheetFormatPr defaultRowHeight="14.25"/>
  <cols>
    <col min="1" max="2" width="22" customWidth="1"/>
    <col min="3" max="4" width="22" style="7" customWidth="1"/>
    <col min="5" max="10" width="22" customWidth="1"/>
    <col min="11" max="11" width="27" customWidth="1"/>
    <col min="12" max="14" width="25" customWidth="1"/>
    <col min="15" max="15" width="17.875" customWidth="1"/>
    <col min="16" max="16" width="18" customWidth="1"/>
    <col min="17" max="17" width="20" customWidth="1"/>
    <col min="18" max="18" width="17.25" customWidth="1"/>
  </cols>
  <sheetData>
    <row r="1" spans="1:19" ht="33.950000000000003" customHeight="1">
      <c r="A1" s="2" t="s">
        <v>0</v>
      </c>
      <c r="B1" s="2" t="s">
        <v>1</v>
      </c>
      <c r="C1" s="6" t="s">
        <v>2</v>
      </c>
      <c r="D1" s="6" t="s">
        <v>3</v>
      </c>
      <c r="E1" s="2" t="s">
        <v>4</v>
      </c>
      <c r="F1" s="2" t="s">
        <v>5</v>
      </c>
      <c r="G1" s="2" t="s">
        <v>6</v>
      </c>
      <c r="H1" s="2" t="s">
        <v>7</v>
      </c>
      <c r="I1" s="2" t="s">
        <v>8</v>
      </c>
      <c r="J1" s="2" t="s">
        <v>9</v>
      </c>
      <c r="K1" s="2" t="s">
        <v>10</v>
      </c>
      <c r="L1" s="2" t="s">
        <v>1700</v>
      </c>
      <c r="M1" s="2" t="s">
        <v>12</v>
      </c>
      <c r="N1" s="2" t="s">
        <v>13</v>
      </c>
      <c r="O1" s="2" t="s">
        <v>1698</v>
      </c>
      <c r="P1" s="2" t="s">
        <v>1699</v>
      </c>
      <c r="Q1" s="2" t="s">
        <v>1701</v>
      </c>
      <c r="R1" s="2" t="s">
        <v>1702</v>
      </c>
    </row>
    <row r="2" spans="1:19">
      <c r="A2" s="1" t="s">
        <v>14</v>
      </c>
      <c r="B2" s="1" t="s">
        <v>15</v>
      </c>
      <c r="C2" s="5">
        <v>45983</v>
      </c>
      <c r="D2" s="5">
        <v>45986</v>
      </c>
      <c r="E2" s="1" t="s">
        <v>18</v>
      </c>
      <c r="F2" s="1" t="s">
        <v>83</v>
      </c>
      <c r="G2" s="1">
        <v>29</v>
      </c>
      <c r="H2" s="1" t="s">
        <v>84</v>
      </c>
      <c r="I2" s="1" t="s">
        <v>49</v>
      </c>
      <c r="J2" s="1" t="s">
        <v>22</v>
      </c>
      <c r="K2" s="1">
        <v>6896</v>
      </c>
      <c r="L2" s="1">
        <v>3</v>
      </c>
      <c r="M2" s="1" t="s">
        <v>33</v>
      </c>
      <c r="N2" s="1" t="s">
        <v>52</v>
      </c>
      <c r="O2" t="str">
        <f>IF(OR(C2="",D2=""),"Missing date",IF(AND(ISNUMBER(C2),ISNUMBER(D2)),IF(D2&lt;C2,"Check dates","OK"),"Invalid date"))</f>
        <v>OK</v>
      </c>
      <c r="P2" t="str">
        <f>IF(K2="","Missing cost",IF(ISNUMBER(K2),IF(K2&lt;0,"Negative cost",IF(K2&gt;100000,"Review high cost","OK")),"Check format"))</f>
        <v>OK</v>
      </c>
      <c r="Q2">
        <f>IF(AND(ISNUMBER(C2),ISNUMBER(D2)),IF(D2&gt;=C2,D2-C2,""),"")</f>
        <v>3</v>
      </c>
      <c r="R2" t="str">
        <f>IF(Q2="","Cannot check dates",IF(L2="","Missing recorded stay",IF(ISNUMBER(L2),IF(L2=Q2,"OK","Mismatch"),"Check format")))</f>
        <v>OK</v>
      </c>
      <c r="S2">
        <f>COUNTIF(R2:R506,"Mismatch")</f>
        <v>9</v>
      </c>
    </row>
    <row r="3" spans="1:19">
      <c r="A3" s="1" t="s">
        <v>25</v>
      </c>
      <c r="B3" s="1" t="s">
        <v>26</v>
      </c>
      <c r="C3" s="5">
        <v>45919</v>
      </c>
      <c r="D3" s="5">
        <v>45926</v>
      </c>
      <c r="E3" s="1" t="s">
        <v>29</v>
      </c>
      <c r="F3" s="1" t="s">
        <v>77</v>
      </c>
      <c r="G3" s="1">
        <v>61</v>
      </c>
      <c r="H3" s="1"/>
      <c r="I3" s="1" t="s">
        <v>127</v>
      </c>
      <c r="J3" s="1" t="s">
        <v>32</v>
      </c>
      <c r="K3" s="1">
        <v>10642</v>
      </c>
      <c r="L3" s="1">
        <v>7</v>
      </c>
      <c r="M3" s="1" t="s">
        <v>33</v>
      </c>
      <c r="N3" s="1" t="s">
        <v>33</v>
      </c>
      <c r="O3" t="str">
        <f t="shared" ref="O3:O66" si="0">IF(OR(C3="",D3=""),"Missing date",IF(D3&lt;C3,"Check dates","OK"))</f>
        <v>OK</v>
      </c>
      <c r="P3" t="str">
        <f t="shared" ref="P3:P66" si="1">IF(K3="","Missing cost",IF(ISNUMBER(K3),IF(K3&lt;0,"Negative cost",IF(K3&gt;100000,"Review high cost","OK")),"Check format"))</f>
        <v>OK</v>
      </c>
      <c r="Q3">
        <f t="shared" ref="Q3:Q66" si="2">IF(AND(ISNUMBER(C3),ISNUMBER(D3)),IF(D3&gt;=C3,D3-C3,""),"")</f>
        <v>7</v>
      </c>
      <c r="R3" t="str">
        <f t="shared" ref="R3:R66" si="3">IF(Q3="","Cannot check dates",IF(L3="","Missing recorded stay",IF(ISNUMBER(L3),IF(L3=Q3,"OK","Mismatch"),"Check format")))</f>
        <v>OK</v>
      </c>
      <c r="S3">
        <f>COUNTIF(R2:R506,"Check format")</f>
        <v>0</v>
      </c>
    </row>
    <row r="4" spans="1:19">
      <c r="A4" s="1" t="s">
        <v>34</v>
      </c>
      <c r="B4" s="1" t="s">
        <v>35</v>
      </c>
      <c r="C4" s="5">
        <v>45663</v>
      </c>
      <c r="D4" s="5">
        <v>45668</v>
      </c>
      <c r="E4" s="1" t="s">
        <v>120</v>
      </c>
      <c r="F4" s="1" t="s">
        <v>39</v>
      </c>
      <c r="G4" s="1">
        <v>93</v>
      </c>
      <c r="H4" s="1" t="s">
        <v>84</v>
      </c>
      <c r="I4" s="1" t="s">
        <v>49</v>
      </c>
      <c r="J4" s="1" t="s">
        <v>40</v>
      </c>
      <c r="K4" s="1">
        <v>4998</v>
      </c>
      <c r="L4" s="1">
        <v>5</v>
      </c>
      <c r="M4" s="1" t="s">
        <v>33</v>
      </c>
      <c r="N4" s="1" t="s">
        <v>33</v>
      </c>
      <c r="O4" t="str">
        <f t="shared" si="0"/>
        <v>OK</v>
      </c>
      <c r="P4" t="str">
        <f t="shared" si="1"/>
        <v>OK</v>
      </c>
      <c r="Q4">
        <f t="shared" si="2"/>
        <v>5</v>
      </c>
      <c r="R4" t="str">
        <f t="shared" si="3"/>
        <v>OK</v>
      </c>
      <c r="S4">
        <f>COUNTBLANK(N2:N506)</f>
        <v>9</v>
      </c>
    </row>
    <row r="5" spans="1:19">
      <c r="A5" s="1" t="s">
        <v>42</v>
      </c>
      <c r="B5" s="1" t="s">
        <v>43</v>
      </c>
      <c r="C5" s="5">
        <v>45717</v>
      </c>
      <c r="D5" s="5">
        <v>45728</v>
      </c>
      <c r="E5" s="1" t="s">
        <v>149</v>
      </c>
      <c r="F5" s="1" t="s">
        <v>109</v>
      </c>
      <c r="G5" s="1"/>
      <c r="H5" s="1" t="s">
        <v>48</v>
      </c>
      <c r="I5" s="1" t="s">
        <v>49</v>
      </c>
      <c r="J5" s="1" t="s">
        <v>32</v>
      </c>
      <c r="K5" s="1">
        <v>9680</v>
      </c>
      <c r="L5" s="1">
        <v>11</v>
      </c>
      <c r="M5" s="1" t="s">
        <v>52</v>
      </c>
      <c r="N5" s="1" t="s">
        <v>52</v>
      </c>
      <c r="O5" t="str">
        <f t="shared" si="0"/>
        <v>OK</v>
      </c>
      <c r="P5" t="str">
        <f t="shared" si="1"/>
        <v>OK</v>
      </c>
      <c r="Q5">
        <f t="shared" si="2"/>
        <v>11</v>
      </c>
      <c r="R5" t="str">
        <f t="shared" si="3"/>
        <v>OK</v>
      </c>
    </row>
    <row r="6" spans="1:19">
      <c r="A6" s="1" t="s">
        <v>53</v>
      </c>
      <c r="B6" s="1" t="s">
        <v>54</v>
      </c>
      <c r="C6" s="5">
        <v>45744</v>
      </c>
      <c r="D6" s="5">
        <v>45760</v>
      </c>
      <c r="E6" s="1" t="s">
        <v>18</v>
      </c>
      <c r="F6" s="1" t="s">
        <v>83</v>
      </c>
      <c r="G6" s="1">
        <v>43</v>
      </c>
      <c r="H6" s="1" t="s">
        <v>84</v>
      </c>
      <c r="I6" s="1" t="s">
        <v>65</v>
      </c>
      <c r="J6" s="1" t="s">
        <v>32</v>
      </c>
      <c r="K6" s="1">
        <v>725</v>
      </c>
      <c r="L6" s="1">
        <v>16</v>
      </c>
      <c r="M6" s="1" t="s">
        <v>52</v>
      </c>
      <c r="N6" s="1" t="s">
        <v>33</v>
      </c>
      <c r="O6" t="str">
        <f t="shared" si="0"/>
        <v>OK</v>
      </c>
      <c r="P6" t="str">
        <f t="shared" si="1"/>
        <v>OK</v>
      </c>
      <c r="Q6">
        <f t="shared" si="2"/>
        <v>16</v>
      </c>
      <c r="R6" t="str">
        <f t="shared" si="3"/>
        <v>OK</v>
      </c>
    </row>
    <row r="7" spans="1:19">
      <c r="A7" s="1" t="s">
        <v>60</v>
      </c>
      <c r="B7" s="1" t="s">
        <v>61</v>
      </c>
      <c r="C7" s="5">
        <v>45790</v>
      </c>
      <c r="D7" s="5">
        <v>45793</v>
      </c>
      <c r="E7" s="1" t="s">
        <v>29</v>
      </c>
      <c r="F7" s="1" t="s">
        <v>77</v>
      </c>
      <c r="G7" s="1">
        <v>54</v>
      </c>
      <c r="H7" s="1" t="s">
        <v>48</v>
      </c>
      <c r="I7" s="1" t="s">
        <v>65</v>
      </c>
      <c r="J7" s="1" t="s">
        <v>22</v>
      </c>
      <c r="K7" s="1">
        <v>3665</v>
      </c>
      <c r="L7" s="1">
        <v>3</v>
      </c>
      <c r="M7" s="1" t="s">
        <v>33</v>
      </c>
      <c r="N7" s="1" t="s">
        <v>52</v>
      </c>
      <c r="O7" t="str">
        <f t="shared" si="0"/>
        <v>OK</v>
      </c>
      <c r="P7" t="str">
        <f t="shared" si="1"/>
        <v>OK</v>
      </c>
      <c r="Q7">
        <f t="shared" si="2"/>
        <v>3</v>
      </c>
      <c r="R7" t="str">
        <f t="shared" si="3"/>
        <v>OK</v>
      </c>
    </row>
    <row r="8" spans="1:19">
      <c r="A8" s="1" t="s">
        <v>66</v>
      </c>
      <c r="B8" s="1" t="s">
        <v>67</v>
      </c>
      <c r="C8" s="5"/>
      <c r="D8" s="5"/>
      <c r="E8" s="1" t="s">
        <v>125</v>
      </c>
      <c r="F8" s="1" t="s">
        <v>126</v>
      </c>
      <c r="G8" s="1">
        <v>68</v>
      </c>
      <c r="H8" s="1" t="s">
        <v>104</v>
      </c>
      <c r="I8" s="1" t="s">
        <v>65</v>
      </c>
      <c r="J8" s="1" t="s">
        <v>40</v>
      </c>
      <c r="K8" s="1">
        <v>1223</v>
      </c>
      <c r="L8" s="1">
        <v>7</v>
      </c>
      <c r="M8" s="1" t="s">
        <v>52</v>
      </c>
      <c r="N8" s="1" t="s">
        <v>33</v>
      </c>
      <c r="O8" t="str">
        <f t="shared" si="0"/>
        <v>Missing date</v>
      </c>
      <c r="P8" t="str">
        <f t="shared" si="1"/>
        <v>OK</v>
      </c>
      <c r="Q8" t="str">
        <f t="shared" si="2"/>
        <v/>
      </c>
      <c r="R8" t="str">
        <f t="shared" si="3"/>
        <v>Cannot check dates</v>
      </c>
    </row>
    <row r="9" spans="1:19">
      <c r="A9" s="1" t="s">
        <v>73</v>
      </c>
      <c r="B9" s="1" t="s">
        <v>74</v>
      </c>
      <c r="C9" s="5">
        <v>45866</v>
      </c>
      <c r="D9" s="5">
        <v>45870</v>
      </c>
      <c r="E9" s="1" t="s">
        <v>29</v>
      </c>
      <c r="F9" s="1" t="s">
        <v>77</v>
      </c>
      <c r="G9" s="1">
        <v>32</v>
      </c>
      <c r="H9" s="1" t="s">
        <v>104</v>
      </c>
      <c r="I9" s="1" t="s">
        <v>65</v>
      </c>
      <c r="J9" s="1" t="s">
        <v>32</v>
      </c>
      <c r="K9" s="1">
        <v>6061</v>
      </c>
      <c r="L9" s="1"/>
      <c r="M9" s="1" t="s">
        <v>52</v>
      </c>
      <c r="N9" s="1" t="s">
        <v>33</v>
      </c>
      <c r="O9" t="str">
        <f t="shared" si="0"/>
        <v>OK</v>
      </c>
      <c r="P9" t="str">
        <f t="shared" si="1"/>
        <v>OK</v>
      </c>
      <c r="Q9">
        <f t="shared" si="2"/>
        <v>4</v>
      </c>
      <c r="R9" t="str">
        <f t="shared" si="3"/>
        <v>Missing recorded stay</v>
      </c>
    </row>
    <row r="10" spans="1:19">
      <c r="A10" s="1" t="s">
        <v>78</v>
      </c>
      <c r="B10" s="1" t="s">
        <v>79</v>
      </c>
      <c r="C10" s="5">
        <v>45743</v>
      </c>
      <c r="D10" s="5">
        <v>45759</v>
      </c>
      <c r="E10" s="1" t="s">
        <v>18</v>
      </c>
      <c r="F10" s="1" t="s">
        <v>83</v>
      </c>
      <c r="G10" s="1">
        <v>30</v>
      </c>
      <c r="H10" s="1" t="s">
        <v>84</v>
      </c>
      <c r="I10" s="1" t="s">
        <v>65</v>
      </c>
      <c r="J10" s="1" t="s">
        <v>22</v>
      </c>
      <c r="K10" s="1">
        <v>13262</v>
      </c>
      <c r="L10" s="1">
        <v>16</v>
      </c>
      <c r="M10" s="1" t="s">
        <v>52</v>
      </c>
      <c r="N10" s="1" t="s">
        <v>33</v>
      </c>
      <c r="O10" t="str">
        <f t="shared" si="0"/>
        <v>OK</v>
      </c>
      <c r="P10" t="str">
        <f t="shared" si="1"/>
        <v>OK</v>
      </c>
      <c r="Q10">
        <f t="shared" si="2"/>
        <v>16</v>
      </c>
      <c r="R10" t="str">
        <f t="shared" si="3"/>
        <v>OK</v>
      </c>
    </row>
    <row r="11" spans="1:19">
      <c r="A11" s="1" t="s">
        <v>85</v>
      </c>
      <c r="B11" s="1" t="s">
        <v>86</v>
      </c>
      <c r="C11" s="5">
        <v>45747</v>
      </c>
      <c r="D11" s="5">
        <v>45750</v>
      </c>
      <c r="E11" s="1" t="s">
        <v>120</v>
      </c>
      <c r="F11" s="1" t="s">
        <v>39</v>
      </c>
      <c r="G11" s="1">
        <v>78</v>
      </c>
      <c r="H11" s="1" t="s">
        <v>84</v>
      </c>
      <c r="I11" s="1" t="s">
        <v>65</v>
      </c>
      <c r="J11" s="1" t="s">
        <v>22</v>
      </c>
      <c r="K11" s="1">
        <v>3514</v>
      </c>
      <c r="L11" s="1">
        <v>3</v>
      </c>
      <c r="M11" s="1" t="s">
        <v>33</v>
      </c>
      <c r="N11" s="1" t="s">
        <v>33</v>
      </c>
      <c r="O11" t="str">
        <f t="shared" si="0"/>
        <v>OK</v>
      </c>
      <c r="P11" t="str">
        <f t="shared" si="1"/>
        <v>OK</v>
      </c>
      <c r="Q11">
        <f t="shared" si="2"/>
        <v>3</v>
      </c>
      <c r="R11" t="str">
        <f t="shared" si="3"/>
        <v>OK</v>
      </c>
    </row>
    <row r="12" spans="1:19">
      <c r="A12" s="1" t="s">
        <v>91</v>
      </c>
      <c r="B12" s="1" t="s">
        <v>92</v>
      </c>
      <c r="C12" s="5">
        <v>45920</v>
      </c>
      <c r="D12" s="5">
        <v>45930</v>
      </c>
      <c r="E12" s="1" t="s">
        <v>249</v>
      </c>
      <c r="F12" s="1" t="s">
        <v>96</v>
      </c>
      <c r="G12" s="1">
        <v>8</v>
      </c>
      <c r="H12" s="1" t="s">
        <v>48</v>
      </c>
      <c r="I12" s="1" t="s">
        <v>49</v>
      </c>
      <c r="J12" s="1" t="s">
        <v>22</v>
      </c>
      <c r="K12" s="1">
        <v>9078</v>
      </c>
      <c r="L12" s="1">
        <v>10</v>
      </c>
      <c r="M12" s="1" t="s">
        <v>33</v>
      </c>
      <c r="N12" s="1" t="s">
        <v>52</v>
      </c>
      <c r="O12" t="str">
        <f t="shared" si="0"/>
        <v>OK</v>
      </c>
      <c r="P12" t="str">
        <f t="shared" si="1"/>
        <v>OK</v>
      </c>
      <c r="Q12">
        <f t="shared" si="2"/>
        <v>10</v>
      </c>
      <c r="R12" t="str">
        <f t="shared" si="3"/>
        <v>OK</v>
      </c>
    </row>
    <row r="13" spans="1:19">
      <c r="A13" s="1" t="s">
        <v>98</v>
      </c>
      <c r="B13" s="1" t="s">
        <v>99</v>
      </c>
      <c r="C13" s="5">
        <v>45942</v>
      </c>
      <c r="D13" s="5">
        <v>45962</v>
      </c>
      <c r="E13" s="1" t="s">
        <v>29</v>
      </c>
      <c r="F13" s="1" t="s">
        <v>77</v>
      </c>
      <c r="G13" s="1">
        <v>56</v>
      </c>
      <c r="H13" s="1" t="s">
        <v>104</v>
      </c>
      <c r="I13" s="1" t="s">
        <v>49</v>
      </c>
      <c r="J13" s="1" t="s">
        <v>40</v>
      </c>
      <c r="K13" s="1">
        <v>7799</v>
      </c>
      <c r="L13" s="1">
        <v>20</v>
      </c>
      <c r="M13" s="1" t="s">
        <v>52</v>
      </c>
      <c r="N13" s="1" t="s">
        <v>52</v>
      </c>
      <c r="O13" t="str">
        <f t="shared" si="0"/>
        <v>OK</v>
      </c>
      <c r="P13" t="str">
        <f t="shared" si="1"/>
        <v>OK</v>
      </c>
      <c r="Q13">
        <f t="shared" si="2"/>
        <v>20</v>
      </c>
      <c r="R13" t="str">
        <f t="shared" si="3"/>
        <v>OK</v>
      </c>
    </row>
    <row r="14" spans="1:19">
      <c r="A14" s="1" t="s">
        <v>105</v>
      </c>
      <c r="B14" s="1" t="s">
        <v>106</v>
      </c>
      <c r="C14" s="5"/>
      <c r="D14" s="5">
        <v>45782</v>
      </c>
      <c r="E14" s="1" t="s">
        <v>149</v>
      </c>
      <c r="F14" s="1" t="s">
        <v>109</v>
      </c>
      <c r="G14" s="1">
        <v>34</v>
      </c>
      <c r="H14" s="1" t="s">
        <v>84</v>
      </c>
      <c r="I14" s="1" t="s">
        <v>127</v>
      </c>
      <c r="J14" s="1" t="s">
        <v>22</v>
      </c>
      <c r="K14" s="1">
        <v>6679</v>
      </c>
      <c r="L14" s="1">
        <v>15</v>
      </c>
      <c r="M14" s="1" t="s">
        <v>52</v>
      </c>
      <c r="N14" s="1" t="s">
        <v>33</v>
      </c>
      <c r="O14" t="str">
        <f t="shared" si="0"/>
        <v>Missing date</v>
      </c>
      <c r="P14" t="str">
        <f t="shared" si="1"/>
        <v>OK</v>
      </c>
      <c r="Q14" t="str">
        <f t="shared" si="2"/>
        <v/>
      </c>
      <c r="R14" t="str">
        <f t="shared" si="3"/>
        <v>Cannot check dates</v>
      </c>
    </row>
    <row r="15" spans="1:19">
      <c r="A15" s="1" t="s">
        <v>111</v>
      </c>
      <c r="B15" s="1" t="s">
        <v>112</v>
      </c>
      <c r="C15" s="5"/>
      <c r="D15" s="5">
        <v>45873</v>
      </c>
      <c r="E15" s="1" t="s">
        <v>249</v>
      </c>
      <c r="F15" s="1" t="s">
        <v>96</v>
      </c>
      <c r="G15" s="1">
        <v>13</v>
      </c>
      <c r="H15" s="1" t="s">
        <v>84</v>
      </c>
      <c r="I15" s="1" t="s">
        <v>65</v>
      </c>
      <c r="J15" s="1" t="s">
        <v>40</v>
      </c>
      <c r="K15" s="1"/>
      <c r="L15" s="1">
        <v>6</v>
      </c>
      <c r="M15" s="1" t="s">
        <v>52</v>
      </c>
      <c r="N15" s="1" t="s">
        <v>33</v>
      </c>
      <c r="O15" t="str">
        <f t="shared" si="0"/>
        <v>Missing date</v>
      </c>
      <c r="P15" t="str">
        <f t="shared" si="1"/>
        <v>Missing cost</v>
      </c>
      <c r="Q15" t="str">
        <f t="shared" si="2"/>
        <v/>
      </c>
      <c r="R15" t="str">
        <f t="shared" si="3"/>
        <v>Cannot check dates</v>
      </c>
    </row>
    <row r="16" spans="1:19">
      <c r="A16" s="1" t="s">
        <v>116</v>
      </c>
      <c r="B16" s="1" t="s">
        <v>117</v>
      </c>
      <c r="C16" s="5">
        <v>45661</v>
      </c>
      <c r="D16" s="5">
        <v>45670</v>
      </c>
      <c r="E16" s="1" t="s">
        <v>120</v>
      </c>
      <c r="F16" s="1" t="s">
        <v>39</v>
      </c>
      <c r="G16" s="1">
        <v>49</v>
      </c>
      <c r="H16" s="1" t="s">
        <v>84</v>
      </c>
      <c r="I16" s="1" t="s">
        <v>65</v>
      </c>
      <c r="J16" s="1" t="s">
        <v>22</v>
      </c>
      <c r="K16" s="1">
        <v>9999</v>
      </c>
      <c r="L16" s="1">
        <v>9</v>
      </c>
      <c r="M16" s="1" t="s">
        <v>33</v>
      </c>
      <c r="N16" s="1" t="s">
        <v>33</v>
      </c>
      <c r="O16" t="str">
        <f t="shared" si="0"/>
        <v>OK</v>
      </c>
      <c r="P16" t="str">
        <f t="shared" si="1"/>
        <v>OK</v>
      </c>
      <c r="Q16">
        <f t="shared" si="2"/>
        <v>9</v>
      </c>
      <c r="R16" t="str">
        <f t="shared" si="3"/>
        <v>OK</v>
      </c>
    </row>
    <row r="17" spans="1:18">
      <c r="A17" s="1" t="s">
        <v>121</v>
      </c>
      <c r="B17" s="1" t="s">
        <v>122</v>
      </c>
      <c r="C17" s="5">
        <v>45805</v>
      </c>
      <c r="D17" s="5">
        <v>45822</v>
      </c>
      <c r="E17" s="1" t="s">
        <v>125</v>
      </c>
      <c r="F17" s="1" t="s">
        <v>126</v>
      </c>
      <c r="G17" s="1">
        <v>24</v>
      </c>
      <c r="H17" s="1" t="s">
        <v>104</v>
      </c>
      <c r="I17" s="1" t="s">
        <v>127</v>
      </c>
      <c r="J17" s="1" t="s">
        <v>32</v>
      </c>
      <c r="K17" s="1">
        <v>750000</v>
      </c>
      <c r="L17" s="1">
        <v>17</v>
      </c>
      <c r="M17" s="1" t="s">
        <v>52</v>
      </c>
      <c r="N17" s="1" t="s">
        <v>33</v>
      </c>
      <c r="O17" t="str">
        <f t="shared" si="0"/>
        <v>OK</v>
      </c>
      <c r="P17" t="str">
        <f t="shared" si="1"/>
        <v>Review high cost</v>
      </c>
      <c r="Q17">
        <f t="shared" si="2"/>
        <v>17</v>
      </c>
      <c r="R17" t="str">
        <f t="shared" si="3"/>
        <v>OK</v>
      </c>
    </row>
    <row r="18" spans="1:18">
      <c r="A18" s="1" t="s">
        <v>128</v>
      </c>
      <c r="B18" s="1" t="s">
        <v>129</v>
      </c>
      <c r="C18" s="5">
        <v>45929</v>
      </c>
      <c r="D18" s="5">
        <v>45946</v>
      </c>
      <c r="E18" s="1" t="s">
        <v>18</v>
      </c>
      <c r="F18" s="1" t="s">
        <v>83</v>
      </c>
      <c r="G18" s="1">
        <v>79</v>
      </c>
      <c r="H18" s="1" t="s">
        <v>84</v>
      </c>
      <c r="I18" s="1" t="s">
        <v>127</v>
      </c>
      <c r="J18" s="1" t="s">
        <v>22</v>
      </c>
      <c r="K18" s="1">
        <v>7788</v>
      </c>
      <c r="L18" s="1">
        <v>17</v>
      </c>
      <c r="M18" s="1" t="s">
        <v>52</v>
      </c>
      <c r="N18" s="1" t="s">
        <v>52</v>
      </c>
      <c r="O18" t="str">
        <f t="shared" si="0"/>
        <v>OK</v>
      </c>
      <c r="P18" t="str">
        <f t="shared" si="1"/>
        <v>OK</v>
      </c>
      <c r="Q18">
        <f t="shared" si="2"/>
        <v>17</v>
      </c>
      <c r="R18" t="str">
        <f t="shared" si="3"/>
        <v>OK</v>
      </c>
    </row>
    <row r="19" spans="1:18">
      <c r="A19" s="1" t="s">
        <v>133</v>
      </c>
      <c r="B19" s="1" t="s">
        <v>134</v>
      </c>
      <c r="C19" s="5">
        <v>45698</v>
      </c>
      <c r="D19" s="5">
        <v>45700</v>
      </c>
      <c r="E19" s="1" t="s">
        <v>29</v>
      </c>
      <c r="F19" s="1" t="s">
        <v>77</v>
      </c>
      <c r="G19" s="1">
        <v>76</v>
      </c>
      <c r="H19" s="1" t="s">
        <v>48</v>
      </c>
      <c r="I19" s="1" t="s">
        <v>65</v>
      </c>
      <c r="J19" s="1" t="s">
        <v>22</v>
      </c>
      <c r="K19" s="1">
        <v>12878</v>
      </c>
      <c r="L19" s="1">
        <v>2</v>
      </c>
      <c r="M19" s="1" t="s">
        <v>52</v>
      </c>
      <c r="N19" s="1" t="s">
        <v>33</v>
      </c>
      <c r="O19" t="str">
        <f t="shared" si="0"/>
        <v>OK</v>
      </c>
      <c r="P19" t="str">
        <f t="shared" si="1"/>
        <v>OK</v>
      </c>
      <c r="Q19">
        <f t="shared" si="2"/>
        <v>2</v>
      </c>
      <c r="R19" t="str">
        <f t="shared" si="3"/>
        <v>OK</v>
      </c>
    </row>
    <row r="20" spans="1:18">
      <c r="A20" s="1" t="s">
        <v>138</v>
      </c>
      <c r="B20" s="1" t="s">
        <v>139</v>
      </c>
      <c r="C20" s="5">
        <v>45872</v>
      </c>
      <c r="D20" s="5">
        <v>45885</v>
      </c>
      <c r="E20" s="1" t="s">
        <v>120</v>
      </c>
      <c r="F20" s="1" t="s">
        <v>39</v>
      </c>
      <c r="G20" s="1">
        <v>51</v>
      </c>
      <c r="H20" s="1" t="s">
        <v>104</v>
      </c>
      <c r="I20" s="1" t="s">
        <v>127</v>
      </c>
      <c r="J20" s="1" t="s">
        <v>32</v>
      </c>
      <c r="K20" s="1">
        <v>11956</v>
      </c>
      <c r="L20" s="1">
        <v>13</v>
      </c>
      <c r="M20" s="1" t="s">
        <v>52</v>
      </c>
      <c r="N20" s="1" t="s">
        <v>52</v>
      </c>
      <c r="O20" t="str">
        <f t="shared" si="0"/>
        <v>OK</v>
      </c>
      <c r="P20" t="str">
        <f t="shared" si="1"/>
        <v>OK</v>
      </c>
      <c r="Q20">
        <f t="shared" si="2"/>
        <v>13</v>
      </c>
      <c r="R20" t="str">
        <f t="shared" si="3"/>
        <v>OK</v>
      </c>
    </row>
    <row r="21" spans="1:18">
      <c r="A21" s="1" t="s">
        <v>145</v>
      </c>
      <c r="B21" s="1" t="s">
        <v>146</v>
      </c>
      <c r="C21" s="5">
        <v>45693</v>
      </c>
      <c r="D21" s="5">
        <v>45711</v>
      </c>
      <c r="E21" s="1" t="s">
        <v>149</v>
      </c>
      <c r="F21" s="1" t="s">
        <v>109</v>
      </c>
      <c r="G21" s="1">
        <v>60</v>
      </c>
      <c r="H21" s="1" t="s">
        <v>48</v>
      </c>
      <c r="I21" s="1" t="s">
        <v>65</v>
      </c>
      <c r="J21" s="1" t="s">
        <v>22</v>
      </c>
      <c r="K21" s="1">
        <v>12793</v>
      </c>
      <c r="L21" s="1"/>
      <c r="M21" s="1" t="s">
        <v>33</v>
      </c>
      <c r="N21" s="1" t="s">
        <v>33</v>
      </c>
      <c r="O21" t="str">
        <f t="shared" si="0"/>
        <v>OK</v>
      </c>
      <c r="P21" t="str">
        <f t="shared" si="1"/>
        <v>OK</v>
      </c>
      <c r="Q21">
        <f t="shared" si="2"/>
        <v>18</v>
      </c>
      <c r="R21" t="str">
        <f t="shared" si="3"/>
        <v>Missing recorded stay</v>
      </c>
    </row>
    <row r="22" spans="1:18">
      <c r="A22" s="1" t="s">
        <v>150</v>
      </c>
      <c r="B22" s="1" t="s">
        <v>151</v>
      </c>
      <c r="C22" s="5"/>
      <c r="D22" s="5">
        <v>45742</v>
      </c>
      <c r="E22" s="1" t="s">
        <v>149</v>
      </c>
      <c r="F22" s="1" t="s">
        <v>109</v>
      </c>
      <c r="G22" s="1">
        <v>51</v>
      </c>
      <c r="H22" s="1" t="s">
        <v>84</v>
      </c>
      <c r="I22" s="1" t="s">
        <v>153</v>
      </c>
      <c r="J22" s="1" t="s">
        <v>22</v>
      </c>
      <c r="K22" s="8">
        <v>12139</v>
      </c>
      <c r="L22" s="1">
        <v>7</v>
      </c>
      <c r="M22" s="1" t="s">
        <v>33</v>
      </c>
      <c r="N22" s="1" t="s">
        <v>33</v>
      </c>
      <c r="O22" t="str">
        <f t="shared" si="0"/>
        <v>Missing date</v>
      </c>
      <c r="P22" t="str">
        <f t="shared" si="1"/>
        <v>OK</v>
      </c>
      <c r="Q22" t="str">
        <f t="shared" si="2"/>
        <v/>
      </c>
      <c r="R22" t="str">
        <f t="shared" si="3"/>
        <v>Cannot check dates</v>
      </c>
    </row>
    <row r="23" spans="1:18">
      <c r="A23" s="1" t="s">
        <v>155</v>
      </c>
      <c r="B23" s="1" t="s">
        <v>156</v>
      </c>
      <c r="C23" s="5">
        <v>45858</v>
      </c>
      <c r="D23" s="5">
        <v>45874</v>
      </c>
      <c r="E23" s="1" t="s">
        <v>249</v>
      </c>
      <c r="F23" s="1" t="s">
        <v>96</v>
      </c>
      <c r="G23" s="1">
        <v>1</v>
      </c>
      <c r="H23" s="1" t="s">
        <v>84</v>
      </c>
      <c r="I23" s="1" t="s">
        <v>127</v>
      </c>
      <c r="J23" s="1" t="s">
        <v>22</v>
      </c>
      <c r="K23" s="1">
        <v>4874</v>
      </c>
      <c r="L23" s="1">
        <v>16</v>
      </c>
      <c r="M23" s="1" t="s">
        <v>33</v>
      </c>
      <c r="N23" s="1" t="s">
        <v>52</v>
      </c>
      <c r="O23" t="str">
        <f t="shared" si="0"/>
        <v>OK</v>
      </c>
      <c r="P23" t="str">
        <f t="shared" si="1"/>
        <v>OK</v>
      </c>
      <c r="Q23">
        <f t="shared" si="2"/>
        <v>16</v>
      </c>
      <c r="R23" t="str">
        <f t="shared" si="3"/>
        <v>OK</v>
      </c>
    </row>
    <row r="24" spans="1:18">
      <c r="A24" s="1" t="s">
        <v>160</v>
      </c>
      <c r="B24" s="1" t="s">
        <v>161</v>
      </c>
      <c r="C24" s="5">
        <v>45845</v>
      </c>
      <c r="D24" s="5">
        <v>45854</v>
      </c>
      <c r="E24" s="1" t="s">
        <v>120</v>
      </c>
      <c r="F24" s="1" t="s">
        <v>39</v>
      </c>
      <c r="G24" s="1">
        <v>47</v>
      </c>
      <c r="H24" s="1" t="s">
        <v>104</v>
      </c>
      <c r="I24" s="1" t="s">
        <v>65</v>
      </c>
      <c r="J24" s="1" t="s">
        <v>22</v>
      </c>
      <c r="K24" s="1">
        <v>14275</v>
      </c>
      <c r="L24" s="1">
        <v>9</v>
      </c>
      <c r="M24" s="1" t="s">
        <v>52</v>
      </c>
      <c r="N24" s="1" t="s">
        <v>33</v>
      </c>
      <c r="O24" t="str">
        <f t="shared" si="0"/>
        <v>OK</v>
      </c>
      <c r="P24" t="str">
        <f t="shared" si="1"/>
        <v>OK</v>
      </c>
      <c r="Q24">
        <f t="shared" si="2"/>
        <v>9</v>
      </c>
      <c r="R24" t="str">
        <f t="shared" si="3"/>
        <v>OK</v>
      </c>
    </row>
    <row r="25" spans="1:18">
      <c r="A25" s="1" t="s">
        <v>165</v>
      </c>
      <c r="B25" s="1" t="s">
        <v>166</v>
      </c>
      <c r="C25" s="5">
        <v>45788</v>
      </c>
      <c r="D25" s="5">
        <v>45804</v>
      </c>
      <c r="E25" s="1" t="s">
        <v>120</v>
      </c>
      <c r="F25" s="1" t="s">
        <v>39</v>
      </c>
      <c r="G25" s="1">
        <v>59</v>
      </c>
      <c r="H25" s="1"/>
      <c r="I25" s="1" t="s">
        <v>49</v>
      </c>
      <c r="J25" s="1" t="s">
        <v>40</v>
      </c>
      <c r="K25" s="1">
        <v>2548</v>
      </c>
      <c r="L25" s="1">
        <v>16</v>
      </c>
      <c r="M25" s="1" t="s">
        <v>52</v>
      </c>
      <c r="N25" s="1" t="s">
        <v>33</v>
      </c>
      <c r="O25" t="str">
        <f t="shared" si="0"/>
        <v>OK</v>
      </c>
      <c r="P25" t="str">
        <f t="shared" si="1"/>
        <v>OK</v>
      </c>
      <c r="Q25">
        <f t="shared" si="2"/>
        <v>16</v>
      </c>
      <c r="R25" t="str">
        <f t="shared" si="3"/>
        <v>OK</v>
      </c>
    </row>
    <row r="26" spans="1:18">
      <c r="A26" s="1" t="s">
        <v>171</v>
      </c>
      <c r="B26" s="1" t="s">
        <v>172</v>
      </c>
      <c r="C26" s="5">
        <v>45811</v>
      </c>
      <c r="D26" s="5">
        <v>45828</v>
      </c>
      <c r="E26" s="1" t="s">
        <v>249</v>
      </c>
      <c r="F26" s="1" t="s">
        <v>96</v>
      </c>
      <c r="G26" s="1">
        <v>5</v>
      </c>
      <c r="H26" s="1" t="s">
        <v>104</v>
      </c>
      <c r="I26" s="1" t="s">
        <v>153</v>
      </c>
      <c r="J26" s="1" t="s">
        <v>32</v>
      </c>
      <c r="K26" s="1">
        <v>10008</v>
      </c>
      <c r="L26" s="1">
        <v>17</v>
      </c>
      <c r="M26" s="1" t="s">
        <v>33</v>
      </c>
      <c r="N26" s="1" t="s">
        <v>52</v>
      </c>
      <c r="O26" t="str">
        <f t="shared" si="0"/>
        <v>OK</v>
      </c>
      <c r="P26" t="str">
        <f t="shared" si="1"/>
        <v>OK</v>
      </c>
      <c r="Q26">
        <f t="shared" si="2"/>
        <v>17</v>
      </c>
      <c r="R26" t="str">
        <f t="shared" si="3"/>
        <v>OK</v>
      </c>
    </row>
    <row r="27" spans="1:18">
      <c r="A27" s="1" t="s">
        <v>176</v>
      </c>
      <c r="B27" s="1" t="s">
        <v>177</v>
      </c>
      <c r="C27" s="5">
        <v>45934</v>
      </c>
      <c r="D27" s="5"/>
      <c r="E27" s="1" t="s">
        <v>125</v>
      </c>
      <c r="F27" s="1" t="s">
        <v>126</v>
      </c>
      <c r="G27" s="1">
        <v>59</v>
      </c>
      <c r="H27" s="1" t="s">
        <v>84</v>
      </c>
      <c r="I27" s="1" t="s">
        <v>153</v>
      </c>
      <c r="J27" s="1" t="s">
        <v>22</v>
      </c>
      <c r="K27" s="1">
        <v>608</v>
      </c>
      <c r="L27" s="1">
        <v>6</v>
      </c>
      <c r="M27" s="1" t="s">
        <v>52</v>
      </c>
      <c r="N27" s="1" t="s">
        <v>33</v>
      </c>
      <c r="O27" t="str">
        <f t="shared" si="0"/>
        <v>Missing date</v>
      </c>
      <c r="P27" t="str">
        <f t="shared" si="1"/>
        <v>OK</v>
      </c>
      <c r="Q27" t="str">
        <f t="shared" si="2"/>
        <v/>
      </c>
      <c r="R27" t="str">
        <f t="shared" si="3"/>
        <v>Cannot check dates</v>
      </c>
    </row>
    <row r="28" spans="1:18">
      <c r="A28" s="1" t="s">
        <v>179</v>
      </c>
      <c r="B28" s="1" t="s">
        <v>180</v>
      </c>
      <c r="C28" s="5">
        <v>45845</v>
      </c>
      <c r="D28" s="5"/>
      <c r="E28" s="1" t="s">
        <v>125</v>
      </c>
      <c r="F28" s="1" t="s">
        <v>126</v>
      </c>
      <c r="G28" s="1">
        <v>32</v>
      </c>
      <c r="H28" s="1" t="s">
        <v>48</v>
      </c>
      <c r="I28" s="1" t="s">
        <v>127</v>
      </c>
      <c r="J28" s="1" t="s">
        <v>32</v>
      </c>
      <c r="K28" s="1">
        <v>11202</v>
      </c>
      <c r="L28" s="1">
        <v>14</v>
      </c>
      <c r="M28" s="1" t="s">
        <v>33</v>
      </c>
      <c r="N28" s="1" t="s">
        <v>52</v>
      </c>
      <c r="O28" t="str">
        <f t="shared" si="0"/>
        <v>Missing date</v>
      </c>
      <c r="P28" t="str">
        <f t="shared" si="1"/>
        <v>OK</v>
      </c>
      <c r="Q28" t="str">
        <f t="shared" si="2"/>
        <v/>
      </c>
      <c r="R28" t="str">
        <f t="shared" si="3"/>
        <v>Cannot check dates</v>
      </c>
    </row>
    <row r="29" spans="1:18">
      <c r="A29" s="1" t="s">
        <v>187</v>
      </c>
      <c r="B29" s="1" t="s">
        <v>188</v>
      </c>
      <c r="C29" s="5">
        <v>45860</v>
      </c>
      <c r="D29" s="5">
        <v>45874</v>
      </c>
      <c r="E29" s="1" t="s">
        <v>125</v>
      </c>
      <c r="F29" s="1" t="s">
        <v>126</v>
      </c>
      <c r="G29" s="1"/>
      <c r="H29" s="1" t="s">
        <v>104</v>
      </c>
      <c r="I29" s="1" t="s">
        <v>65</v>
      </c>
      <c r="J29" s="1" t="s">
        <v>22</v>
      </c>
      <c r="K29" s="1">
        <v>6937</v>
      </c>
      <c r="L29" s="1">
        <v>14</v>
      </c>
      <c r="M29" s="1" t="s">
        <v>33</v>
      </c>
      <c r="N29" s="1" t="s">
        <v>52</v>
      </c>
      <c r="O29" t="str">
        <f t="shared" si="0"/>
        <v>OK</v>
      </c>
      <c r="P29" t="str">
        <f t="shared" si="1"/>
        <v>OK</v>
      </c>
      <c r="Q29">
        <f t="shared" si="2"/>
        <v>14</v>
      </c>
      <c r="R29" t="str">
        <f t="shared" si="3"/>
        <v>OK</v>
      </c>
    </row>
    <row r="30" spans="1:18">
      <c r="A30" s="1" t="s">
        <v>190</v>
      </c>
      <c r="B30" s="1" t="s">
        <v>191</v>
      </c>
      <c r="C30" s="5">
        <v>45964</v>
      </c>
      <c r="D30" s="5">
        <v>45966</v>
      </c>
      <c r="E30" s="1" t="s">
        <v>18</v>
      </c>
      <c r="F30" s="1" t="s">
        <v>83</v>
      </c>
      <c r="G30" s="1">
        <v>41</v>
      </c>
      <c r="H30" s="1" t="s">
        <v>84</v>
      </c>
      <c r="I30" s="1" t="s">
        <v>127</v>
      </c>
      <c r="J30" s="1" t="s">
        <v>22</v>
      </c>
      <c r="K30" s="1">
        <v>-250</v>
      </c>
      <c r="L30" s="1">
        <v>2</v>
      </c>
      <c r="M30" s="1" t="s">
        <v>52</v>
      </c>
      <c r="N30" s="1" t="s">
        <v>33</v>
      </c>
      <c r="O30" t="str">
        <f t="shared" si="0"/>
        <v>OK</v>
      </c>
      <c r="P30" t="str">
        <f t="shared" si="1"/>
        <v>Negative cost</v>
      </c>
      <c r="Q30">
        <f t="shared" si="2"/>
        <v>2</v>
      </c>
      <c r="R30" t="str">
        <f t="shared" si="3"/>
        <v>OK</v>
      </c>
    </row>
    <row r="31" spans="1:18">
      <c r="A31" s="1" t="s">
        <v>195</v>
      </c>
      <c r="B31" s="1" t="s">
        <v>196</v>
      </c>
      <c r="C31" s="5"/>
      <c r="D31" s="5">
        <v>45859</v>
      </c>
      <c r="E31" s="1" t="s">
        <v>149</v>
      </c>
      <c r="F31" s="1" t="s">
        <v>109</v>
      </c>
      <c r="G31" s="1">
        <v>21</v>
      </c>
      <c r="H31" s="1" t="s">
        <v>48</v>
      </c>
      <c r="I31" s="1" t="s">
        <v>65</v>
      </c>
      <c r="J31" s="1" t="s">
        <v>22</v>
      </c>
      <c r="K31" s="1">
        <v>9200</v>
      </c>
      <c r="L31" s="1">
        <v>1</v>
      </c>
      <c r="M31" s="1" t="s">
        <v>52</v>
      </c>
      <c r="N31" s="1" t="s">
        <v>52</v>
      </c>
      <c r="O31" t="str">
        <f t="shared" si="0"/>
        <v>Missing date</v>
      </c>
      <c r="P31" t="str">
        <f t="shared" si="1"/>
        <v>OK</v>
      </c>
      <c r="Q31" t="str">
        <f t="shared" si="2"/>
        <v/>
      </c>
      <c r="R31" t="str">
        <f t="shared" si="3"/>
        <v>Cannot check dates</v>
      </c>
    </row>
    <row r="32" spans="1:18">
      <c r="A32" s="1" t="s">
        <v>200</v>
      </c>
      <c r="B32" s="1" t="s">
        <v>201</v>
      </c>
      <c r="C32" s="5">
        <v>45963</v>
      </c>
      <c r="D32" s="5">
        <v>45973</v>
      </c>
      <c r="E32" s="1" t="s">
        <v>125</v>
      </c>
      <c r="F32" s="1" t="s">
        <v>126</v>
      </c>
      <c r="G32" s="1">
        <v>65</v>
      </c>
      <c r="H32" s="1" t="s">
        <v>84</v>
      </c>
      <c r="I32" s="1" t="s">
        <v>65</v>
      </c>
      <c r="J32" s="1" t="s">
        <v>40</v>
      </c>
      <c r="K32" s="1">
        <v>10550</v>
      </c>
      <c r="L32" s="1">
        <v>10</v>
      </c>
      <c r="M32" s="1" t="s">
        <v>52</v>
      </c>
      <c r="N32" s="1" t="s">
        <v>52</v>
      </c>
      <c r="O32" t="str">
        <f t="shared" si="0"/>
        <v>OK</v>
      </c>
      <c r="P32" t="str">
        <f t="shared" si="1"/>
        <v>OK</v>
      </c>
      <c r="Q32">
        <f t="shared" si="2"/>
        <v>10</v>
      </c>
      <c r="R32" t="str">
        <f t="shared" si="3"/>
        <v>OK</v>
      </c>
    </row>
    <row r="33" spans="1:18">
      <c r="A33" s="1" t="s">
        <v>205</v>
      </c>
      <c r="B33" s="1" t="s">
        <v>206</v>
      </c>
      <c r="C33" s="5">
        <v>45996</v>
      </c>
      <c r="D33" s="5">
        <v>46014</v>
      </c>
      <c r="E33" s="1" t="s">
        <v>249</v>
      </c>
      <c r="F33" s="1" t="s">
        <v>96</v>
      </c>
      <c r="G33" s="1">
        <v>15</v>
      </c>
      <c r="H33" s="1" t="s">
        <v>48</v>
      </c>
      <c r="I33" s="1" t="s">
        <v>49</v>
      </c>
      <c r="J33" s="1" t="s">
        <v>40</v>
      </c>
      <c r="K33" s="1">
        <v>2056</v>
      </c>
      <c r="L33" s="1">
        <v>18</v>
      </c>
      <c r="M33" s="1" t="s">
        <v>52</v>
      </c>
      <c r="N33" s="1" t="s">
        <v>52</v>
      </c>
      <c r="O33" t="str">
        <f t="shared" si="0"/>
        <v>OK</v>
      </c>
      <c r="P33" t="str">
        <f t="shared" si="1"/>
        <v>OK</v>
      </c>
      <c r="Q33">
        <f t="shared" si="2"/>
        <v>18</v>
      </c>
      <c r="R33" t="str">
        <f t="shared" si="3"/>
        <v>OK</v>
      </c>
    </row>
    <row r="34" spans="1:18">
      <c r="A34" s="1" t="s">
        <v>211</v>
      </c>
      <c r="B34" s="1" t="s">
        <v>212</v>
      </c>
      <c r="C34" s="5">
        <v>45926</v>
      </c>
      <c r="D34" s="5">
        <v>45945</v>
      </c>
      <c r="E34" s="1" t="s">
        <v>149</v>
      </c>
      <c r="F34" s="1" t="s">
        <v>109</v>
      </c>
      <c r="G34" s="1">
        <v>69</v>
      </c>
      <c r="H34" s="1" t="s">
        <v>84</v>
      </c>
      <c r="I34" s="1" t="s">
        <v>153</v>
      </c>
      <c r="J34" s="1" t="s">
        <v>22</v>
      </c>
      <c r="K34" s="8">
        <v>11257</v>
      </c>
      <c r="L34" s="1"/>
      <c r="M34" s="1" t="s">
        <v>33</v>
      </c>
      <c r="N34" s="1" t="s">
        <v>52</v>
      </c>
      <c r="O34" t="str">
        <f t="shared" si="0"/>
        <v>OK</v>
      </c>
      <c r="P34" t="str">
        <f t="shared" si="1"/>
        <v>OK</v>
      </c>
      <c r="Q34">
        <f t="shared" si="2"/>
        <v>19</v>
      </c>
      <c r="R34" t="str">
        <f t="shared" si="3"/>
        <v>Missing recorded stay</v>
      </c>
    </row>
    <row r="35" spans="1:18">
      <c r="A35" s="1" t="s">
        <v>216</v>
      </c>
      <c r="B35" s="1" t="s">
        <v>217</v>
      </c>
      <c r="C35" s="5"/>
      <c r="D35" s="5">
        <v>45778</v>
      </c>
      <c r="E35" s="1" t="s">
        <v>120</v>
      </c>
      <c r="F35" s="1" t="s">
        <v>39</v>
      </c>
      <c r="G35" s="1">
        <v>87</v>
      </c>
      <c r="H35" s="1" t="s">
        <v>104</v>
      </c>
      <c r="I35" s="1" t="s">
        <v>49</v>
      </c>
      <c r="J35" s="1" t="s">
        <v>32</v>
      </c>
      <c r="K35" s="1">
        <v>4727</v>
      </c>
      <c r="L35" s="1">
        <v>13</v>
      </c>
      <c r="M35" s="1" t="s">
        <v>52</v>
      </c>
      <c r="N35" s="1" t="s">
        <v>33</v>
      </c>
      <c r="O35" t="str">
        <f t="shared" si="0"/>
        <v>Missing date</v>
      </c>
      <c r="P35" t="str">
        <f t="shared" si="1"/>
        <v>OK</v>
      </c>
      <c r="Q35" t="str">
        <f t="shared" si="2"/>
        <v/>
      </c>
      <c r="R35" t="str">
        <f t="shared" si="3"/>
        <v>Cannot check dates</v>
      </c>
    </row>
    <row r="36" spans="1:18">
      <c r="A36" s="1" t="s">
        <v>219</v>
      </c>
      <c r="B36" s="1" t="s">
        <v>220</v>
      </c>
      <c r="C36" s="5">
        <v>45688</v>
      </c>
      <c r="D36" s="5">
        <v>45698</v>
      </c>
      <c r="E36" s="1" t="s">
        <v>18</v>
      </c>
      <c r="F36" s="1" t="s">
        <v>83</v>
      </c>
      <c r="G36" s="1">
        <v>67</v>
      </c>
      <c r="H36" s="1" t="s">
        <v>84</v>
      </c>
      <c r="I36" s="1" t="s">
        <v>127</v>
      </c>
      <c r="J36" s="1" t="s">
        <v>40</v>
      </c>
      <c r="K36" s="1">
        <v>12873</v>
      </c>
      <c r="L36" s="1">
        <v>10</v>
      </c>
      <c r="M36" s="1" t="s">
        <v>52</v>
      </c>
      <c r="N36" s="1" t="s">
        <v>52</v>
      </c>
      <c r="O36" t="str">
        <f t="shared" si="0"/>
        <v>OK</v>
      </c>
      <c r="P36" t="str">
        <f t="shared" si="1"/>
        <v>OK</v>
      </c>
      <c r="Q36">
        <f t="shared" si="2"/>
        <v>10</v>
      </c>
      <c r="R36" t="str">
        <f t="shared" si="3"/>
        <v>OK</v>
      </c>
    </row>
    <row r="37" spans="1:18">
      <c r="A37" s="1" t="s">
        <v>222</v>
      </c>
      <c r="B37" s="1" t="s">
        <v>223</v>
      </c>
      <c r="C37" s="5">
        <v>45753</v>
      </c>
      <c r="D37" s="5">
        <v>45759</v>
      </c>
      <c r="E37" s="1" t="s">
        <v>120</v>
      </c>
      <c r="F37" s="1" t="s">
        <v>39</v>
      </c>
      <c r="G37" s="1">
        <v>36</v>
      </c>
      <c r="H37" s="1" t="s">
        <v>84</v>
      </c>
      <c r="I37" s="1" t="s">
        <v>65</v>
      </c>
      <c r="J37" s="1" t="s">
        <v>40</v>
      </c>
      <c r="K37" s="1">
        <v>-250</v>
      </c>
      <c r="L37" s="1">
        <v>6</v>
      </c>
      <c r="M37" s="1" t="s">
        <v>33</v>
      </c>
      <c r="N37" s="1" t="s">
        <v>52</v>
      </c>
      <c r="O37" t="str">
        <f t="shared" si="0"/>
        <v>OK</v>
      </c>
      <c r="P37" t="str">
        <f t="shared" si="1"/>
        <v>Negative cost</v>
      </c>
      <c r="Q37">
        <f t="shared" si="2"/>
        <v>6</v>
      </c>
      <c r="R37" t="str">
        <f t="shared" si="3"/>
        <v>OK</v>
      </c>
    </row>
    <row r="38" spans="1:18">
      <c r="A38" s="1" t="s">
        <v>225</v>
      </c>
      <c r="B38" s="1" t="s">
        <v>226</v>
      </c>
      <c r="C38" s="5">
        <v>45940</v>
      </c>
      <c r="D38" s="5">
        <v>45953</v>
      </c>
      <c r="E38" s="1" t="s">
        <v>120</v>
      </c>
      <c r="F38" s="1" t="s">
        <v>39</v>
      </c>
      <c r="G38" s="1">
        <v>60</v>
      </c>
      <c r="H38" s="1" t="s">
        <v>104</v>
      </c>
      <c r="I38" s="1" t="s">
        <v>65</v>
      </c>
      <c r="J38" s="1" t="s">
        <v>32</v>
      </c>
      <c r="K38" s="1">
        <v>856</v>
      </c>
      <c r="L38" s="1">
        <v>13</v>
      </c>
      <c r="M38" s="1" t="s">
        <v>33</v>
      </c>
      <c r="N38" s="1" t="s">
        <v>52</v>
      </c>
      <c r="O38" t="str">
        <f t="shared" si="0"/>
        <v>OK</v>
      </c>
      <c r="P38" t="str">
        <f t="shared" si="1"/>
        <v>OK</v>
      </c>
      <c r="Q38">
        <f t="shared" si="2"/>
        <v>13</v>
      </c>
      <c r="R38" t="str">
        <f t="shared" si="3"/>
        <v>OK</v>
      </c>
    </row>
    <row r="39" spans="1:18">
      <c r="A39" s="1" t="s">
        <v>231</v>
      </c>
      <c r="B39" s="1" t="s">
        <v>232</v>
      </c>
      <c r="C39" s="5">
        <v>45895</v>
      </c>
      <c r="D39" s="5">
        <v>45904</v>
      </c>
      <c r="E39" s="1"/>
      <c r="F39" s="1" t="s">
        <v>126</v>
      </c>
      <c r="G39" s="1">
        <v>34</v>
      </c>
      <c r="H39" s="1" t="s">
        <v>104</v>
      </c>
      <c r="I39" s="1" t="s">
        <v>153</v>
      </c>
      <c r="J39" s="1" t="s">
        <v>40</v>
      </c>
      <c r="K39" s="1">
        <v>11831</v>
      </c>
      <c r="L39" s="1">
        <v>9</v>
      </c>
      <c r="M39" s="1" t="s">
        <v>52</v>
      </c>
      <c r="N39" s="1" t="s">
        <v>33</v>
      </c>
      <c r="O39" t="str">
        <f t="shared" si="0"/>
        <v>OK</v>
      </c>
      <c r="P39" t="str">
        <f t="shared" si="1"/>
        <v>OK</v>
      </c>
      <c r="Q39">
        <f t="shared" si="2"/>
        <v>9</v>
      </c>
      <c r="R39" t="str">
        <f t="shared" si="3"/>
        <v>OK</v>
      </c>
    </row>
    <row r="40" spans="1:18">
      <c r="A40" s="1" t="s">
        <v>237</v>
      </c>
      <c r="B40" s="1" t="s">
        <v>238</v>
      </c>
      <c r="C40" s="5">
        <v>45942</v>
      </c>
      <c r="D40" s="5">
        <v>45960</v>
      </c>
      <c r="E40" s="1" t="s">
        <v>125</v>
      </c>
      <c r="F40" s="1" t="s">
        <v>126</v>
      </c>
      <c r="G40" s="1">
        <v>61</v>
      </c>
      <c r="H40" s="1"/>
      <c r="I40" s="1" t="s">
        <v>127</v>
      </c>
      <c r="J40" s="1" t="s">
        <v>22</v>
      </c>
      <c r="K40" s="1">
        <v>7529</v>
      </c>
      <c r="L40" s="1">
        <v>18</v>
      </c>
      <c r="M40" s="1" t="s">
        <v>52</v>
      </c>
      <c r="N40" s="1" t="s">
        <v>52</v>
      </c>
      <c r="O40" t="str">
        <f t="shared" si="0"/>
        <v>OK</v>
      </c>
      <c r="P40" t="str">
        <f t="shared" si="1"/>
        <v>OK</v>
      </c>
      <c r="Q40">
        <f t="shared" si="2"/>
        <v>18</v>
      </c>
      <c r="R40" t="str">
        <f t="shared" si="3"/>
        <v>OK</v>
      </c>
    </row>
    <row r="41" spans="1:18">
      <c r="A41" s="1" t="s">
        <v>242</v>
      </c>
      <c r="B41" s="1" t="s">
        <v>243</v>
      </c>
      <c r="C41" s="5">
        <v>45775</v>
      </c>
      <c r="D41" s="5">
        <v>45784</v>
      </c>
      <c r="E41" s="1" t="s">
        <v>29</v>
      </c>
      <c r="F41" s="1" t="s">
        <v>77</v>
      </c>
      <c r="G41" s="1">
        <v>87</v>
      </c>
      <c r="H41" s="1" t="s">
        <v>104</v>
      </c>
      <c r="I41" s="1" t="s">
        <v>49</v>
      </c>
      <c r="J41" s="1" t="s">
        <v>40</v>
      </c>
      <c r="K41" s="1">
        <v>6421</v>
      </c>
      <c r="L41" s="1">
        <v>90</v>
      </c>
      <c r="M41" s="1" t="s">
        <v>1704</v>
      </c>
      <c r="N41" s="1" t="s">
        <v>33</v>
      </c>
      <c r="O41" t="str">
        <f t="shared" si="0"/>
        <v>OK</v>
      </c>
      <c r="P41" t="str">
        <f t="shared" si="1"/>
        <v>OK</v>
      </c>
      <c r="Q41">
        <f t="shared" si="2"/>
        <v>9</v>
      </c>
      <c r="R41" t="str">
        <f t="shared" si="3"/>
        <v>Mismatch</v>
      </c>
    </row>
    <row r="42" spans="1:18">
      <c r="A42" s="1" t="s">
        <v>246</v>
      </c>
      <c r="B42" s="1" t="s">
        <v>247</v>
      </c>
      <c r="C42" s="5"/>
      <c r="D42" s="5">
        <v>45971</v>
      </c>
      <c r="E42" s="1" t="s">
        <v>249</v>
      </c>
      <c r="F42" s="1" t="s">
        <v>96</v>
      </c>
      <c r="G42" s="1">
        <v>12</v>
      </c>
      <c r="H42" s="1" t="s">
        <v>104</v>
      </c>
      <c r="I42" s="1" t="s">
        <v>153</v>
      </c>
      <c r="J42" s="1" t="s">
        <v>32</v>
      </c>
      <c r="K42" s="1">
        <v>8538</v>
      </c>
      <c r="L42" s="1">
        <v>20</v>
      </c>
      <c r="M42" s="1" t="s">
        <v>1704</v>
      </c>
      <c r="N42" s="1" t="s">
        <v>33</v>
      </c>
      <c r="O42" t="str">
        <f t="shared" si="0"/>
        <v>Missing date</v>
      </c>
      <c r="P42" t="str">
        <f t="shared" si="1"/>
        <v>OK</v>
      </c>
      <c r="Q42" t="str">
        <f t="shared" si="2"/>
        <v/>
      </c>
      <c r="R42" t="str">
        <f t="shared" si="3"/>
        <v>Cannot check dates</v>
      </c>
    </row>
    <row r="43" spans="1:18">
      <c r="A43" s="1" t="s">
        <v>250</v>
      </c>
      <c r="B43" s="1" t="s">
        <v>191</v>
      </c>
      <c r="C43" s="5">
        <v>45950</v>
      </c>
      <c r="D43" s="5">
        <v>45954</v>
      </c>
      <c r="E43" s="1" t="s">
        <v>149</v>
      </c>
      <c r="F43" s="1" t="s">
        <v>109</v>
      </c>
      <c r="G43" s="1">
        <v>36</v>
      </c>
      <c r="H43" s="1" t="s">
        <v>84</v>
      </c>
      <c r="I43" s="1" t="s">
        <v>153</v>
      </c>
      <c r="J43" s="1" t="s">
        <v>40</v>
      </c>
      <c r="K43" s="1">
        <v>5199</v>
      </c>
      <c r="L43" s="1">
        <v>4</v>
      </c>
      <c r="M43" s="1" t="s">
        <v>1704</v>
      </c>
      <c r="N43" s="1" t="s">
        <v>33</v>
      </c>
      <c r="O43" t="str">
        <f t="shared" si="0"/>
        <v>OK</v>
      </c>
      <c r="P43" t="str">
        <f t="shared" si="1"/>
        <v>OK</v>
      </c>
      <c r="Q43">
        <f t="shared" si="2"/>
        <v>4</v>
      </c>
      <c r="R43" t="str">
        <f t="shared" si="3"/>
        <v>OK</v>
      </c>
    </row>
    <row r="44" spans="1:18">
      <c r="A44" s="1" t="s">
        <v>253</v>
      </c>
      <c r="B44" s="1" t="s">
        <v>254</v>
      </c>
      <c r="C44" s="5">
        <v>45802</v>
      </c>
      <c r="D44" s="5">
        <v>45814</v>
      </c>
      <c r="E44" s="1" t="s">
        <v>249</v>
      </c>
      <c r="F44" s="1" t="s">
        <v>96</v>
      </c>
      <c r="G44" s="1">
        <v>1</v>
      </c>
      <c r="H44" s="1" t="s">
        <v>104</v>
      </c>
      <c r="I44" s="1" t="s">
        <v>127</v>
      </c>
      <c r="J44" s="1" t="s">
        <v>22</v>
      </c>
      <c r="K44" s="1">
        <v>6909</v>
      </c>
      <c r="L44" s="1">
        <v>12</v>
      </c>
      <c r="M44" s="1" t="s">
        <v>1703</v>
      </c>
      <c r="N44" s="1" t="s">
        <v>33</v>
      </c>
      <c r="O44" t="str">
        <f t="shared" si="0"/>
        <v>OK</v>
      </c>
      <c r="P44" t="str">
        <f t="shared" si="1"/>
        <v>OK</v>
      </c>
      <c r="Q44">
        <f t="shared" si="2"/>
        <v>12</v>
      </c>
      <c r="R44" t="str">
        <f t="shared" si="3"/>
        <v>OK</v>
      </c>
    </row>
    <row r="45" spans="1:18">
      <c r="A45" s="1" t="s">
        <v>257</v>
      </c>
      <c r="B45" s="1" t="s">
        <v>258</v>
      </c>
      <c r="C45" s="5">
        <v>45903</v>
      </c>
      <c r="D45" s="5">
        <v>45922</v>
      </c>
      <c r="E45" s="1" t="s">
        <v>120</v>
      </c>
      <c r="F45" s="1" t="s">
        <v>39</v>
      </c>
      <c r="G45" s="1">
        <v>41</v>
      </c>
      <c r="H45" s="1"/>
      <c r="I45" s="1" t="s">
        <v>65</v>
      </c>
      <c r="J45" s="1" t="s">
        <v>40</v>
      </c>
      <c r="K45" s="8">
        <v>14398</v>
      </c>
      <c r="L45" s="1">
        <v>19</v>
      </c>
      <c r="M45" s="1" t="s">
        <v>33</v>
      </c>
      <c r="N45" s="1" t="s">
        <v>33</v>
      </c>
      <c r="O45" t="str">
        <f t="shared" si="0"/>
        <v>OK</v>
      </c>
      <c r="P45" t="str">
        <f t="shared" si="1"/>
        <v>OK</v>
      </c>
      <c r="Q45">
        <f t="shared" si="2"/>
        <v>19</v>
      </c>
      <c r="R45" t="str">
        <f t="shared" si="3"/>
        <v>OK</v>
      </c>
    </row>
    <row r="46" spans="1:18">
      <c r="A46" s="1" t="s">
        <v>262</v>
      </c>
      <c r="B46" s="1" t="s">
        <v>254</v>
      </c>
      <c r="C46" s="5">
        <v>45975</v>
      </c>
      <c r="D46" s="5">
        <v>45993</v>
      </c>
      <c r="E46" s="1" t="s">
        <v>149</v>
      </c>
      <c r="F46" s="1" t="s">
        <v>109</v>
      </c>
      <c r="G46" s="1">
        <v>54</v>
      </c>
      <c r="H46" s="1" t="s">
        <v>84</v>
      </c>
      <c r="I46" s="1" t="s">
        <v>127</v>
      </c>
      <c r="J46" s="1" t="s">
        <v>32</v>
      </c>
      <c r="K46" s="1">
        <v>13154</v>
      </c>
      <c r="L46" s="1">
        <v>18</v>
      </c>
      <c r="M46" s="1" t="s">
        <v>52</v>
      </c>
      <c r="N46" s="1" t="s">
        <v>52</v>
      </c>
      <c r="O46" t="str">
        <f t="shared" si="0"/>
        <v>OK</v>
      </c>
      <c r="P46" t="str">
        <f t="shared" si="1"/>
        <v>OK</v>
      </c>
      <c r="Q46">
        <f t="shared" si="2"/>
        <v>18</v>
      </c>
      <c r="R46" t="str">
        <f t="shared" si="3"/>
        <v>OK</v>
      </c>
    </row>
    <row r="47" spans="1:18">
      <c r="A47" s="1" t="s">
        <v>265</v>
      </c>
      <c r="B47" s="1" t="s">
        <v>266</v>
      </c>
      <c r="C47" s="5">
        <v>45666</v>
      </c>
      <c r="D47" s="5">
        <v>45683</v>
      </c>
      <c r="E47" s="1" t="s">
        <v>29</v>
      </c>
      <c r="F47" s="1" t="s">
        <v>77</v>
      </c>
      <c r="G47" s="1">
        <v>52</v>
      </c>
      <c r="H47" s="1" t="s">
        <v>48</v>
      </c>
      <c r="I47" s="1" t="s">
        <v>49</v>
      </c>
      <c r="J47" s="1" t="s">
        <v>32</v>
      </c>
      <c r="K47" s="1"/>
      <c r="L47" s="1">
        <v>17</v>
      </c>
      <c r="M47" s="1" t="s">
        <v>52</v>
      </c>
      <c r="N47" s="1" t="s">
        <v>52</v>
      </c>
      <c r="O47" t="str">
        <f t="shared" si="0"/>
        <v>OK</v>
      </c>
      <c r="P47" t="str">
        <f t="shared" si="1"/>
        <v>Missing cost</v>
      </c>
      <c r="Q47">
        <f t="shared" si="2"/>
        <v>17</v>
      </c>
      <c r="R47" t="str">
        <f t="shared" si="3"/>
        <v>OK</v>
      </c>
    </row>
    <row r="48" spans="1:18">
      <c r="A48" s="1" t="s">
        <v>271</v>
      </c>
      <c r="B48" s="1" t="s">
        <v>272</v>
      </c>
      <c r="C48" s="5"/>
      <c r="D48" s="5">
        <v>45905</v>
      </c>
      <c r="E48" s="1" t="s">
        <v>249</v>
      </c>
      <c r="F48" s="1" t="s">
        <v>96</v>
      </c>
      <c r="G48" s="1">
        <v>15</v>
      </c>
      <c r="H48" s="1" t="s">
        <v>104</v>
      </c>
      <c r="I48" s="1" t="s">
        <v>153</v>
      </c>
      <c r="J48" s="1" t="s">
        <v>32</v>
      </c>
      <c r="K48" s="1">
        <v>6395</v>
      </c>
      <c r="L48" s="1">
        <v>9</v>
      </c>
      <c r="M48" s="1" t="s">
        <v>33</v>
      </c>
      <c r="N48" s="1" t="s">
        <v>52</v>
      </c>
      <c r="O48" t="str">
        <f t="shared" si="0"/>
        <v>Missing date</v>
      </c>
      <c r="P48" t="str">
        <f t="shared" si="1"/>
        <v>OK</v>
      </c>
      <c r="Q48" t="str">
        <f t="shared" si="2"/>
        <v/>
      </c>
      <c r="R48" t="str">
        <f t="shared" si="3"/>
        <v>Cannot check dates</v>
      </c>
    </row>
    <row r="49" spans="1:18">
      <c r="A49" s="1" t="s">
        <v>274</v>
      </c>
      <c r="B49" s="1" t="s">
        <v>275</v>
      </c>
      <c r="C49" s="5">
        <v>45821</v>
      </c>
      <c r="D49" s="5">
        <v>45839</v>
      </c>
      <c r="E49" s="1" t="s">
        <v>18</v>
      </c>
      <c r="F49" s="1" t="s">
        <v>83</v>
      </c>
      <c r="G49" s="1">
        <v>38</v>
      </c>
      <c r="H49" s="1" t="s">
        <v>104</v>
      </c>
      <c r="I49" s="1" t="s">
        <v>65</v>
      </c>
      <c r="J49" s="1" t="s">
        <v>40</v>
      </c>
      <c r="K49" s="1">
        <v>10025</v>
      </c>
      <c r="L49" s="1">
        <v>18</v>
      </c>
      <c r="M49" s="1" t="s">
        <v>33</v>
      </c>
      <c r="N49" s="1" t="s">
        <v>33</v>
      </c>
      <c r="O49" t="str">
        <f t="shared" si="0"/>
        <v>OK</v>
      </c>
      <c r="P49" t="str">
        <f t="shared" si="1"/>
        <v>OK</v>
      </c>
      <c r="Q49">
        <f t="shared" si="2"/>
        <v>18</v>
      </c>
      <c r="R49" t="str">
        <f t="shared" si="3"/>
        <v>OK</v>
      </c>
    </row>
    <row r="50" spans="1:18">
      <c r="A50" s="1" t="s">
        <v>278</v>
      </c>
      <c r="B50" s="1" t="s">
        <v>279</v>
      </c>
      <c r="C50" s="5">
        <v>45877</v>
      </c>
      <c r="D50" s="5">
        <v>45896</v>
      </c>
      <c r="E50" s="1" t="s">
        <v>149</v>
      </c>
      <c r="F50" s="1" t="s">
        <v>109</v>
      </c>
      <c r="G50" s="1">
        <v>77</v>
      </c>
      <c r="H50" s="1" t="s">
        <v>84</v>
      </c>
      <c r="I50" s="1" t="s">
        <v>127</v>
      </c>
      <c r="J50" s="1" t="s">
        <v>40</v>
      </c>
      <c r="K50" s="1">
        <v>750000</v>
      </c>
      <c r="L50" s="1">
        <v>19</v>
      </c>
      <c r="M50" s="1" t="s">
        <v>52</v>
      </c>
      <c r="N50" s="1" t="s">
        <v>52</v>
      </c>
      <c r="O50" t="str">
        <f t="shared" si="0"/>
        <v>OK</v>
      </c>
      <c r="P50" t="str">
        <f t="shared" si="1"/>
        <v>Review high cost</v>
      </c>
      <c r="Q50">
        <f t="shared" si="2"/>
        <v>19</v>
      </c>
      <c r="R50" t="str">
        <f t="shared" si="3"/>
        <v>OK</v>
      </c>
    </row>
    <row r="51" spans="1:18">
      <c r="A51" s="1" t="s">
        <v>282</v>
      </c>
      <c r="B51" s="1" t="s">
        <v>283</v>
      </c>
      <c r="C51" s="5">
        <v>45708</v>
      </c>
      <c r="D51" s="5">
        <v>45716</v>
      </c>
      <c r="E51" s="1" t="s">
        <v>249</v>
      </c>
      <c r="F51" s="1" t="s">
        <v>96</v>
      </c>
      <c r="G51" s="1">
        <v>15</v>
      </c>
      <c r="H51" s="1" t="s">
        <v>104</v>
      </c>
      <c r="I51" s="1" t="s">
        <v>153</v>
      </c>
      <c r="J51" s="1" t="s">
        <v>32</v>
      </c>
      <c r="K51" s="1">
        <v>895</v>
      </c>
      <c r="L51" s="1">
        <v>8</v>
      </c>
      <c r="M51" s="1" t="s">
        <v>52</v>
      </c>
      <c r="N51" s="1" t="s">
        <v>33</v>
      </c>
      <c r="O51" t="str">
        <f t="shared" si="0"/>
        <v>OK</v>
      </c>
      <c r="P51" t="str">
        <f t="shared" si="1"/>
        <v>OK</v>
      </c>
      <c r="Q51">
        <f t="shared" si="2"/>
        <v>8</v>
      </c>
      <c r="R51" t="str">
        <f t="shared" si="3"/>
        <v>OK</v>
      </c>
    </row>
    <row r="52" spans="1:18">
      <c r="A52" s="1" t="s">
        <v>288</v>
      </c>
      <c r="B52" s="1" t="s">
        <v>289</v>
      </c>
      <c r="C52" s="5"/>
      <c r="D52" s="5">
        <v>45889</v>
      </c>
      <c r="E52" s="1" t="s">
        <v>120</v>
      </c>
      <c r="F52" s="1" t="s">
        <v>39</v>
      </c>
      <c r="G52" s="1">
        <v>50</v>
      </c>
      <c r="H52" s="1"/>
      <c r="I52" s="1" t="s">
        <v>49</v>
      </c>
      <c r="J52" s="1" t="s">
        <v>32</v>
      </c>
      <c r="K52" s="1">
        <v>3076</v>
      </c>
      <c r="L52" s="1">
        <v>1</v>
      </c>
      <c r="M52" s="1" t="s">
        <v>33</v>
      </c>
      <c r="N52" s="1" t="s">
        <v>52</v>
      </c>
      <c r="O52" t="str">
        <f t="shared" si="0"/>
        <v>Missing date</v>
      </c>
      <c r="P52" t="str">
        <f t="shared" si="1"/>
        <v>OK</v>
      </c>
      <c r="Q52" t="str">
        <f t="shared" si="2"/>
        <v/>
      </c>
      <c r="R52" t="str">
        <f t="shared" si="3"/>
        <v>Cannot check dates</v>
      </c>
    </row>
    <row r="53" spans="1:18">
      <c r="A53" s="1" t="s">
        <v>291</v>
      </c>
      <c r="B53" s="1" t="s">
        <v>292</v>
      </c>
      <c r="C53" s="5">
        <v>45945</v>
      </c>
      <c r="D53" s="5">
        <v>45962</v>
      </c>
      <c r="E53" s="1" t="s">
        <v>120</v>
      </c>
      <c r="F53" s="1" t="s">
        <v>39</v>
      </c>
      <c r="G53" s="1">
        <v>33</v>
      </c>
      <c r="H53" s="1" t="s">
        <v>104</v>
      </c>
      <c r="I53" s="1" t="s">
        <v>65</v>
      </c>
      <c r="J53" s="1" t="s">
        <v>32</v>
      </c>
      <c r="K53" s="1">
        <v>1239</v>
      </c>
      <c r="L53" s="1">
        <v>17</v>
      </c>
      <c r="M53" s="1" t="s">
        <v>52</v>
      </c>
      <c r="N53" s="1" t="s">
        <v>52</v>
      </c>
      <c r="O53" t="str">
        <f t="shared" si="0"/>
        <v>OK</v>
      </c>
      <c r="P53" t="str">
        <f t="shared" si="1"/>
        <v>OK</v>
      </c>
      <c r="Q53">
        <f t="shared" si="2"/>
        <v>17</v>
      </c>
      <c r="R53" t="str">
        <f t="shared" si="3"/>
        <v>OK</v>
      </c>
    </row>
    <row r="54" spans="1:18">
      <c r="A54" s="1" t="s">
        <v>295</v>
      </c>
      <c r="B54" s="1" t="s">
        <v>151</v>
      </c>
      <c r="C54" s="5">
        <v>45723</v>
      </c>
      <c r="D54" s="5">
        <v>45732</v>
      </c>
      <c r="E54" s="1" t="s">
        <v>120</v>
      </c>
      <c r="F54" s="1" t="s">
        <v>126</v>
      </c>
      <c r="G54" s="1">
        <v>41</v>
      </c>
      <c r="H54" s="1" t="s">
        <v>48</v>
      </c>
      <c r="I54" s="1" t="s">
        <v>65</v>
      </c>
      <c r="J54" s="1" t="s">
        <v>32</v>
      </c>
      <c r="K54" s="1">
        <v>9999</v>
      </c>
      <c r="L54" s="1">
        <v>9</v>
      </c>
      <c r="M54" s="1" t="s">
        <v>33</v>
      </c>
      <c r="N54" s="1" t="s">
        <v>33</v>
      </c>
      <c r="O54" t="str">
        <f t="shared" si="0"/>
        <v>OK</v>
      </c>
      <c r="P54" t="str">
        <f t="shared" si="1"/>
        <v>OK</v>
      </c>
      <c r="Q54">
        <f t="shared" si="2"/>
        <v>9</v>
      </c>
      <c r="R54" t="str">
        <f t="shared" si="3"/>
        <v>OK</v>
      </c>
    </row>
    <row r="55" spans="1:18">
      <c r="A55" s="1" t="s">
        <v>298</v>
      </c>
      <c r="B55" s="1" t="s">
        <v>299</v>
      </c>
      <c r="C55" s="5">
        <v>45860</v>
      </c>
      <c r="D55" s="5">
        <v>45876</v>
      </c>
      <c r="E55" s="1" t="s">
        <v>149</v>
      </c>
      <c r="F55" s="1" t="s">
        <v>109</v>
      </c>
      <c r="G55" s="1">
        <v>38</v>
      </c>
      <c r="H55" s="1" t="s">
        <v>104</v>
      </c>
      <c r="I55" s="1" t="s">
        <v>153</v>
      </c>
      <c r="J55" s="1" t="s">
        <v>40</v>
      </c>
      <c r="K55" s="1">
        <v>2261</v>
      </c>
      <c r="L55" s="1"/>
      <c r="M55" s="1" t="s">
        <v>52</v>
      </c>
      <c r="N55" s="1" t="s">
        <v>33</v>
      </c>
      <c r="O55" t="str">
        <f t="shared" si="0"/>
        <v>OK</v>
      </c>
      <c r="P55" t="str">
        <f t="shared" si="1"/>
        <v>OK</v>
      </c>
      <c r="Q55">
        <f t="shared" si="2"/>
        <v>16</v>
      </c>
      <c r="R55" t="str">
        <f t="shared" si="3"/>
        <v>Missing recorded stay</v>
      </c>
    </row>
    <row r="56" spans="1:18">
      <c r="A56" s="1" t="s">
        <v>304</v>
      </c>
      <c r="B56" s="1" t="s">
        <v>191</v>
      </c>
      <c r="C56" s="5">
        <v>45985</v>
      </c>
      <c r="D56" s="5">
        <v>45998</v>
      </c>
      <c r="E56" s="1" t="s">
        <v>149</v>
      </c>
      <c r="F56" s="1" t="s">
        <v>109</v>
      </c>
      <c r="G56" s="1">
        <v>42</v>
      </c>
      <c r="H56" s="1" t="s">
        <v>84</v>
      </c>
      <c r="I56" s="1" t="s">
        <v>65</v>
      </c>
      <c r="J56" s="1" t="s">
        <v>40</v>
      </c>
      <c r="K56" s="8">
        <v>5289</v>
      </c>
      <c r="L56" s="1">
        <v>13</v>
      </c>
      <c r="M56" s="1" t="s">
        <v>33</v>
      </c>
      <c r="N56" s="1" t="s">
        <v>52</v>
      </c>
      <c r="O56" t="str">
        <f t="shared" si="0"/>
        <v>OK</v>
      </c>
      <c r="P56" t="str">
        <f t="shared" si="1"/>
        <v>OK</v>
      </c>
      <c r="Q56">
        <f t="shared" si="2"/>
        <v>13</v>
      </c>
      <c r="R56" t="str">
        <f t="shared" si="3"/>
        <v>OK</v>
      </c>
    </row>
    <row r="57" spans="1:18">
      <c r="A57" s="1" t="s">
        <v>309</v>
      </c>
      <c r="B57" s="1" t="s">
        <v>310</v>
      </c>
      <c r="C57" s="5"/>
      <c r="D57" s="5">
        <v>45695</v>
      </c>
      <c r="E57" s="1" t="s">
        <v>149</v>
      </c>
      <c r="F57" s="1" t="s">
        <v>109</v>
      </c>
      <c r="G57" s="1">
        <v>52</v>
      </c>
      <c r="H57" s="1" t="s">
        <v>48</v>
      </c>
      <c r="I57" s="1" t="s">
        <v>49</v>
      </c>
      <c r="J57" s="1" t="s">
        <v>32</v>
      </c>
      <c r="K57" s="1">
        <v>7195</v>
      </c>
      <c r="L57" s="1">
        <v>1</v>
      </c>
      <c r="M57" s="1" t="s">
        <v>52</v>
      </c>
      <c r="N57" s="1" t="s">
        <v>52</v>
      </c>
      <c r="O57" t="str">
        <f t="shared" si="0"/>
        <v>Missing date</v>
      </c>
      <c r="P57" t="str">
        <f t="shared" si="1"/>
        <v>OK</v>
      </c>
      <c r="Q57" t="str">
        <f t="shared" si="2"/>
        <v/>
      </c>
      <c r="R57" t="str">
        <f t="shared" si="3"/>
        <v>Cannot check dates</v>
      </c>
    </row>
    <row r="58" spans="1:18">
      <c r="A58" s="1" t="s">
        <v>312</v>
      </c>
      <c r="B58" s="1" t="s">
        <v>313</v>
      </c>
      <c r="C58" s="5">
        <v>45890</v>
      </c>
      <c r="D58" s="5">
        <v>45900</v>
      </c>
      <c r="E58" s="1" t="s">
        <v>29</v>
      </c>
      <c r="F58" s="1" t="s">
        <v>77</v>
      </c>
      <c r="G58" s="1">
        <v>92</v>
      </c>
      <c r="H58" s="1" t="s">
        <v>48</v>
      </c>
      <c r="I58" s="1" t="s">
        <v>65</v>
      </c>
      <c r="J58" s="1" t="s">
        <v>22</v>
      </c>
      <c r="K58" s="8">
        <v>7995</v>
      </c>
      <c r="L58" s="1">
        <v>10</v>
      </c>
      <c r="M58" s="1" t="s">
        <v>52</v>
      </c>
      <c r="N58" s="1" t="s">
        <v>52</v>
      </c>
      <c r="O58" t="str">
        <f t="shared" si="0"/>
        <v>OK</v>
      </c>
      <c r="P58" t="str">
        <f t="shared" si="1"/>
        <v>OK</v>
      </c>
      <c r="Q58">
        <f t="shared" si="2"/>
        <v>10</v>
      </c>
      <c r="R58" t="str">
        <f t="shared" si="3"/>
        <v>OK</v>
      </c>
    </row>
    <row r="59" spans="1:18">
      <c r="A59" s="1" t="s">
        <v>318</v>
      </c>
      <c r="B59" s="1" t="s">
        <v>319</v>
      </c>
      <c r="C59" s="5">
        <v>45873</v>
      </c>
      <c r="D59" s="5">
        <v>45879</v>
      </c>
      <c r="E59" s="1" t="s">
        <v>18</v>
      </c>
      <c r="F59" s="1" t="s">
        <v>83</v>
      </c>
      <c r="G59" s="1">
        <v>46</v>
      </c>
      <c r="H59" s="1" t="s">
        <v>84</v>
      </c>
      <c r="I59" s="1" t="s">
        <v>65</v>
      </c>
      <c r="J59" s="1" t="s">
        <v>22</v>
      </c>
      <c r="K59" s="1">
        <v>11093</v>
      </c>
      <c r="L59" s="1">
        <v>6</v>
      </c>
      <c r="M59" s="1" t="s">
        <v>33</v>
      </c>
      <c r="N59" s="1" t="s">
        <v>52</v>
      </c>
      <c r="O59" t="str">
        <f t="shared" si="0"/>
        <v>OK</v>
      </c>
      <c r="P59" t="str">
        <f t="shared" si="1"/>
        <v>OK</v>
      </c>
      <c r="Q59">
        <f t="shared" si="2"/>
        <v>6</v>
      </c>
      <c r="R59" t="str">
        <f t="shared" si="3"/>
        <v>OK</v>
      </c>
    </row>
    <row r="60" spans="1:18">
      <c r="A60" s="1" t="s">
        <v>322</v>
      </c>
      <c r="B60" s="1" t="s">
        <v>323</v>
      </c>
      <c r="C60" s="5">
        <v>45710</v>
      </c>
      <c r="D60" s="5">
        <v>45715</v>
      </c>
      <c r="E60" s="1" t="s">
        <v>149</v>
      </c>
      <c r="F60" s="1" t="s">
        <v>109</v>
      </c>
      <c r="G60" s="1">
        <v>18</v>
      </c>
      <c r="H60" s="1" t="s">
        <v>104</v>
      </c>
      <c r="I60" s="1" t="s">
        <v>65</v>
      </c>
      <c r="J60" s="1" t="s">
        <v>32</v>
      </c>
      <c r="K60" s="1">
        <v>4295</v>
      </c>
      <c r="L60" s="1">
        <v>5</v>
      </c>
      <c r="M60" s="1" t="s">
        <v>33</v>
      </c>
      <c r="N60" s="1" t="s">
        <v>52</v>
      </c>
      <c r="O60" t="str">
        <f t="shared" si="0"/>
        <v>OK</v>
      </c>
      <c r="P60" t="str">
        <f t="shared" si="1"/>
        <v>OK</v>
      </c>
      <c r="Q60">
        <f t="shared" si="2"/>
        <v>5</v>
      </c>
      <c r="R60" t="str">
        <f t="shared" si="3"/>
        <v>OK</v>
      </c>
    </row>
    <row r="61" spans="1:18">
      <c r="A61" s="1" t="s">
        <v>326</v>
      </c>
      <c r="B61" s="1" t="s">
        <v>327</v>
      </c>
      <c r="C61" s="5">
        <v>45748</v>
      </c>
      <c r="D61" s="5">
        <v>45750</v>
      </c>
      <c r="E61" s="1" t="s">
        <v>149</v>
      </c>
      <c r="F61" s="1" t="s">
        <v>109</v>
      </c>
      <c r="G61" s="1"/>
      <c r="H61" s="1" t="s">
        <v>104</v>
      </c>
      <c r="I61" s="1" t="s">
        <v>65</v>
      </c>
      <c r="J61" s="1" t="s">
        <v>22</v>
      </c>
      <c r="K61" s="1">
        <v>1968</v>
      </c>
      <c r="L61" s="1">
        <v>2</v>
      </c>
      <c r="M61" s="1" t="s">
        <v>33</v>
      </c>
      <c r="N61" s="1" t="s">
        <v>33</v>
      </c>
      <c r="O61" t="str">
        <f t="shared" si="0"/>
        <v>OK</v>
      </c>
      <c r="P61" t="str">
        <f t="shared" si="1"/>
        <v>OK</v>
      </c>
      <c r="Q61">
        <f t="shared" si="2"/>
        <v>2</v>
      </c>
      <c r="R61" t="str">
        <f t="shared" si="3"/>
        <v>OK</v>
      </c>
    </row>
    <row r="62" spans="1:18">
      <c r="A62" s="1" t="s">
        <v>332</v>
      </c>
      <c r="B62" s="1" t="s">
        <v>333</v>
      </c>
      <c r="C62" s="5">
        <v>45963</v>
      </c>
      <c r="D62" s="5">
        <v>45968</v>
      </c>
      <c r="E62" s="1" t="s">
        <v>29</v>
      </c>
      <c r="F62" s="1" t="s">
        <v>77</v>
      </c>
      <c r="G62" s="1">
        <v>88</v>
      </c>
      <c r="H62" s="1" t="s">
        <v>84</v>
      </c>
      <c r="I62" s="1" t="s">
        <v>49</v>
      </c>
      <c r="J62" s="1" t="s">
        <v>32</v>
      </c>
      <c r="K62" s="1">
        <v>11050</v>
      </c>
      <c r="L62" s="1">
        <v>5</v>
      </c>
      <c r="M62" s="1" t="s">
        <v>33</v>
      </c>
      <c r="N62" s="1" t="s">
        <v>33</v>
      </c>
      <c r="O62" t="str">
        <f t="shared" si="0"/>
        <v>OK</v>
      </c>
      <c r="P62" t="str">
        <f t="shared" si="1"/>
        <v>OK</v>
      </c>
      <c r="Q62">
        <f t="shared" si="2"/>
        <v>5</v>
      </c>
      <c r="R62" t="str">
        <f t="shared" si="3"/>
        <v>OK</v>
      </c>
    </row>
    <row r="63" spans="1:18">
      <c r="A63" s="1" t="s">
        <v>336</v>
      </c>
      <c r="B63" s="1" t="s">
        <v>337</v>
      </c>
      <c r="C63" s="5">
        <v>45818</v>
      </c>
      <c r="D63" s="5">
        <v>45819</v>
      </c>
      <c r="E63" s="1"/>
      <c r="F63" s="1" t="s">
        <v>96</v>
      </c>
      <c r="G63" s="1">
        <v>4</v>
      </c>
      <c r="H63" s="1" t="s">
        <v>104</v>
      </c>
      <c r="I63" s="1" t="s">
        <v>49</v>
      </c>
      <c r="J63" s="1" t="s">
        <v>22</v>
      </c>
      <c r="K63" s="8">
        <v>3466</v>
      </c>
      <c r="L63" s="1">
        <v>1</v>
      </c>
      <c r="M63" s="1" t="s">
        <v>33</v>
      </c>
      <c r="N63" s="1" t="s">
        <v>33</v>
      </c>
      <c r="O63" t="str">
        <f t="shared" si="0"/>
        <v>OK</v>
      </c>
      <c r="P63" t="str">
        <f t="shared" si="1"/>
        <v>OK</v>
      </c>
      <c r="Q63">
        <f t="shared" si="2"/>
        <v>1</v>
      </c>
      <c r="R63" t="str">
        <f t="shared" si="3"/>
        <v>OK</v>
      </c>
    </row>
    <row r="64" spans="1:18">
      <c r="A64" s="1" t="s">
        <v>341</v>
      </c>
      <c r="B64" s="1" t="s">
        <v>342</v>
      </c>
      <c r="C64" s="5">
        <v>45662</v>
      </c>
      <c r="D64" s="5">
        <v>45666</v>
      </c>
      <c r="E64" s="1" t="s">
        <v>149</v>
      </c>
      <c r="F64" s="1" t="s">
        <v>109</v>
      </c>
      <c r="G64" s="1">
        <v>33</v>
      </c>
      <c r="H64" s="1" t="s">
        <v>48</v>
      </c>
      <c r="I64" s="1" t="s">
        <v>127</v>
      </c>
      <c r="J64" s="1" t="s">
        <v>22</v>
      </c>
      <c r="K64" s="1">
        <v>13618</v>
      </c>
      <c r="L64" s="1">
        <v>4</v>
      </c>
      <c r="M64" s="1" t="s">
        <v>52</v>
      </c>
      <c r="N64" s="1"/>
      <c r="O64" t="str">
        <f t="shared" si="0"/>
        <v>OK</v>
      </c>
      <c r="P64" t="str">
        <f t="shared" si="1"/>
        <v>OK</v>
      </c>
      <c r="Q64">
        <f t="shared" si="2"/>
        <v>4</v>
      </c>
      <c r="R64" t="str">
        <f t="shared" si="3"/>
        <v>OK</v>
      </c>
    </row>
    <row r="65" spans="1:18">
      <c r="A65" s="1" t="s">
        <v>345</v>
      </c>
      <c r="B65" s="1" t="s">
        <v>346</v>
      </c>
      <c r="C65" s="5">
        <v>45680</v>
      </c>
      <c r="D65" s="5"/>
      <c r="E65" s="1" t="s">
        <v>29</v>
      </c>
      <c r="F65" s="1" t="s">
        <v>77</v>
      </c>
      <c r="G65" s="1">
        <v>20</v>
      </c>
      <c r="H65" s="1" t="s">
        <v>48</v>
      </c>
      <c r="I65" s="1" t="s">
        <v>49</v>
      </c>
      <c r="J65" s="1" t="s">
        <v>32</v>
      </c>
      <c r="K65" s="1">
        <v>13725</v>
      </c>
      <c r="L65" s="1">
        <v>2</v>
      </c>
      <c r="M65" s="1" t="s">
        <v>33</v>
      </c>
      <c r="N65" s="1" t="s">
        <v>52</v>
      </c>
      <c r="O65" t="str">
        <f t="shared" si="0"/>
        <v>Missing date</v>
      </c>
      <c r="P65" t="str">
        <f t="shared" si="1"/>
        <v>OK</v>
      </c>
      <c r="Q65" t="str">
        <f t="shared" si="2"/>
        <v/>
      </c>
      <c r="R65" t="str">
        <f t="shared" si="3"/>
        <v>Cannot check dates</v>
      </c>
    </row>
    <row r="66" spans="1:18">
      <c r="A66" s="1" t="s">
        <v>348</v>
      </c>
      <c r="B66" s="1" t="s">
        <v>275</v>
      </c>
      <c r="C66" s="5">
        <v>45977</v>
      </c>
      <c r="D66" s="5">
        <v>45996</v>
      </c>
      <c r="E66" s="1" t="s">
        <v>149</v>
      </c>
      <c r="F66" s="1" t="s">
        <v>109</v>
      </c>
      <c r="G66" s="1">
        <v>83</v>
      </c>
      <c r="H66" s="1" t="s">
        <v>84</v>
      </c>
      <c r="I66" s="1" t="s">
        <v>127</v>
      </c>
      <c r="J66" s="1" t="s">
        <v>32</v>
      </c>
      <c r="K66" s="8">
        <v>2935</v>
      </c>
      <c r="L66" s="1">
        <v>19</v>
      </c>
      <c r="M66" s="1" t="s">
        <v>52</v>
      </c>
      <c r="N66" s="1" t="s">
        <v>52</v>
      </c>
      <c r="O66" t="str">
        <f t="shared" si="0"/>
        <v>OK</v>
      </c>
      <c r="P66" t="str">
        <f t="shared" si="1"/>
        <v>OK</v>
      </c>
      <c r="Q66">
        <f t="shared" si="2"/>
        <v>19</v>
      </c>
      <c r="R66" t="str">
        <f t="shared" si="3"/>
        <v>OK</v>
      </c>
    </row>
    <row r="67" spans="1:18">
      <c r="A67" s="1" t="s">
        <v>353</v>
      </c>
      <c r="B67" s="1" t="s">
        <v>354</v>
      </c>
      <c r="C67" s="5">
        <v>45809</v>
      </c>
      <c r="D67" s="5">
        <v>45829</v>
      </c>
      <c r="E67" s="1" t="s">
        <v>125</v>
      </c>
      <c r="F67" s="1" t="s">
        <v>126</v>
      </c>
      <c r="G67" s="1">
        <v>66</v>
      </c>
      <c r="H67" s="1" t="s">
        <v>84</v>
      </c>
      <c r="I67" s="1" t="s">
        <v>153</v>
      </c>
      <c r="J67" s="1" t="s">
        <v>22</v>
      </c>
      <c r="K67" s="1"/>
      <c r="L67" s="1">
        <v>20</v>
      </c>
      <c r="M67" s="1" t="s">
        <v>52</v>
      </c>
      <c r="N67" s="1" t="s">
        <v>33</v>
      </c>
      <c r="O67" t="str">
        <f t="shared" ref="O67:O130" si="4">IF(OR(C67="",D67=""),"Missing date",IF(D67&lt;C67,"Check dates","OK"))</f>
        <v>OK</v>
      </c>
      <c r="P67" t="str">
        <f t="shared" ref="P67:P130" si="5">IF(K67="","Missing cost",IF(ISNUMBER(K67),IF(K67&lt;0,"Negative cost",IF(K67&gt;100000,"Review high cost","OK")),"Check format"))</f>
        <v>Missing cost</v>
      </c>
      <c r="Q67">
        <f t="shared" ref="Q67:Q130" si="6">IF(AND(ISNUMBER(C67),ISNUMBER(D67)),IF(D67&gt;=C67,D67-C67,""),"")</f>
        <v>20</v>
      </c>
      <c r="R67" t="str">
        <f t="shared" ref="R67:R130" si="7">IF(Q67="","Cannot check dates",IF(L67="","Missing recorded stay",IF(ISNUMBER(L67),IF(L67=Q67,"OK","Mismatch"),"Check format")))</f>
        <v>OK</v>
      </c>
    </row>
    <row r="68" spans="1:18">
      <c r="A68" s="1" t="s">
        <v>359</v>
      </c>
      <c r="B68" s="1" t="s">
        <v>360</v>
      </c>
      <c r="C68" s="5">
        <v>45931</v>
      </c>
      <c r="D68" s="5">
        <v>45949</v>
      </c>
      <c r="E68" s="1" t="s">
        <v>125</v>
      </c>
      <c r="F68" s="1" t="s">
        <v>126</v>
      </c>
      <c r="G68" s="1">
        <v>78</v>
      </c>
      <c r="H68" s="1" t="s">
        <v>104</v>
      </c>
      <c r="I68" s="1" t="s">
        <v>127</v>
      </c>
      <c r="J68" s="1" t="s">
        <v>22</v>
      </c>
      <c r="K68" s="1">
        <v>8892</v>
      </c>
      <c r="L68" s="1">
        <v>18</v>
      </c>
      <c r="M68" s="1" t="s">
        <v>33</v>
      </c>
      <c r="N68" s="1" t="s">
        <v>33</v>
      </c>
      <c r="O68" t="str">
        <f t="shared" si="4"/>
        <v>OK</v>
      </c>
      <c r="P68" t="str">
        <f t="shared" si="5"/>
        <v>OK</v>
      </c>
      <c r="Q68">
        <f t="shared" si="6"/>
        <v>18</v>
      </c>
      <c r="R68" t="str">
        <f t="shared" si="7"/>
        <v>OK</v>
      </c>
    </row>
    <row r="69" spans="1:18">
      <c r="A69" s="1" t="s">
        <v>363</v>
      </c>
      <c r="B69" s="1" t="s">
        <v>364</v>
      </c>
      <c r="C69" s="5">
        <v>45851</v>
      </c>
      <c r="D69" s="5">
        <v>45867</v>
      </c>
      <c r="E69" s="1" t="s">
        <v>18</v>
      </c>
      <c r="F69" s="1" t="s">
        <v>83</v>
      </c>
      <c r="G69" s="1">
        <v>18</v>
      </c>
      <c r="H69" s="1" t="s">
        <v>104</v>
      </c>
      <c r="I69" s="1" t="s">
        <v>65</v>
      </c>
      <c r="J69" s="1" t="s">
        <v>40</v>
      </c>
      <c r="K69" s="1">
        <v>4236</v>
      </c>
      <c r="L69" s="1">
        <v>16</v>
      </c>
      <c r="M69" s="1" t="s">
        <v>33</v>
      </c>
      <c r="N69" s="1" t="s">
        <v>52</v>
      </c>
      <c r="O69" t="str">
        <f t="shared" si="4"/>
        <v>OK</v>
      </c>
      <c r="P69" t="str">
        <f t="shared" si="5"/>
        <v>OK</v>
      </c>
      <c r="Q69">
        <f t="shared" si="6"/>
        <v>16</v>
      </c>
      <c r="R69" t="str">
        <f t="shared" si="7"/>
        <v>OK</v>
      </c>
    </row>
    <row r="70" spans="1:18">
      <c r="A70" s="1" t="s">
        <v>367</v>
      </c>
      <c r="B70" s="1" t="s">
        <v>368</v>
      </c>
      <c r="C70" s="5">
        <v>45715</v>
      </c>
      <c r="D70" s="5">
        <v>45733</v>
      </c>
      <c r="E70" s="1" t="s">
        <v>149</v>
      </c>
      <c r="F70" s="1" t="s">
        <v>109</v>
      </c>
      <c r="G70" s="1">
        <v>89</v>
      </c>
      <c r="H70" s="1" t="s">
        <v>48</v>
      </c>
      <c r="I70" s="1" t="s">
        <v>49</v>
      </c>
      <c r="J70" s="1" t="s">
        <v>40</v>
      </c>
      <c r="K70" s="1">
        <v>9255</v>
      </c>
      <c r="L70" s="1">
        <v>18</v>
      </c>
      <c r="M70" s="1" t="s">
        <v>52</v>
      </c>
      <c r="N70" s="1" t="s">
        <v>33</v>
      </c>
      <c r="O70" t="str">
        <f t="shared" si="4"/>
        <v>OK</v>
      </c>
      <c r="P70" t="str">
        <f t="shared" si="5"/>
        <v>OK</v>
      </c>
      <c r="Q70">
        <f t="shared" si="6"/>
        <v>18</v>
      </c>
      <c r="R70" t="str">
        <f t="shared" si="7"/>
        <v>OK</v>
      </c>
    </row>
    <row r="71" spans="1:18">
      <c r="A71" s="1" t="s">
        <v>370</v>
      </c>
      <c r="B71" s="1" t="s">
        <v>371</v>
      </c>
      <c r="C71" s="5">
        <v>45887</v>
      </c>
      <c r="D71" s="5">
        <v>45898</v>
      </c>
      <c r="E71" s="1" t="s">
        <v>18</v>
      </c>
      <c r="F71" s="1" t="s">
        <v>83</v>
      </c>
      <c r="G71" s="1">
        <v>60</v>
      </c>
      <c r="H71" s="1" t="s">
        <v>84</v>
      </c>
      <c r="I71" s="1" t="s">
        <v>65</v>
      </c>
      <c r="J71" s="1" t="s">
        <v>40</v>
      </c>
      <c r="K71" s="1">
        <v>6799</v>
      </c>
      <c r="L71" s="1">
        <v>11</v>
      </c>
      <c r="M71" s="1" t="s">
        <v>33</v>
      </c>
      <c r="N71" s="1" t="s">
        <v>52</v>
      </c>
      <c r="O71" t="str">
        <f t="shared" si="4"/>
        <v>OK</v>
      </c>
      <c r="P71" t="str">
        <f t="shared" si="5"/>
        <v>OK</v>
      </c>
      <c r="Q71">
        <f t="shared" si="6"/>
        <v>11</v>
      </c>
      <c r="R71" t="str">
        <f t="shared" si="7"/>
        <v>OK</v>
      </c>
    </row>
    <row r="72" spans="1:18">
      <c r="A72" s="1" t="s">
        <v>375</v>
      </c>
      <c r="B72" s="1" t="s">
        <v>376</v>
      </c>
      <c r="C72" s="5">
        <v>45743</v>
      </c>
      <c r="D72" s="5">
        <v>45747</v>
      </c>
      <c r="E72" s="1" t="s">
        <v>249</v>
      </c>
      <c r="F72" s="1" t="s">
        <v>96</v>
      </c>
      <c r="G72" s="1">
        <v>10</v>
      </c>
      <c r="H72" s="1" t="s">
        <v>104</v>
      </c>
      <c r="I72" s="1" t="s">
        <v>65</v>
      </c>
      <c r="J72" s="1" t="s">
        <v>40</v>
      </c>
      <c r="K72" s="1"/>
      <c r="L72" s="1">
        <v>4</v>
      </c>
      <c r="M72" s="1" t="s">
        <v>33</v>
      </c>
      <c r="N72" s="1" t="s">
        <v>52</v>
      </c>
      <c r="O72" t="str">
        <f t="shared" si="4"/>
        <v>OK</v>
      </c>
      <c r="P72" t="str">
        <f t="shared" si="5"/>
        <v>Missing cost</v>
      </c>
      <c r="Q72">
        <f t="shared" si="6"/>
        <v>4</v>
      </c>
      <c r="R72" t="str">
        <f t="shared" si="7"/>
        <v>OK</v>
      </c>
    </row>
    <row r="73" spans="1:18">
      <c r="A73" s="1" t="s">
        <v>377</v>
      </c>
      <c r="B73" s="1" t="s">
        <v>378</v>
      </c>
      <c r="C73" s="5">
        <v>45985</v>
      </c>
      <c r="D73" s="5">
        <v>46003</v>
      </c>
      <c r="E73" s="1" t="s">
        <v>125</v>
      </c>
      <c r="F73" s="1" t="s">
        <v>126</v>
      </c>
      <c r="G73" s="1">
        <v>29</v>
      </c>
      <c r="H73" s="1" t="s">
        <v>84</v>
      </c>
      <c r="I73" s="1" t="s">
        <v>65</v>
      </c>
      <c r="J73" s="1" t="s">
        <v>32</v>
      </c>
      <c r="K73" s="1">
        <v>750000</v>
      </c>
      <c r="L73" s="1">
        <v>18</v>
      </c>
      <c r="M73" s="1" t="s">
        <v>33</v>
      </c>
      <c r="N73" s="1" t="s">
        <v>33</v>
      </c>
      <c r="O73" t="str">
        <f t="shared" si="4"/>
        <v>OK</v>
      </c>
      <c r="P73" t="str">
        <f t="shared" si="5"/>
        <v>Review high cost</v>
      </c>
      <c r="Q73">
        <f t="shared" si="6"/>
        <v>18</v>
      </c>
      <c r="R73" t="str">
        <f t="shared" si="7"/>
        <v>OK</v>
      </c>
    </row>
    <row r="74" spans="1:18">
      <c r="A74" s="1" t="s">
        <v>380</v>
      </c>
      <c r="B74" s="1" t="s">
        <v>381</v>
      </c>
      <c r="C74" s="5">
        <v>45711</v>
      </c>
      <c r="D74" s="5">
        <v>45731</v>
      </c>
      <c r="E74" s="1" t="s">
        <v>149</v>
      </c>
      <c r="F74" s="1" t="s">
        <v>109</v>
      </c>
      <c r="G74" s="1">
        <v>37</v>
      </c>
      <c r="H74" s="1" t="s">
        <v>84</v>
      </c>
      <c r="I74" s="1" t="s">
        <v>127</v>
      </c>
      <c r="J74" s="1" t="s">
        <v>22</v>
      </c>
      <c r="K74" s="1">
        <v>11892</v>
      </c>
      <c r="L74" s="1">
        <v>20</v>
      </c>
      <c r="M74" s="1" t="s">
        <v>33</v>
      </c>
      <c r="N74" s="1" t="s">
        <v>52</v>
      </c>
      <c r="O74" t="str">
        <f t="shared" si="4"/>
        <v>OK</v>
      </c>
      <c r="P74" t="str">
        <f t="shared" si="5"/>
        <v>OK</v>
      </c>
      <c r="Q74">
        <f t="shared" si="6"/>
        <v>20</v>
      </c>
      <c r="R74" t="str">
        <f t="shared" si="7"/>
        <v>OK</v>
      </c>
    </row>
    <row r="75" spans="1:18">
      <c r="A75" s="1" t="s">
        <v>384</v>
      </c>
      <c r="B75" s="1" t="s">
        <v>385</v>
      </c>
      <c r="C75" s="5">
        <v>45689</v>
      </c>
      <c r="D75" s="5">
        <v>45701</v>
      </c>
      <c r="E75" s="1" t="s">
        <v>149</v>
      </c>
      <c r="F75" s="1" t="s">
        <v>109</v>
      </c>
      <c r="G75" s="1"/>
      <c r="H75" s="1" t="s">
        <v>104</v>
      </c>
      <c r="I75" s="1" t="s">
        <v>65</v>
      </c>
      <c r="J75" s="1" t="s">
        <v>40</v>
      </c>
      <c r="K75" s="1">
        <v>10331</v>
      </c>
      <c r="L75" s="1">
        <v>12</v>
      </c>
      <c r="M75" s="1" t="s">
        <v>33</v>
      </c>
      <c r="N75" s="1" t="s">
        <v>33</v>
      </c>
      <c r="O75" t="str">
        <f t="shared" si="4"/>
        <v>OK</v>
      </c>
      <c r="P75" t="str">
        <f t="shared" si="5"/>
        <v>OK</v>
      </c>
      <c r="Q75">
        <f t="shared" si="6"/>
        <v>12</v>
      </c>
      <c r="R75" t="str">
        <f t="shared" si="7"/>
        <v>OK</v>
      </c>
    </row>
    <row r="76" spans="1:18">
      <c r="A76" s="1" t="s">
        <v>388</v>
      </c>
      <c r="B76" s="1" t="s">
        <v>323</v>
      </c>
      <c r="C76" s="5">
        <v>45709</v>
      </c>
      <c r="D76" s="5">
        <v>45717</v>
      </c>
      <c r="E76" s="1" t="s">
        <v>149</v>
      </c>
      <c r="F76" s="1" t="s">
        <v>109</v>
      </c>
      <c r="G76" s="1">
        <v>62</v>
      </c>
      <c r="H76" s="1" t="s">
        <v>84</v>
      </c>
      <c r="I76" s="1" t="s">
        <v>49</v>
      </c>
      <c r="J76" s="1" t="s">
        <v>40</v>
      </c>
      <c r="K76" s="1">
        <v>11489</v>
      </c>
      <c r="L76" s="1">
        <v>8</v>
      </c>
      <c r="M76" s="1" t="s">
        <v>52</v>
      </c>
      <c r="N76" s="1" t="s">
        <v>33</v>
      </c>
      <c r="O76" t="str">
        <f t="shared" si="4"/>
        <v>OK</v>
      </c>
      <c r="P76" t="str">
        <f t="shared" si="5"/>
        <v>OK</v>
      </c>
      <c r="Q76">
        <f t="shared" si="6"/>
        <v>8</v>
      </c>
      <c r="R76" t="str">
        <f t="shared" si="7"/>
        <v>OK</v>
      </c>
    </row>
    <row r="77" spans="1:18">
      <c r="A77" s="1" t="s">
        <v>391</v>
      </c>
      <c r="B77" s="1" t="s">
        <v>392</v>
      </c>
      <c r="C77" s="5">
        <v>45814</v>
      </c>
      <c r="D77" s="5"/>
      <c r="E77" s="1" t="s">
        <v>18</v>
      </c>
      <c r="F77" s="1" t="s">
        <v>83</v>
      </c>
      <c r="G77" s="1">
        <v>82</v>
      </c>
      <c r="H77" s="1" t="s">
        <v>84</v>
      </c>
      <c r="I77" s="1" t="s">
        <v>127</v>
      </c>
      <c r="J77" s="1" t="s">
        <v>40</v>
      </c>
      <c r="K77" s="1">
        <v>5830</v>
      </c>
      <c r="L77" s="1">
        <v>12</v>
      </c>
      <c r="M77" s="1" t="s">
        <v>52</v>
      </c>
      <c r="N77" s="1" t="s">
        <v>33</v>
      </c>
      <c r="O77" t="str">
        <f t="shared" si="4"/>
        <v>Missing date</v>
      </c>
      <c r="P77" t="str">
        <f t="shared" si="5"/>
        <v>OK</v>
      </c>
      <c r="Q77" t="str">
        <f t="shared" si="6"/>
        <v/>
      </c>
      <c r="R77" t="str">
        <f t="shared" si="7"/>
        <v>Cannot check dates</v>
      </c>
    </row>
    <row r="78" spans="1:18">
      <c r="A78" s="1" t="s">
        <v>394</v>
      </c>
      <c r="B78" s="1" t="s">
        <v>217</v>
      </c>
      <c r="C78" s="5">
        <v>45660</v>
      </c>
      <c r="D78" s="5">
        <v>45676</v>
      </c>
      <c r="E78" s="1" t="s">
        <v>120</v>
      </c>
      <c r="F78" s="1" t="s">
        <v>39</v>
      </c>
      <c r="G78" s="1">
        <v>82</v>
      </c>
      <c r="H78" s="1" t="s">
        <v>104</v>
      </c>
      <c r="I78" s="1" t="s">
        <v>65</v>
      </c>
      <c r="J78" s="1" t="s">
        <v>22</v>
      </c>
      <c r="K78" s="1">
        <v>3457</v>
      </c>
      <c r="L78" s="1">
        <v>16</v>
      </c>
      <c r="M78" s="1" t="s">
        <v>33</v>
      </c>
      <c r="N78" s="1" t="s">
        <v>52</v>
      </c>
      <c r="O78" t="str">
        <f t="shared" si="4"/>
        <v>OK</v>
      </c>
      <c r="P78" t="str">
        <f t="shared" si="5"/>
        <v>OK</v>
      </c>
      <c r="Q78">
        <f t="shared" si="6"/>
        <v>16</v>
      </c>
      <c r="R78" t="str">
        <f t="shared" si="7"/>
        <v>OK</v>
      </c>
    </row>
    <row r="79" spans="1:18">
      <c r="A79" s="1" t="s">
        <v>397</v>
      </c>
      <c r="B79" s="1" t="s">
        <v>206</v>
      </c>
      <c r="C79" s="5"/>
      <c r="D79" s="5">
        <v>45842</v>
      </c>
      <c r="E79" s="1" t="s">
        <v>125</v>
      </c>
      <c r="F79" s="1" t="s">
        <v>126</v>
      </c>
      <c r="G79" s="1">
        <v>65</v>
      </c>
      <c r="H79" s="1" t="s">
        <v>84</v>
      </c>
      <c r="I79" s="1" t="s">
        <v>127</v>
      </c>
      <c r="J79" s="1" t="s">
        <v>32</v>
      </c>
      <c r="K79" s="1">
        <v>9842</v>
      </c>
      <c r="L79" s="1">
        <v>18</v>
      </c>
      <c r="M79" s="1" t="s">
        <v>52</v>
      </c>
      <c r="N79" s="1" t="s">
        <v>52</v>
      </c>
      <c r="O79" t="str">
        <f t="shared" si="4"/>
        <v>Missing date</v>
      </c>
      <c r="P79" t="str">
        <f t="shared" si="5"/>
        <v>OK</v>
      </c>
      <c r="Q79" t="str">
        <f t="shared" si="6"/>
        <v/>
      </c>
      <c r="R79" t="str">
        <f t="shared" si="7"/>
        <v>Cannot check dates</v>
      </c>
    </row>
    <row r="80" spans="1:18">
      <c r="A80" s="1" t="s">
        <v>400</v>
      </c>
      <c r="B80" s="1" t="s">
        <v>346</v>
      </c>
      <c r="C80" s="5">
        <v>45798</v>
      </c>
      <c r="D80" s="5">
        <v>45799</v>
      </c>
      <c r="E80" s="1" t="s">
        <v>125</v>
      </c>
      <c r="F80" s="1" t="s">
        <v>126</v>
      </c>
      <c r="G80" s="1">
        <v>87</v>
      </c>
      <c r="H80" s="1" t="s">
        <v>84</v>
      </c>
      <c r="I80" s="1"/>
      <c r="J80" s="1" t="s">
        <v>40</v>
      </c>
      <c r="K80" s="1">
        <v>13913</v>
      </c>
      <c r="L80" s="1">
        <v>1</v>
      </c>
      <c r="M80" s="1" t="s">
        <v>33</v>
      </c>
      <c r="N80" s="1" t="s">
        <v>33</v>
      </c>
      <c r="O80" t="str">
        <f t="shared" si="4"/>
        <v>OK</v>
      </c>
      <c r="P80" t="str">
        <f t="shared" si="5"/>
        <v>OK</v>
      </c>
      <c r="Q80">
        <f t="shared" si="6"/>
        <v>1</v>
      </c>
      <c r="R80" t="str">
        <f t="shared" si="7"/>
        <v>OK</v>
      </c>
    </row>
    <row r="81" spans="1:18">
      <c r="A81" s="1" t="s">
        <v>404</v>
      </c>
      <c r="B81" s="1" t="s">
        <v>405</v>
      </c>
      <c r="C81" s="5">
        <v>45928</v>
      </c>
      <c r="D81" s="5">
        <v>45946</v>
      </c>
      <c r="E81" s="1" t="s">
        <v>29</v>
      </c>
      <c r="F81" s="1" t="s">
        <v>77</v>
      </c>
      <c r="G81" s="1">
        <v>21</v>
      </c>
      <c r="H81" s="1" t="s">
        <v>84</v>
      </c>
      <c r="I81" s="1" t="s">
        <v>153</v>
      </c>
      <c r="J81" s="1" t="s">
        <v>22</v>
      </c>
      <c r="K81" s="1">
        <v>2825</v>
      </c>
      <c r="L81" s="1">
        <v>18</v>
      </c>
      <c r="M81" s="1" t="s">
        <v>52</v>
      </c>
      <c r="N81" s="1" t="s">
        <v>52</v>
      </c>
      <c r="O81" t="str">
        <f t="shared" si="4"/>
        <v>OK</v>
      </c>
      <c r="P81" t="str">
        <f t="shared" si="5"/>
        <v>OK</v>
      </c>
      <c r="Q81">
        <f t="shared" si="6"/>
        <v>18</v>
      </c>
      <c r="R81" t="str">
        <f t="shared" si="7"/>
        <v>OK</v>
      </c>
    </row>
    <row r="82" spans="1:18">
      <c r="A82" s="1" t="s">
        <v>408</v>
      </c>
      <c r="B82" s="1" t="s">
        <v>409</v>
      </c>
      <c r="C82" s="5">
        <v>45716</v>
      </c>
      <c r="D82" s="5">
        <v>45734</v>
      </c>
      <c r="E82" s="1" t="s">
        <v>149</v>
      </c>
      <c r="F82" s="1" t="s">
        <v>109</v>
      </c>
      <c r="G82" s="1">
        <v>42</v>
      </c>
      <c r="H82" s="1" t="s">
        <v>48</v>
      </c>
      <c r="I82" s="1" t="s">
        <v>65</v>
      </c>
      <c r="J82" s="1" t="s">
        <v>22</v>
      </c>
      <c r="K82" s="1">
        <v>14115</v>
      </c>
      <c r="L82" s="1">
        <v>18</v>
      </c>
      <c r="M82" s="1" t="s">
        <v>33</v>
      </c>
      <c r="N82" s="1" t="s">
        <v>33</v>
      </c>
      <c r="O82" t="str">
        <f t="shared" si="4"/>
        <v>OK</v>
      </c>
      <c r="P82" t="str">
        <f t="shared" si="5"/>
        <v>OK</v>
      </c>
      <c r="Q82">
        <f t="shared" si="6"/>
        <v>18</v>
      </c>
      <c r="R82" t="str">
        <f t="shared" si="7"/>
        <v>OK</v>
      </c>
    </row>
    <row r="83" spans="1:18">
      <c r="A83" s="1" t="s">
        <v>412</v>
      </c>
      <c r="B83" s="1" t="s">
        <v>413</v>
      </c>
      <c r="C83" s="5">
        <v>45759</v>
      </c>
      <c r="D83" s="5">
        <v>45773</v>
      </c>
      <c r="E83" s="1" t="s">
        <v>249</v>
      </c>
      <c r="F83" s="1" t="s">
        <v>96</v>
      </c>
      <c r="G83" s="1">
        <v>15</v>
      </c>
      <c r="H83" s="1" t="s">
        <v>104</v>
      </c>
      <c r="I83" s="1" t="s">
        <v>127</v>
      </c>
      <c r="J83" s="1" t="s">
        <v>32</v>
      </c>
      <c r="K83" s="8">
        <v>6816</v>
      </c>
      <c r="L83" s="1">
        <v>14</v>
      </c>
      <c r="M83" s="1" t="s">
        <v>52</v>
      </c>
      <c r="N83" s="1" t="s">
        <v>33</v>
      </c>
      <c r="O83" t="str">
        <f t="shared" si="4"/>
        <v>OK</v>
      </c>
      <c r="P83" t="str">
        <f t="shared" si="5"/>
        <v>OK</v>
      </c>
      <c r="Q83">
        <f t="shared" si="6"/>
        <v>14</v>
      </c>
      <c r="R83" t="str">
        <f t="shared" si="7"/>
        <v>OK</v>
      </c>
    </row>
    <row r="84" spans="1:18">
      <c r="A84" s="1" t="s">
        <v>417</v>
      </c>
      <c r="B84" s="1" t="s">
        <v>418</v>
      </c>
      <c r="C84" s="5">
        <v>45829</v>
      </c>
      <c r="D84" s="5">
        <v>45842</v>
      </c>
      <c r="E84" s="1" t="s">
        <v>29</v>
      </c>
      <c r="F84" s="1" t="s">
        <v>77</v>
      </c>
      <c r="G84" s="1"/>
      <c r="H84" s="1" t="s">
        <v>104</v>
      </c>
      <c r="I84" s="1" t="s">
        <v>65</v>
      </c>
      <c r="J84" s="1" t="s">
        <v>32</v>
      </c>
      <c r="K84" s="1">
        <v>10605</v>
      </c>
      <c r="L84" s="1">
        <v>13</v>
      </c>
      <c r="M84" s="1" t="s">
        <v>52</v>
      </c>
      <c r="N84" s="1" t="s">
        <v>52</v>
      </c>
      <c r="O84" t="str">
        <f t="shared" si="4"/>
        <v>OK</v>
      </c>
      <c r="P84" t="str">
        <f t="shared" si="5"/>
        <v>OK</v>
      </c>
      <c r="Q84">
        <f t="shared" si="6"/>
        <v>13</v>
      </c>
      <c r="R84" t="str">
        <f t="shared" si="7"/>
        <v>OK</v>
      </c>
    </row>
    <row r="85" spans="1:18">
      <c r="A85" s="1" t="s">
        <v>421</v>
      </c>
      <c r="B85" s="1" t="s">
        <v>422</v>
      </c>
      <c r="C85" s="5">
        <v>45776</v>
      </c>
      <c r="D85" s="5">
        <v>45795</v>
      </c>
      <c r="E85" s="1" t="s">
        <v>125</v>
      </c>
      <c r="F85" s="1" t="s">
        <v>126</v>
      </c>
      <c r="G85" s="1">
        <v>18</v>
      </c>
      <c r="H85" s="1" t="s">
        <v>84</v>
      </c>
      <c r="I85" s="1" t="s">
        <v>65</v>
      </c>
      <c r="J85" s="1" t="s">
        <v>22</v>
      </c>
      <c r="K85" s="1"/>
      <c r="L85" s="1">
        <v>19</v>
      </c>
      <c r="M85" s="1" t="s">
        <v>52</v>
      </c>
      <c r="N85" s="1" t="s">
        <v>52</v>
      </c>
      <c r="O85" t="str">
        <f t="shared" si="4"/>
        <v>OK</v>
      </c>
      <c r="P85" t="str">
        <f t="shared" si="5"/>
        <v>Missing cost</v>
      </c>
      <c r="Q85">
        <f t="shared" si="6"/>
        <v>19</v>
      </c>
      <c r="R85" t="str">
        <f t="shared" si="7"/>
        <v>OK</v>
      </c>
    </row>
    <row r="86" spans="1:18">
      <c r="A86" s="1" t="s">
        <v>426</v>
      </c>
      <c r="B86" s="1" t="s">
        <v>427</v>
      </c>
      <c r="C86" s="5">
        <v>45723</v>
      </c>
      <c r="D86" s="5">
        <v>45730</v>
      </c>
      <c r="E86" s="1" t="s">
        <v>29</v>
      </c>
      <c r="F86" s="1" t="s">
        <v>77</v>
      </c>
      <c r="G86" s="1"/>
      <c r="H86" s="1" t="s">
        <v>84</v>
      </c>
      <c r="I86" s="1" t="s">
        <v>127</v>
      </c>
      <c r="J86" s="1" t="s">
        <v>32</v>
      </c>
      <c r="K86" s="1">
        <v>12572</v>
      </c>
      <c r="L86" s="1">
        <v>7</v>
      </c>
      <c r="M86" s="1" t="s">
        <v>33</v>
      </c>
      <c r="N86" s="1" t="s">
        <v>33</v>
      </c>
      <c r="O86" t="str">
        <f t="shared" si="4"/>
        <v>OK</v>
      </c>
      <c r="P86" t="str">
        <f t="shared" si="5"/>
        <v>OK</v>
      </c>
      <c r="Q86">
        <f t="shared" si="6"/>
        <v>7</v>
      </c>
      <c r="R86" t="str">
        <f t="shared" si="7"/>
        <v>OK</v>
      </c>
    </row>
    <row r="87" spans="1:18">
      <c r="A87" s="1" t="s">
        <v>430</v>
      </c>
      <c r="B87" s="1" t="s">
        <v>431</v>
      </c>
      <c r="C87" s="5">
        <v>45875</v>
      </c>
      <c r="D87" s="5">
        <v>45889</v>
      </c>
      <c r="E87" s="1" t="s">
        <v>125</v>
      </c>
      <c r="F87" s="1" t="s">
        <v>126</v>
      </c>
      <c r="G87" s="1">
        <v>47</v>
      </c>
      <c r="H87" s="1" t="s">
        <v>48</v>
      </c>
      <c r="I87" s="1" t="s">
        <v>127</v>
      </c>
      <c r="J87" s="1" t="s">
        <v>40</v>
      </c>
      <c r="K87" s="1">
        <v>12688</v>
      </c>
      <c r="L87" s="1">
        <v>14</v>
      </c>
      <c r="M87" s="1" t="s">
        <v>52</v>
      </c>
      <c r="N87" s="1" t="s">
        <v>33</v>
      </c>
      <c r="O87" t="str">
        <f t="shared" si="4"/>
        <v>OK</v>
      </c>
      <c r="P87" t="str">
        <f t="shared" si="5"/>
        <v>OK</v>
      </c>
      <c r="Q87">
        <f t="shared" si="6"/>
        <v>14</v>
      </c>
      <c r="R87" t="str">
        <f t="shared" si="7"/>
        <v>OK</v>
      </c>
    </row>
    <row r="88" spans="1:18">
      <c r="A88" s="1" t="s">
        <v>434</v>
      </c>
      <c r="B88" s="1" t="s">
        <v>435</v>
      </c>
      <c r="C88" s="5">
        <v>45726</v>
      </c>
      <c r="D88" s="5">
        <v>45730</v>
      </c>
      <c r="E88" s="1" t="s">
        <v>149</v>
      </c>
      <c r="F88" s="1" t="s">
        <v>109</v>
      </c>
      <c r="G88" s="1">
        <v>62</v>
      </c>
      <c r="H88" s="1" t="s">
        <v>84</v>
      </c>
      <c r="I88" s="1" t="s">
        <v>49</v>
      </c>
      <c r="J88" s="1" t="s">
        <v>40</v>
      </c>
      <c r="K88" s="1">
        <v>1152</v>
      </c>
      <c r="L88" s="1">
        <v>4</v>
      </c>
      <c r="M88" s="1" t="s">
        <v>52</v>
      </c>
      <c r="N88" s="1" t="s">
        <v>52</v>
      </c>
      <c r="O88" t="str">
        <f t="shared" si="4"/>
        <v>OK</v>
      </c>
      <c r="P88" t="str">
        <f t="shared" si="5"/>
        <v>OK</v>
      </c>
      <c r="Q88">
        <f t="shared" si="6"/>
        <v>4</v>
      </c>
      <c r="R88" t="str">
        <f t="shared" si="7"/>
        <v>OK</v>
      </c>
    </row>
    <row r="89" spans="1:18">
      <c r="A89" s="1" t="s">
        <v>437</v>
      </c>
      <c r="B89" s="1" t="s">
        <v>438</v>
      </c>
      <c r="C89" s="5">
        <v>45791</v>
      </c>
      <c r="D89" s="5">
        <v>45809</v>
      </c>
      <c r="E89" s="1" t="s">
        <v>125</v>
      </c>
      <c r="F89" s="1" t="s">
        <v>126</v>
      </c>
      <c r="G89" s="1">
        <v>71</v>
      </c>
      <c r="H89" s="1" t="s">
        <v>84</v>
      </c>
      <c r="I89" s="1" t="s">
        <v>49</v>
      </c>
      <c r="J89" s="1" t="s">
        <v>22</v>
      </c>
      <c r="K89" s="1">
        <v>4174</v>
      </c>
      <c r="L89" s="1">
        <v>18</v>
      </c>
      <c r="M89" s="1" t="s">
        <v>33</v>
      </c>
      <c r="N89" s="1"/>
      <c r="O89" t="str">
        <f t="shared" si="4"/>
        <v>OK</v>
      </c>
      <c r="P89" t="str">
        <f t="shared" si="5"/>
        <v>OK</v>
      </c>
      <c r="Q89">
        <f t="shared" si="6"/>
        <v>18</v>
      </c>
      <c r="R89" t="str">
        <f t="shared" si="7"/>
        <v>OK</v>
      </c>
    </row>
    <row r="90" spans="1:18">
      <c r="A90" s="1" t="s">
        <v>441</v>
      </c>
      <c r="B90" s="1" t="s">
        <v>442</v>
      </c>
      <c r="C90" s="5">
        <v>45985</v>
      </c>
      <c r="D90" s="5">
        <v>46004</v>
      </c>
      <c r="E90" s="1" t="s">
        <v>125</v>
      </c>
      <c r="F90" s="1" t="s">
        <v>126</v>
      </c>
      <c r="G90" s="1">
        <v>61</v>
      </c>
      <c r="H90" s="1" t="s">
        <v>84</v>
      </c>
      <c r="I90" s="1" t="s">
        <v>49</v>
      </c>
      <c r="J90" s="1" t="s">
        <v>22</v>
      </c>
      <c r="K90" s="8">
        <v>9854</v>
      </c>
      <c r="L90" s="1">
        <v>90</v>
      </c>
      <c r="M90" s="1" t="s">
        <v>33</v>
      </c>
      <c r="N90" s="1" t="s">
        <v>33</v>
      </c>
      <c r="O90" t="str">
        <f t="shared" si="4"/>
        <v>OK</v>
      </c>
      <c r="P90" t="str">
        <f t="shared" si="5"/>
        <v>OK</v>
      </c>
      <c r="Q90">
        <f t="shared" si="6"/>
        <v>19</v>
      </c>
      <c r="R90" t="str">
        <f t="shared" si="7"/>
        <v>Mismatch</v>
      </c>
    </row>
    <row r="91" spans="1:18">
      <c r="A91" s="1" t="s">
        <v>445</v>
      </c>
      <c r="B91" s="1" t="s">
        <v>446</v>
      </c>
      <c r="C91" s="5"/>
      <c r="D91" s="5">
        <v>45999</v>
      </c>
      <c r="E91" s="1" t="s">
        <v>18</v>
      </c>
      <c r="F91" s="1" t="s">
        <v>83</v>
      </c>
      <c r="G91" s="1">
        <v>54</v>
      </c>
      <c r="H91" s="1" t="s">
        <v>48</v>
      </c>
      <c r="I91" s="1" t="s">
        <v>49</v>
      </c>
      <c r="J91" s="1" t="s">
        <v>32</v>
      </c>
      <c r="K91" s="1">
        <v>3402</v>
      </c>
      <c r="L91" s="1">
        <v>4</v>
      </c>
      <c r="M91" s="1" t="s">
        <v>33</v>
      </c>
      <c r="N91" s="1" t="s">
        <v>52</v>
      </c>
      <c r="O91" t="str">
        <f t="shared" si="4"/>
        <v>Missing date</v>
      </c>
      <c r="P91" t="str">
        <f t="shared" si="5"/>
        <v>OK</v>
      </c>
      <c r="Q91" t="str">
        <f t="shared" si="6"/>
        <v/>
      </c>
      <c r="R91" t="str">
        <f t="shared" si="7"/>
        <v>Cannot check dates</v>
      </c>
    </row>
    <row r="92" spans="1:18">
      <c r="A92" s="1" t="s">
        <v>448</v>
      </c>
      <c r="B92" s="1" t="s">
        <v>323</v>
      </c>
      <c r="C92" s="5">
        <v>45841</v>
      </c>
      <c r="D92" s="5">
        <v>45855</v>
      </c>
      <c r="E92" s="1" t="s">
        <v>18</v>
      </c>
      <c r="F92" s="1" t="s">
        <v>83</v>
      </c>
      <c r="G92" s="1">
        <v>44</v>
      </c>
      <c r="H92" s="1" t="s">
        <v>84</v>
      </c>
      <c r="I92" s="1" t="s">
        <v>153</v>
      </c>
      <c r="J92" s="1" t="s">
        <v>40</v>
      </c>
      <c r="K92" s="1">
        <v>3657</v>
      </c>
      <c r="L92" s="1"/>
      <c r="M92" s="1" t="s">
        <v>52</v>
      </c>
      <c r="N92" s="1" t="s">
        <v>52</v>
      </c>
      <c r="O92" t="str">
        <f t="shared" si="4"/>
        <v>OK</v>
      </c>
      <c r="P92" t="str">
        <f t="shared" si="5"/>
        <v>OK</v>
      </c>
      <c r="Q92">
        <f t="shared" si="6"/>
        <v>14</v>
      </c>
      <c r="R92" t="str">
        <f t="shared" si="7"/>
        <v>Missing recorded stay</v>
      </c>
    </row>
    <row r="93" spans="1:18">
      <c r="A93" s="1" t="s">
        <v>452</v>
      </c>
      <c r="B93" s="1" t="s">
        <v>453</v>
      </c>
      <c r="C93" s="5">
        <v>45735</v>
      </c>
      <c r="D93" s="5">
        <v>45744</v>
      </c>
      <c r="E93" s="1" t="s">
        <v>120</v>
      </c>
      <c r="F93" s="1" t="s">
        <v>39</v>
      </c>
      <c r="G93" s="1">
        <v>20</v>
      </c>
      <c r="H93" s="1" t="s">
        <v>84</v>
      </c>
      <c r="I93" s="1" t="s">
        <v>127</v>
      </c>
      <c r="J93" s="1" t="s">
        <v>32</v>
      </c>
      <c r="K93" s="1">
        <v>14101</v>
      </c>
      <c r="L93" s="1">
        <v>9</v>
      </c>
      <c r="M93" s="1" t="s">
        <v>33</v>
      </c>
      <c r="N93" s="1" t="s">
        <v>33</v>
      </c>
      <c r="O93" t="str">
        <f t="shared" si="4"/>
        <v>OK</v>
      </c>
      <c r="P93" t="str">
        <f t="shared" si="5"/>
        <v>OK</v>
      </c>
      <c r="Q93">
        <f t="shared" si="6"/>
        <v>9</v>
      </c>
      <c r="R93" t="str">
        <f t="shared" si="7"/>
        <v>OK</v>
      </c>
    </row>
    <row r="94" spans="1:18">
      <c r="A94" s="1" t="s">
        <v>457</v>
      </c>
      <c r="B94" s="1" t="s">
        <v>458</v>
      </c>
      <c r="C94" s="5">
        <v>45959</v>
      </c>
      <c r="D94" s="5">
        <v>45977</v>
      </c>
      <c r="E94" s="1" t="s">
        <v>29</v>
      </c>
      <c r="F94" s="1" t="s">
        <v>77</v>
      </c>
      <c r="G94" s="1">
        <v>79</v>
      </c>
      <c r="H94" s="1" t="s">
        <v>104</v>
      </c>
      <c r="I94" s="1" t="s">
        <v>65</v>
      </c>
      <c r="J94" s="1" t="s">
        <v>22</v>
      </c>
      <c r="K94" s="1">
        <v>14365</v>
      </c>
      <c r="L94" s="1">
        <v>18</v>
      </c>
      <c r="M94" s="1" t="s">
        <v>52</v>
      </c>
      <c r="N94" s="1" t="s">
        <v>33</v>
      </c>
      <c r="O94" t="str">
        <f t="shared" si="4"/>
        <v>OK</v>
      </c>
      <c r="P94" t="str">
        <f t="shared" si="5"/>
        <v>OK</v>
      </c>
      <c r="Q94">
        <f t="shared" si="6"/>
        <v>18</v>
      </c>
      <c r="R94" t="str">
        <f t="shared" si="7"/>
        <v>OK</v>
      </c>
    </row>
    <row r="95" spans="1:18">
      <c r="A95" s="1" t="s">
        <v>462</v>
      </c>
      <c r="B95" s="1" t="s">
        <v>463</v>
      </c>
      <c r="C95" s="5">
        <v>45685</v>
      </c>
      <c r="D95" s="5">
        <v>45700</v>
      </c>
      <c r="E95" s="1"/>
      <c r="F95" s="1" t="s">
        <v>83</v>
      </c>
      <c r="G95" s="1">
        <v>56</v>
      </c>
      <c r="H95" s="1" t="s">
        <v>84</v>
      </c>
      <c r="I95" s="1" t="s">
        <v>127</v>
      </c>
      <c r="J95" s="1" t="s">
        <v>22</v>
      </c>
      <c r="K95" s="1">
        <v>10764</v>
      </c>
      <c r="L95" s="1">
        <v>15</v>
      </c>
      <c r="M95" s="1" t="s">
        <v>33</v>
      </c>
      <c r="N95" s="1" t="s">
        <v>52</v>
      </c>
      <c r="O95" t="str">
        <f t="shared" si="4"/>
        <v>OK</v>
      </c>
      <c r="P95" t="str">
        <f t="shared" si="5"/>
        <v>OK</v>
      </c>
      <c r="Q95">
        <f t="shared" si="6"/>
        <v>15</v>
      </c>
      <c r="R95" t="str">
        <f t="shared" si="7"/>
        <v>OK</v>
      </c>
    </row>
    <row r="96" spans="1:18">
      <c r="A96" s="1" t="s">
        <v>466</v>
      </c>
      <c r="B96" s="1" t="s">
        <v>368</v>
      </c>
      <c r="C96" s="5"/>
      <c r="D96" s="5">
        <v>45873</v>
      </c>
      <c r="E96" s="1" t="s">
        <v>120</v>
      </c>
      <c r="F96" s="1" t="s">
        <v>83</v>
      </c>
      <c r="G96" s="1">
        <v>72</v>
      </c>
      <c r="H96" s="1" t="s">
        <v>104</v>
      </c>
      <c r="I96" s="1" t="s">
        <v>49</v>
      </c>
      <c r="J96" s="1" t="s">
        <v>40</v>
      </c>
      <c r="K96" s="1">
        <v>9999</v>
      </c>
      <c r="L96" s="1">
        <v>19</v>
      </c>
      <c r="M96" s="1" t="s">
        <v>52</v>
      </c>
      <c r="N96" s="1" t="s">
        <v>52</v>
      </c>
      <c r="O96" t="str">
        <f t="shared" si="4"/>
        <v>Missing date</v>
      </c>
      <c r="P96" t="str">
        <f t="shared" si="5"/>
        <v>OK</v>
      </c>
      <c r="Q96" t="str">
        <f t="shared" si="6"/>
        <v/>
      </c>
      <c r="R96" t="str">
        <f t="shared" si="7"/>
        <v>Cannot check dates</v>
      </c>
    </row>
    <row r="97" spans="1:18">
      <c r="A97" s="1" t="s">
        <v>468</v>
      </c>
      <c r="B97" s="1" t="s">
        <v>469</v>
      </c>
      <c r="C97" s="5">
        <v>45853</v>
      </c>
      <c r="D97" s="5">
        <v>45854</v>
      </c>
      <c r="E97" s="1" t="s">
        <v>149</v>
      </c>
      <c r="F97" s="1" t="s">
        <v>109</v>
      </c>
      <c r="G97" s="1">
        <v>71</v>
      </c>
      <c r="H97" s="1" t="s">
        <v>84</v>
      </c>
      <c r="I97" s="1" t="s">
        <v>65</v>
      </c>
      <c r="J97" s="1" t="s">
        <v>32</v>
      </c>
      <c r="K97" s="1">
        <v>7266</v>
      </c>
      <c r="L97" s="1">
        <v>1</v>
      </c>
      <c r="M97" s="1" t="s">
        <v>52</v>
      </c>
      <c r="N97" s="1" t="s">
        <v>52</v>
      </c>
      <c r="O97" t="str">
        <f t="shared" si="4"/>
        <v>OK</v>
      </c>
      <c r="P97" t="str">
        <f t="shared" si="5"/>
        <v>OK</v>
      </c>
      <c r="Q97">
        <f t="shared" si="6"/>
        <v>1</v>
      </c>
      <c r="R97" t="str">
        <f t="shared" si="7"/>
        <v>OK</v>
      </c>
    </row>
    <row r="98" spans="1:18">
      <c r="A98" s="1" t="s">
        <v>472</v>
      </c>
      <c r="B98" s="1" t="s">
        <v>473</v>
      </c>
      <c r="C98" s="5">
        <v>45669</v>
      </c>
      <c r="D98" s="5">
        <v>45680</v>
      </c>
      <c r="E98" s="1" t="s">
        <v>149</v>
      </c>
      <c r="F98" s="1" t="s">
        <v>109</v>
      </c>
      <c r="G98" s="1">
        <v>21</v>
      </c>
      <c r="H98" s="1" t="s">
        <v>48</v>
      </c>
      <c r="I98" s="1" t="s">
        <v>153</v>
      </c>
      <c r="J98" s="1" t="s">
        <v>32</v>
      </c>
      <c r="K98" s="1">
        <v>5940</v>
      </c>
      <c r="L98" s="1">
        <v>11</v>
      </c>
      <c r="M98" s="1" t="s">
        <v>52</v>
      </c>
      <c r="N98" s="1" t="s">
        <v>52</v>
      </c>
      <c r="O98" t="str">
        <f t="shared" si="4"/>
        <v>OK</v>
      </c>
      <c r="P98" t="str">
        <f t="shared" si="5"/>
        <v>OK</v>
      </c>
      <c r="Q98">
        <f t="shared" si="6"/>
        <v>11</v>
      </c>
      <c r="R98" t="str">
        <f t="shared" si="7"/>
        <v>OK</v>
      </c>
    </row>
    <row r="99" spans="1:18">
      <c r="A99" s="1" t="s">
        <v>477</v>
      </c>
      <c r="B99" s="1" t="s">
        <v>206</v>
      </c>
      <c r="C99" s="5">
        <v>45717</v>
      </c>
      <c r="D99" s="5">
        <v>45720</v>
      </c>
      <c r="E99" s="1" t="s">
        <v>125</v>
      </c>
      <c r="F99" s="1" t="s">
        <v>126</v>
      </c>
      <c r="G99" s="1">
        <v>26</v>
      </c>
      <c r="H99" s="1" t="s">
        <v>48</v>
      </c>
      <c r="I99" s="1" t="s">
        <v>49</v>
      </c>
      <c r="J99" s="1" t="s">
        <v>32</v>
      </c>
      <c r="K99" s="8">
        <v>12064</v>
      </c>
      <c r="L99" s="1">
        <v>3</v>
      </c>
      <c r="M99" s="1" t="s">
        <v>52</v>
      </c>
      <c r="N99" s="1" t="s">
        <v>52</v>
      </c>
      <c r="O99" t="str">
        <f t="shared" si="4"/>
        <v>OK</v>
      </c>
      <c r="P99" t="str">
        <f t="shared" si="5"/>
        <v>OK</v>
      </c>
      <c r="Q99">
        <f t="shared" si="6"/>
        <v>3</v>
      </c>
      <c r="R99" t="str">
        <f t="shared" si="7"/>
        <v>OK</v>
      </c>
    </row>
    <row r="100" spans="1:18">
      <c r="A100" s="1" t="s">
        <v>480</v>
      </c>
      <c r="B100" s="1" t="s">
        <v>481</v>
      </c>
      <c r="C100" s="5">
        <v>45926</v>
      </c>
      <c r="D100" s="5">
        <v>45932</v>
      </c>
      <c r="E100" s="1" t="s">
        <v>18</v>
      </c>
      <c r="F100" s="1" t="s">
        <v>83</v>
      </c>
      <c r="G100" s="1">
        <v>54</v>
      </c>
      <c r="H100" s="1" t="s">
        <v>104</v>
      </c>
      <c r="I100" s="1" t="s">
        <v>49</v>
      </c>
      <c r="J100" s="1" t="s">
        <v>22</v>
      </c>
      <c r="K100" s="1">
        <v>5140</v>
      </c>
      <c r="L100" s="1">
        <v>6</v>
      </c>
      <c r="M100" s="1" t="s">
        <v>52</v>
      </c>
      <c r="N100" s="1" t="s">
        <v>52</v>
      </c>
      <c r="O100" t="str">
        <f t="shared" si="4"/>
        <v>OK</v>
      </c>
      <c r="P100" t="str">
        <f t="shared" si="5"/>
        <v>OK</v>
      </c>
      <c r="Q100">
        <f t="shared" si="6"/>
        <v>6</v>
      </c>
      <c r="R100" t="str">
        <f t="shared" si="7"/>
        <v>OK</v>
      </c>
    </row>
    <row r="101" spans="1:18">
      <c r="A101" s="1" t="s">
        <v>485</v>
      </c>
      <c r="B101" s="1" t="s">
        <v>486</v>
      </c>
      <c r="C101" s="5">
        <v>45679</v>
      </c>
      <c r="D101" s="5">
        <v>45680</v>
      </c>
      <c r="E101" s="1" t="s">
        <v>249</v>
      </c>
      <c r="F101" s="1" t="s">
        <v>96</v>
      </c>
      <c r="G101" s="1">
        <v>17</v>
      </c>
      <c r="H101" s="1" t="s">
        <v>104</v>
      </c>
      <c r="I101" s="1" t="s">
        <v>49</v>
      </c>
      <c r="J101" s="1" t="s">
        <v>22</v>
      </c>
      <c r="K101" s="1"/>
      <c r="L101" s="1">
        <v>1</v>
      </c>
      <c r="M101" s="1" t="s">
        <v>33</v>
      </c>
      <c r="N101" s="1" t="s">
        <v>52</v>
      </c>
      <c r="O101" t="str">
        <f t="shared" si="4"/>
        <v>OK</v>
      </c>
      <c r="P101" t="str">
        <f t="shared" si="5"/>
        <v>Missing cost</v>
      </c>
      <c r="Q101">
        <f t="shared" si="6"/>
        <v>1</v>
      </c>
      <c r="R101" t="str">
        <f t="shared" si="7"/>
        <v>OK</v>
      </c>
    </row>
    <row r="102" spans="1:18">
      <c r="A102" s="1" t="s">
        <v>489</v>
      </c>
      <c r="B102" s="1" t="s">
        <v>490</v>
      </c>
      <c r="C102" s="5">
        <v>45970</v>
      </c>
      <c r="D102" s="5"/>
      <c r="E102" s="1" t="s">
        <v>149</v>
      </c>
      <c r="F102" s="1" t="s">
        <v>109</v>
      </c>
      <c r="G102" s="1">
        <v>36</v>
      </c>
      <c r="H102" s="1" t="s">
        <v>84</v>
      </c>
      <c r="I102" s="1" t="s">
        <v>65</v>
      </c>
      <c r="J102" s="1" t="s">
        <v>22</v>
      </c>
      <c r="K102" s="1">
        <v>12646</v>
      </c>
      <c r="L102" s="1">
        <v>3</v>
      </c>
      <c r="M102" s="1" t="s">
        <v>52</v>
      </c>
      <c r="N102" s="1" t="s">
        <v>33</v>
      </c>
      <c r="O102" t="str">
        <f t="shared" si="4"/>
        <v>Missing date</v>
      </c>
      <c r="P102" t="str">
        <f t="shared" si="5"/>
        <v>OK</v>
      </c>
      <c r="Q102" t="str">
        <f t="shared" si="6"/>
        <v/>
      </c>
      <c r="R102" t="str">
        <f t="shared" si="7"/>
        <v>Cannot check dates</v>
      </c>
    </row>
    <row r="103" spans="1:18">
      <c r="A103" s="1" t="s">
        <v>493</v>
      </c>
      <c r="B103" s="1" t="s">
        <v>494</v>
      </c>
      <c r="C103" s="5">
        <v>45744</v>
      </c>
      <c r="D103" s="5">
        <v>45753</v>
      </c>
      <c r="E103" s="1" t="s">
        <v>18</v>
      </c>
      <c r="F103" s="1" t="s">
        <v>83</v>
      </c>
      <c r="G103" s="1">
        <v>18</v>
      </c>
      <c r="H103" s="1" t="s">
        <v>48</v>
      </c>
      <c r="I103" s="1" t="s">
        <v>49</v>
      </c>
      <c r="J103" s="1" t="s">
        <v>32</v>
      </c>
      <c r="K103" s="1">
        <v>8346</v>
      </c>
      <c r="L103" s="1">
        <v>9</v>
      </c>
      <c r="M103" s="1" t="s">
        <v>52</v>
      </c>
      <c r="N103" s="1" t="s">
        <v>33</v>
      </c>
      <c r="O103" t="str">
        <f t="shared" si="4"/>
        <v>OK</v>
      </c>
      <c r="P103" t="str">
        <f t="shared" si="5"/>
        <v>OK</v>
      </c>
      <c r="Q103">
        <f t="shared" si="6"/>
        <v>9</v>
      </c>
      <c r="R103" t="str">
        <f t="shared" si="7"/>
        <v>OK</v>
      </c>
    </row>
    <row r="104" spans="1:18">
      <c r="A104" s="1" t="s">
        <v>496</v>
      </c>
      <c r="B104" s="1" t="s">
        <v>161</v>
      </c>
      <c r="C104" s="5">
        <v>45851</v>
      </c>
      <c r="D104" s="5">
        <v>45869</v>
      </c>
      <c r="E104" s="1" t="s">
        <v>249</v>
      </c>
      <c r="F104" s="1" t="s">
        <v>96</v>
      </c>
      <c r="G104" s="1">
        <v>3</v>
      </c>
      <c r="H104" s="1" t="s">
        <v>84</v>
      </c>
      <c r="I104" s="1" t="s">
        <v>65</v>
      </c>
      <c r="J104" s="1" t="s">
        <v>40</v>
      </c>
      <c r="K104" s="1"/>
      <c r="L104" s="1">
        <v>18</v>
      </c>
      <c r="M104" s="1" t="s">
        <v>52</v>
      </c>
      <c r="N104" s="1" t="s">
        <v>33</v>
      </c>
      <c r="O104" t="str">
        <f t="shared" si="4"/>
        <v>OK</v>
      </c>
      <c r="P104" t="str">
        <f t="shared" si="5"/>
        <v>Missing cost</v>
      </c>
      <c r="Q104">
        <f t="shared" si="6"/>
        <v>18</v>
      </c>
      <c r="R104" t="str">
        <f t="shared" si="7"/>
        <v>OK</v>
      </c>
    </row>
    <row r="105" spans="1:18">
      <c r="A105" s="1" t="s">
        <v>498</v>
      </c>
      <c r="B105" s="1" t="s">
        <v>61</v>
      </c>
      <c r="C105" s="5">
        <v>45943</v>
      </c>
      <c r="D105" s="5">
        <v>45945</v>
      </c>
      <c r="E105" s="1" t="s">
        <v>120</v>
      </c>
      <c r="F105" s="1" t="s">
        <v>39</v>
      </c>
      <c r="G105" s="1">
        <v>43</v>
      </c>
      <c r="H105" s="1" t="s">
        <v>84</v>
      </c>
      <c r="I105" s="1" t="s">
        <v>49</v>
      </c>
      <c r="J105" s="1" t="s">
        <v>32</v>
      </c>
      <c r="K105" s="1">
        <v>10087</v>
      </c>
      <c r="L105" s="1">
        <v>2</v>
      </c>
      <c r="M105" s="1" t="s">
        <v>52</v>
      </c>
      <c r="N105" s="1" t="s">
        <v>52</v>
      </c>
      <c r="O105" t="str">
        <f t="shared" si="4"/>
        <v>OK</v>
      </c>
      <c r="P105" t="str">
        <f t="shared" si="5"/>
        <v>OK</v>
      </c>
      <c r="Q105">
        <f t="shared" si="6"/>
        <v>2</v>
      </c>
      <c r="R105" t="str">
        <f t="shared" si="7"/>
        <v>OK</v>
      </c>
    </row>
    <row r="106" spans="1:18">
      <c r="A106" s="1" t="s">
        <v>501</v>
      </c>
      <c r="B106" s="1" t="s">
        <v>502</v>
      </c>
      <c r="C106" s="5">
        <v>45823</v>
      </c>
      <c r="D106" s="5">
        <v>45830</v>
      </c>
      <c r="E106" s="1" t="s">
        <v>149</v>
      </c>
      <c r="F106" s="1" t="s">
        <v>109</v>
      </c>
      <c r="G106" s="1">
        <v>65</v>
      </c>
      <c r="H106" s="1" t="s">
        <v>84</v>
      </c>
      <c r="I106" s="1" t="s">
        <v>127</v>
      </c>
      <c r="J106" s="1" t="s">
        <v>40</v>
      </c>
      <c r="K106" s="8">
        <v>10765</v>
      </c>
      <c r="L106" s="1">
        <v>7</v>
      </c>
      <c r="M106" s="1" t="s">
        <v>52</v>
      </c>
      <c r="N106" s="1" t="s">
        <v>52</v>
      </c>
      <c r="O106" t="str">
        <f t="shared" si="4"/>
        <v>OK</v>
      </c>
      <c r="P106" t="str">
        <f t="shared" si="5"/>
        <v>OK</v>
      </c>
      <c r="Q106">
        <f t="shared" si="6"/>
        <v>7</v>
      </c>
      <c r="R106" t="str">
        <f t="shared" si="7"/>
        <v>OK</v>
      </c>
    </row>
    <row r="107" spans="1:18">
      <c r="A107" s="1" t="s">
        <v>506</v>
      </c>
      <c r="B107" s="1" t="s">
        <v>507</v>
      </c>
      <c r="C107" s="5">
        <v>45689</v>
      </c>
      <c r="D107" s="5">
        <v>45698</v>
      </c>
      <c r="E107" s="1" t="s">
        <v>249</v>
      </c>
      <c r="F107" s="1" t="s">
        <v>96</v>
      </c>
      <c r="G107" s="1">
        <v>16</v>
      </c>
      <c r="H107" s="1" t="s">
        <v>104</v>
      </c>
      <c r="I107" s="1" t="s">
        <v>127</v>
      </c>
      <c r="J107" s="1" t="s">
        <v>40</v>
      </c>
      <c r="K107" s="8">
        <v>9188</v>
      </c>
      <c r="L107" s="1">
        <v>9</v>
      </c>
      <c r="M107" s="1" t="s">
        <v>52</v>
      </c>
      <c r="N107" s="1" t="s">
        <v>52</v>
      </c>
      <c r="O107" t="str">
        <f t="shared" si="4"/>
        <v>OK</v>
      </c>
      <c r="P107" t="str">
        <f t="shared" si="5"/>
        <v>OK</v>
      </c>
      <c r="Q107">
        <f t="shared" si="6"/>
        <v>9</v>
      </c>
      <c r="R107" t="str">
        <f t="shared" si="7"/>
        <v>OK</v>
      </c>
    </row>
    <row r="108" spans="1:18">
      <c r="A108" s="1" t="s">
        <v>511</v>
      </c>
      <c r="B108" s="1" t="s">
        <v>512</v>
      </c>
      <c r="C108" s="5">
        <v>45971</v>
      </c>
      <c r="D108" s="5">
        <v>45989</v>
      </c>
      <c r="E108" s="1" t="s">
        <v>29</v>
      </c>
      <c r="F108" s="1" t="s">
        <v>77</v>
      </c>
      <c r="G108" s="1">
        <v>77</v>
      </c>
      <c r="H108" s="1" t="s">
        <v>84</v>
      </c>
      <c r="I108" s="1" t="s">
        <v>127</v>
      </c>
      <c r="J108" s="1" t="s">
        <v>32</v>
      </c>
      <c r="K108" s="1">
        <v>11294</v>
      </c>
      <c r="L108" s="1">
        <v>18</v>
      </c>
      <c r="M108" s="1" t="s">
        <v>33</v>
      </c>
      <c r="N108" s="1" t="s">
        <v>33</v>
      </c>
      <c r="O108" t="str">
        <f t="shared" si="4"/>
        <v>OK</v>
      </c>
      <c r="P108" t="str">
        <f t="shared" si="5"/>
        <v>OK</v>
      </c>
      <c r="Q108">
        <f t="shared" si="6"/>
        <v>18</v>
      </c>
      <c r="R108" t="str">
        <f t="shared" si="7"/>
        <v>OK</v>
      </c>
    </row>
    <row r="109" spans="1:18">
      <c r="A109" s="1" t="s">
        <v>515</v>
      </c>
      <c r="B109" s="1" t="s">
        <v>516</v>
      </c>
      <c r="C109" s="5">
        <v>45889</v>
      </c>
      <c r="D109" s="5">
        <v>45909</v>
      </c>
      <c r="E109" s="1" t="s">
        <v>120</v>
      </c>
      <c r="F109" s="1" t="s">
        <v>39</v>
      </c>
      <c r="G109" s="1">
        <v>95</v>
      </c>
      <c r="H109" s="1" t="s">
        <v>104</v>
      </c>
      <c r="I109" s="1" t="s">
        <v>127</v>
      </c>
      <c r="J109" s="1" t="s">
        <v>32</v>
      </c>
      <c r="K109" s="1">
        <v>13859</v>
      </c>
      <c r="L109" s="1">
        <v>20</v>
      </c>
      <c r="M109" s="1" t="s">
        <v>33</v>
      </c>
      <c r="N109" s="1" t="s">
        <v>33</v>
      </c>
      <c r="O109" t="str">
        <f t="shared" si="4"/>
        <v>OK</v>
      </c>
      <c r="P109" t="str">
        <f t="shared" si="5"/>
        <v>OK</v>
      </c>
      <c r="Q109">
        <f t="shared" si="6"/>
        <v>20</v>
      </c>
      <c r="R109" t="str">
        <f t="shared" si="7"/>
        <v>OK</v>
      </c>
    </row>
    <row r="110" spans="1:18">
      <c r="A110" s="1" t="s">
        <v>518</v>
      </c>
      <c r="B110" s="1" t="s">
        <v>519</v>
      </c>
      <c r="C110" s="5">
        <v>45904</v>
      </c>
      <c r="D110" s="5">
        <v>45918</v>
      </c>
      <c r="E110" s="1" t="s">
        <v>149</v>
      </c>
      <c r="F110" s="1" t="s">
        <v>109</v>
      </c>
      <c r="G110" s="1">
        <v>68</v>
      </c>
      <c r="H110" s="1" t="s">
        <v>104</v>
      </c>
      <c r="I110" s="1" t="s">
        <v>65</v>
      </c>
      <c r="J110" s="1" t="s">
        <v>32</v>
      </c>
      <c r="K110" s="8">
        <v>3342</v>
      </c>
      <c r="L110" s="1"/>
      <c r="M110" s="1" t="s">
        <v>52</v>
      </c>
      <c r="N110" s="1" t="s">
        <v>33</v>
      </c>
      <c r="O110" t="str">
        <f t="shared" si="4"/>
        <v>OK</v>
      </c>
      <c r="P110" t="str">
        <f t="shared" si="5"/>
        <v>OK</v>
      </c>
      <c r="Q110">
        <f t="shared" si="6"/>
        <v>14</v>
      </c>
      <c r="R110" t="str">
        <f t="shared" si="7"/>
        <v>Missing recorded stay</v>
      </c>
    </row>
    <row r="111" spans="1:18">
      <c r="A111" s="1" t="s">
        <v>523</v>
      </c>
      <c r="B111" s="1" t="s">
        <v>502</v>
      </c>
      <c r="C111" s="5">
        <v>45750</v>
      </c>
      <c r="D111" s="5">
        <v>45756</v>
      </c>
      <c r="E111" s="1" t="s">
        <v>249</v>
      </c>
      <c r="F111" s="1" t="s">
        <v>96</v>
      </c>
      <c r="G111" s="1">
        <v>10</v>
      </c>
      <c r="H111" s="1"/>
      <c r="I111" s="1" t="s">
        <v>49</v>
      </c>
      <c r="J111" s="1" t="s">
        <v>40</v>
      </c>
      <c r="K111" s="1">
        <v>5528</v>
      </c>
      <c r="L111" s="1"/>
      <c r="M111" s="1" t="s">
        <v>33</v>
      </c>
      <c r="N111" s="1" t="s">
        <v>52</v>
      </c>
      <c r="O111" t="str">
        <f t="shared" si="4"/>
        <v>OK</v>
      </c>
      <c r="P111" t="str">
        <f t="shared" si="5"/>
        <v>OK</v>
      </c>
      <c r="Q111">
        <f t="shared" si="6"/>
        <v>6</v>
      </c>
      <c r="R111" t="str">
        <f t="shared" si="7"/>
        <v>Missing recorded stay</v>
      </c>
    </row>
    <row r="112" spans="1:18">
      <c r="A112" s="1" t="s">
        <v>525</v>
      </c>
      <c r="B112" s="1" t="s">
        <v>526</v>
      </c>
      <c r="C112" s="5">
        <v>45976</v>
      </c>
      <c r="D112" s="5">
        <v>45992</v>
      </c>
      <c r="E112" s="1" t="s">
        <v>120</v>
      </c>
      <c r="F112" s="1" t="s">
        <v>39</v>
      </c>
      <c r="G112" s="1">
        <v>18</v>
      </c>
      <c r="H112" s="1" t="s">
        <v>104</v>
      </c>
      <c r="I112" s="1" t="s">
        <v>49</v>
      </c>
      <c r="J112" s="1" t="s">
        <v>32</v>
      </c>
      <c r="K112" s="1">
        <v>5845</v>
      </c>
      <c r="L112" s="1">
        <v>16</v>
      </c>
      <c r="M112" s="1" t="s">
        <v>52</v>
      </c>
      <c r="N112" s="1" t="s">
        <v>52</v>
      </c>
      <c r="O112" t="str">
        <f t="shared" si="4"/>
        <v>OK</v>
      </c>
      <c r="P112" t="str">
        <f t="shared" si="5"/>
        <v>OK</v>
      </c>
      <c r="Q112">
        <f t="shared" si="6"/>
        <v>16</v>
      </c>
      <c r="R112" t="str">
        <f t="shared" si="7"/>
        <v>OK</v>
      </c>
    </row>
    <row r="113" spans="1:18">
      <c r="A113" s="1" t="s">
        <v>529</v>
      </c>
      <c r="B113" s="1" t="s">
        <v>530</v>
      </c>
      <c r="C113" s="5">
        <v>45677</v>
      </c>
      <c r="D113" s="5">
        <v>45692</v>
      </c>
      <c r="E113" s="1" t="s">
        <v>149</v>
      </c>
      <c r="F113" s="1" t="s">
        <v>109</v>
      </c>
      <c r="G113" s="1">
        <v>70</v>
      </c>
      <c r="H113" s="1" t="s">
        <v>84</v>
      </c>
      <c r="I113" s="1" t="s">
        <v>127</v>
      </c>
      <c r="J113" s="1" t="s">
        <v>22</v>
      </c>
      <c r="K113" s="1">
        <v>6955</v>
      </c>
      <c r="L113" s="1">
        <v>15</v>
      </c>
      <c r="M113" s="1" t="s">
        <v>33</v>
      </c>
      <c r="N113" s="1" t="s">
        <v>33</v>
      </c>
      <c r="O113" t="str">
        <f t="shared" si="4"/>
        <v>OK</v>
      </c>
      <c r="P113" t="str">
        <f t="shared" si="5"/>
        <v>OK</v>
      </c>
      <c r="Q113">
        <f t="shared" si="6"/>
        <v>15</v>
      </c>
      <c r="R113" t="str">
        <f t="shared" si="7"/>
        <v>OK</v>
      </c>
    </row>
    <row r="114" spans="1:18">
      <c r="A114" s="1" t="s">
        <v>534</v>
      </c>
      <c r="B114" s="1" t="s">
        <v>92</v>
      </c>
      <c r="C114" s="5">
        <v>45747</v>
      </c>
      <c r="D114" s="5">
        <v>45752</v>
      </c>
      <c r="E114" s="1" t="s">
        <v>120</v>
      </c>
      <c r="F114" s="1" t="s">
        <v>39</v>
      </c>
      <c r="G114" s="1">
        <v>18</v>
      </c>
      <c r="H114" s="1" t="s">
        <v>104</v>
      </c>
      <c r="I114" s="1" t="s">
        <v>65</v>
      </c>
      <c r="J114" s="1" t="s">
        <v>32</v>
      </c>
      <c r="K114" s="1">
        <v>11604</v>
      </c>
      <c r="L114" s="1">
        <v>5</v>
      </c>
      <c r="M114" s="1" t="s">
        <v>33</v>
      </c>
      <c r="N114" s="1" t="s">
        <v>52</v>
      </c>
      <c r="O114" t="str">
        <f t="shared" si="4"/>
        <v>OK</v>
      </c>
      <c r="P114" t="str">
        <f t="shared" si="5"/>
        <v>OK</v>
      </c>
      <c r="Q114">
        <f t="shared" si="6"/>
        <v>5</v>
      </c>
      <c r="R114" t="str">
        <f t="shared" si="7"/>
        <v>OK</v>
      </c>
    </row>
    <row r="115" spans="1:18">
      <c r="A115" s="1" t="s">
        <v>537</v>
      </c>
      <c r="B115" s="1" t="s">
        <v>538</v>
      </c>
      <c r="C115" s="5"/>
      <c r="D115" s="5">
        <v>45876</v>
      </c>
      <c r="E115" s="1" t="s">
        <v>125</v>
      </c>
      <c r="F115" s="1" t="s">
        <v>126</v>
      </c>
      <c r="G115" s="1">
        <v>53</v>
      </c>
      <c r="H115" s="1" t="s">
        <v>84</v>
      </c>
      <c r="I115" s="1" t="s">
        <v>65</v>
      </c>
      <c r="J115" s="1" t="s">
        <v>40</v>
      </c>
      <c r="K115" s="1">
        <v>843</v>
      </c>
      <c r="L115" s="1">
        <v>1</v>
      </c>
      <c r="M115" s="1" t="s">
        <v>52</v>
      </c>
      <c r="N115" s="1" t="s">
        <v>33</v>
      </c>
      <c r="O115" t="str">
        <f t="shared" si="4"/>
        <v>Missing date</v>
      </c>
      <c r="P115" t="str">
        <f t="shared" si="5"/>
        <v>OK</v>
      </c>
      <c r="Q115" t="str">
        <f t="shared" si="6"/>
        <v/>
      </c>
      <c r="R115" t="str">
        <f t="shared" si="7"/>
        <v>Cannot check dates</v>
      </c>
    </row>
    <row r="116" spans="1:18">
      <c r="A116" s="1" t="s">
        <v>541</v>
      </c>
      <c r="B116" s="1" t="s">
        <v>201</v>
      </c>
      <c r="C116" s="5">
        <v>45843</v>
      </c>
      <c r="D116" s="5">
        <v>45845</v>
      </c>
      <c r="E116" s="1" t="s">
        <v>125</v>
      </c>
      <c r="F116" s="1" t="s">
        <v>126</v>
      </c>
      <c r="G116" s="1">
        <v>47</v>
      </c>
      <c r="H116" s="1" t="s">
        <v>104</v>
      </c>
      <c r="I116" s="1" t="s">
        <v>127</v>
      </c>
      <c r="J116" s="1" t="s">
        <v>40</v>
      </c>
      <c r="K116" s="1">
        <v>10967</v>
      </c>
      <c r="L116" s="1">
        <v>2</v>
      </c>
      <c r="M116" s="1" t="s">
        <v>52</v>
      </c>
      <c r="N116" s="1" t="s">
        <v>33</v>
      </c>
      <c r="O116" t="str">
        <f t="shared" si="4"/>
        <v>OK</v>
      </c>
      <c r="P116" t="str">
        <f t="shared" si="5"/>
        <v>OK</v>
      </c>
      <c r="Q116">
        <f t="shared" si="6"/>
        <v>2</v>
      </c>
      <c r="R116" t="str">
        <f t="shared" si="7"/>
        <v>OK</v>
      </c>
    </row>
    <row r="117" spans="1:18">
      <c r="A117" s="1" t="s">
        <v>544</v>
      </c>
      <c r="B117" s="1" t="s">
        <v>545</v>
      </c>
      <c r="C117" s="5">
        <v>45749</v>
      </c>
      <c r="D117" s="5">
        <v>45769</v>
      </c>
      <c r="E117" s="1"/>
      <c r="F117" s="1" t="s">
        <v>77</v>
      </c>
      <c r="G117" s="1">
        <v>34</v>
      </c>
      <c r="H117" s="1" t="s">
        <v>104</v>
      </c>
      <c r="I117" s="1" t="s">
        <v>127</v>
      </c>
      <c r="J117" s="1" t="s">
        <v>32</v>
      </c>
      <c r="K117" s="1">
        <v>3143</v>
      </c>
      <c r="L117" s="1">
        <v>20</v>
      </c>
      <c r="M117" s="1" t="s">
        <v>33</v>
      </c>
      <c r="N117" s="1" t="s">
        <v>33</v>
      </c>
      <c r="O117" t="str">
        <f t="shared" si="4"/>
        <v>OK</v>
      </c>
      <c r="P117" t="str">
        <f t="shared" si="5"/>
        <v>OK</v>
      </c>
      <c r="Q117">
        <f t="shared" si="6"/>
        <v>20</v>
      </c>
      <c r="R117" t="str">
        <f t="shared" si="7"/>
        <v>OK</v>
      </c>
    </row>
    <row r="118" spans="1:18">
      <c r="A118" s="1" t="s">
        <v>548</v>
      </c>
      <c r="B118" s="1" t="s">
        <v>549</v>
      </c>
      <c r="C118" s="5">
        <v>46007</v>
      </c>
      <c r="D118" s="5">
        <v>46010</v>
      </c>
      <c r="E118" s="1" t="s">
        <v>125</v>
      </c>
      <c r="F118" s="1" t="s">
        <v>126</v>
      </c>
      <c r="G118" s="1">
        <v>29</v>
      </c>
      <c r="H118" s="1"/>
      <c r="I118" s="1" t="s">
        <v>65</v>
      </c>
      <c r="J118" s="1" t="s">
        <v>32</v>
      </c>
      <c r="K118" s="8">
        <v>3153</v>
      </c>
      <c r="L118" s="1">
        <v>3</v>
      </c>
      <c r="M118" s="1" t="s">
        <v>33</v>
      </c>
      <c r="N118" s="1" t="s">
        <v>33</v>
      </c>
      <c r="O118" t="str">
        <f t="shared" si="4"/>
        <v>OK</v>
      </c>
      <c r="P118" t="str">
        <f t="shared" si="5"/>
        <v>OK</v>
      </c>
      <c r="Q118">
        <f t="shared" si="6"/>
        <v>3</v>
      </c>
      <c r="R118" t="str">
        <f t="shared" si="7"/>
        <v>OK</v>
      </c>
    </row>
    <row r="119" spans="1:18">
      <c r="A119" s="1" t="s">
        <v>553</v>
      </c>
      <c r="B119" s="1" t="s">
        <v>554</v>
      </c>
      <c r="C119" s="5">
        <v>45839</v>
      </c>
      <c r="D119" s="5"/>
      <c r="E119" s="1" t="s">
        <v>125</v>
      </c>
      <c r="F119" s="1" t="s">
        <v>126</v>
      </c>
      <c r="G119" s="1">
        <v>82</v>
      </c>
      <c r="H119" s="1" t="s">
        <v>104</v>
      </c>
      <c r="I119" s="1" t="s">
        <v>127</v>
      </c>
      <c r="J119" s="1" t="s">
        <v>22</v>
      </c>
      <c r="K119" s="1">
        <v>4756</v>
      </c>
      <c r="L119" s="1">
        <v>7</v>
      </c>
      <c r="M119" s="1" t="s">
        <v>33</v>
      </c>
      <c r="N119" s="1" t="s">
        <v>52</v>
      </c>
      <c r="O119" t="str">
        <f t="shared" si="4"/>
        <v>Missing date</v>
      </c>
      <c r="P119" t="str">
        <f t="shared" si="5"/>
        <v>OK</v>
      </c>
      <c r="Q119" t="str">
        <f t="shared" si="6"/>
        <v/>
      </c>
      <c r="R119" t="str">
        <f t="shared" si="7"/>
        <v>Cannot check dates</v>
      </c>
    </row>
    <row r="120" spans="1:18">
      <c r="A120" s="1" t="s">
        <v>555</v>
      </c>
      <c r="B120" s="1" t="s">
        <v>556</v>
      </c>
      <c r="C120" s="5">
        <v>45984</v>
      </c>
      <c r="D120" s="5">
        <v>46003</v>
      </c>
      <c r="E120" s="1" t="s">
        <v>29</v>
      </c>
      <c r="F120" s="1" t="s">
        <v>77</v>
      </c>
      <c r="G120" s="1">
        <v>72</v>
      </c>
      <c r="H120" s="1" t="s">
        <v>104</v>
      </c>
      <c r="I120" s="1" t="s">
        <v>49</v>
      </c>
      <c r="J120" s="1" t="s">
        <v>32</v>
      </c>
      <c r="K120" s="1">
        <v>8105</v>
      </c>
      <c r="L120" s="1">
        <v>19</v>
      </c>
      <c r="M120" s="1" t="s">
        <v>52</v>
      </c>
      <c r="N120" s="1" t="s">
        <v>52</v>
      </c>
      <c r="O120" t="str">
        <f t="shared" si="4"/>
        <v>OK</v>
      </c>
      <c r="P120" t="str">
        <f t="shared" si="5"/>
        <v>OK</v>
      </c>
      <c r="Q120">
        <f t="shared" si="6"/>
        <v>19</v>
      </c>
      <c r="R120" t="str">
        <f t="shared" si="7"/>
        <v>OK</v>
      </c>
    </row>
    <row r="121" spans="1:18">
      <c r="A121" s="1" t="s">
        <v>560</v>
      </c>
      <c r="B121" s="1" t="s">
        <v>117</v>
      </c>
      <c r="C121" s="5">
        <v>45797</v>
      </c>
      <c r="D121" s="5">
        <v>45812</v>
      </c>
      <c r="E121" s="1" t="s">
        <v>29</v>
      </c>
      <c r="F121" s="1" t="s">
        <v>77</v>
      </c>
      <c r="G121" s="1">
        <v>64</v>
      </c>
      <c r="H121" s="1" t="s">
        <v>84</v>
      </c>
      <c r="I121" s="1" t="s">
        <v>49</v>
      </c>
      <c r="J121" s="1" t="s">
        <v>40</v>
      </c>
      <c r="K121" s="1">
        <v>13797</v>
      </c>
      <c r="L121" s="1">
        <v>15</v>
      </c>
      <c r="M121" s="1" t="s">
        <v>33</v>
      </c>
      <c r="N121" s="1" t="s">
        <v>33</v>
      </c>
      <c r="O121" t="str">
        <f t="shared" si="4"/>
        <v>OK</v>
      </c>
      <c r="P121" t="str">
        <f t="shared" si="5"/>
        <v>OK</v>
      </c>
      <c r="Q121">
        <f t="shared" si="6"/>
        <v>15</v>
      </c>
      <c r="R121" t="str">
        <f t="shared" si="7"/>
        <v>OK</v>
      </c>
    </row>
    <row r="122" spans="1:18">
      <c r="A122" s="1" t="s">
        <v>564</v>
      </c>
      <c r="B122" s="1" t="s">
        <v>565</v>
      </c>
      <c r="C122" s="5">
        <v>45706</v>
      </c>
      <c r="D122" s="5">
        <v>45722</v>
      </c>
      <c r="E122" s="1" t="s">
        <v>149</v>
      </c>
      <c r="F122" s="1" t="s">
        <v>109</v>
      </c>
      <c r="G122" s="1">
        <v>18</v>
      </c>
      <c r="H122" s="1" t="s">
        <v>48</v>
      </c>
      <c r="I122" s="1" t="s">
        <v>127</v>
      </c>
      <c r="J122" s="1" t="s">
        <v>22</v>
      </c>
      <c r="K122" s="1">
        <v>3045</v>
      </c>
      <c r="L122" s="1">
        <v>16</v>
      </c>
      <c r="M122" s="1" t="s">
        <v>52</v>
      </c>
      <c r="N122" s="1" t="s">
        <v>52</v>
      </c>
      <c r="O122" t="str">
        <f t="shared" si="4"/>
        <v>OK</v>
      </c>
      <c r="P122" t="str">
        <f t="shared" si="5"/>
        <v>OK</v>
      </c>
      <c r="Q122">
        <f t="shared" si="6"/>
        <v>16</v>
      </c>
      <c r="R122" t="str">
        <f t="shared" si="7"/>
        <v>OK</v>
      </c>
    </row>
    <row r="123" spans="1:18">
      <c r="A123" s="1" t="s">
        <v>568</v>
      </c>
      <c r="B123" s="1" t="s">
        <v>569</v>
      </c>
      <c r="C123" s="5">
        <v>45665</v>
      </c>
      <c r="D123" s="5">
        <v>45666</v>
      </c>
      <c r="E123" s="1" t="s">
        <v>120</v>
      </c>
      <c r="F123" s="1" t="s">
        <v>39</v>
      </c>
      <c r="G123" s="1">
        <v>92</v>
      </c>
      <c r="H123" s="1" t="s">
        <v>84</v>
      </c>
      <c r="I123" s="1"/>
      <c r="J123" s="1" t="s">
        <v>40</v>
      </c>
      <c r="K123" s="1">
        <v>4078</v>
      </c>
      <c r="L123" s="1">
        <v>1</v>
      </c>
      <c r="M123" s="1" t="s">
        <v>52</v>
      </c>
      <c r="N123" s="1" t="s">
        <v>52</v>
      </c>
      <c r="O123" t="str">
        <f t="shared" si="4"/>
        <v>OK</v>
      </c>
      <c r="P123" t="str">
        <f t="shared" si="5"/>
        <v>OK</v>
      </c>
      <c r="Q123">
        <f t="shared" si="6"/>
        <v>1</v>
      </c>
      <c r="R123" t="str">
        <f t="shared" si="7"/>
        <v>OK</v>
      </c>
    </row>
    <row r="124" spans="1:18">
      <c r="A124" s="1" t="s">
        <v>572</v>
      </c>
      <c r="B124" s="1" t="s">
        <v>526</v>
      </c>
      <c r="C124" s="5">
        <v>45853</v>
      </c>
      <c r="D124" s="5">
        <v>45865</v>
      </c>
      <c r="E124" s="1" t="s">
        <v>29</v>
      </c>
      <c r="F124" s="1" t="s">
        <v>77</v>
      </c>
      <c r="G124" s="1">
        <v>61</v>
      </c>
      <c r="H124" s="1" t="s">
        <v>84</v>
      </c>
      <c r="I124" s="1"/>
      <c r="J124" s="1" t="s">
        <v>40</v>
      </c>
      <c r="K124" s="1">
        <v>4689</v>
      </c>
      <c r="L124" s="1">
        <v>12</v>
      </c>
      <c r="M124" s="1" t="s">
        <v>33</v>
      </c>
      <c r="N124" s="1" t="s">
        <v>33</v>
      </c>
      <c r="O124" t="str">
        <f t="shared" si="4"/>
        <v>OK</v>
      </c>
      <c r="P124" t="str">
        <f t="shared" si="5"/>
        <v>OK</v>
      </c>
      <c r="Q124">
        <f t="shared" si="6"/>
        <v>12</v>
      </c>
      <c r="R124" t="str">
        <f t="shared" si="7"/>
        <v>OK</v>
      </c>
    </row>
    <row r="125" spans="1:18">
      <c r="A125" s="1" t="s">
        <v>574</v>
      </c>
      <c r="B125" s="1" t="s">
        <v>575</v>
      </c>
      <c r="C125" s="5">
        <v>45697</v>
      </c>
      <c r="D125" s="5">
        <v>45698</v>
      </c>
      <c r="E125" s="1" t="s">
        <v>249</v>
      </c>
      <c r="F125" s="1" t="s">
        <v>96</v>
      </c>
      <c r="G125" s="1">
        <v>15</v>
      </c>
      <c r="H125" s="1" t="s">
        <v>84</v>
      </c>
      <c r="I125" s="1" t="s">
        <v>127</v>
      </c>
      <c r="J125" s="1" t="s">
        <v>32</v>
      </c>
      <c r="K125" s="1">
        <v>10043</v>
      </c>
      <c r="L125" s="1">
        <v>1</v>
      </c>
      <c r="M125" s="1" t="s">
        <v>52</v>
      </c>
      <c r="N125" s="1" t="s">
        <v>33</v>
      </c>
      <c r="O125" t="str">
        <f t="shared" si="4"/>
        <v>OK</v>
      </c>
      <c r="P125" t="str">
        <f t="shared" si="5"/>
        <v>OK</v>
      </c>
      <c r="Q125">
        <f t="shared" si="6"/>
        <v>1</v>
      </c>
      <c r="R125" t="str">
        <f t="shared" si="7"/>
        <v>OK</v>
      </c>
    </row>
    <row r="126" spans="1:18">
      <c r="A126" s="1" t="s">
        <v>577</v>
      </c>
      <c r="B126" s="1" t="s">
        <v>243</v>
      </c>
      <c r="C126" s="5">
        <v>45678</v>
      </c>
      <c r="D126" s="5">
        <v>45695</v>
      </c>
      <c r="E126" s="1" t="s">
        <v>149</v>
      </c>
      <c r="F126" s="1" t="s">
        <v>109</v>
      </c>
      <c r="G126" s="1">
        <v>37</v>
      </c>
      <c r="H126" s="1" t="s">
        <v>84</v>
      </c>
      <c r="I126" s="1"/>
      <c r="J126" s="1" t="s">
        <v>32</v>
      </c>
      <c r="K126" s="1">
        <v>13753</v>
      </c>
      <c r="L126" s="1">
        <v>17</v>
      </c>
      <c r="M126" s="1" t="s">
        <v>33</v>
      </c>
      <c r="N126" s="1" t="s">
        <v>52</v>
      </c>
      <c r="O126" t="str">
        <f t="shared" si="4"/>
        <v>OK</v>
      </c>
      <c r="P126" t="str">
        <f t="shared" si="5"/>
        <v>OK</v>
      </c>
      <c r="Q126">
        <f t="shared" si="6"/>
        <v>17</v>
      </c>
      <c r="R126" t="str">
        <f t="shared" si="7"/>
        <v>OK</v>
      </c>
    </row>
    <row r="127" spans="1:18">
      <c r="A127" s="1" t="s">
        <v>579</v>
      </c>
      <c r="B127" s="1" t="s">
        <v>580</v>
      </c>
      <c r="C127" s="5">
        <v>45825</v>
      </c>
      <c r="D127" s="5">
        <v>45844</v>
      </c>
      <c r="E127" s="1" t="s">
        <v>29</v>
      </c>
      <c r="F127" s="1" t="s">
        <v>77</v>
      </c>
      <c r="G127" s="1">
        <v>68</v>
      </c>
      <c r="H127" s="1" t="s">
        <v>104</v>
      </c>
      <c r="I127" s="1" t="s">
        <v>153</v>
      </c>
      <c r="J127" s="1" t="s">
        <v>22</v>
      </c>
      <c r="K127" s="1">
        <v>13263</v>
      </c>
      <c r="L127" s="1">
        <v>19</v>
      </c>
      <c r="M127" s="1" t="s">
        <v>33</v>
      </c>
      <c r="N127" s="1" t="s">
        <v>52</v>
      </c>
      <c r="O127" t="str">
        <f t="shared" si="4"/>
        <v>OK</v>
      </c>
      <c r="P127" t="str">
        <f t="shared" si="5"/>
        <v>OK</v>
      </c>
      <c r="Q127">
        <f t="shared" si="6"/>
        <v>19</v>
      </c>
      <c r="R127" t="str">
        <f t="shared" si="7"/>
        <v>OK</v>
      </c>
    </row>
    <row r="128" spans="1:18">
      <c r="A128" s="1" t="s">
        <v>190</v>
      </c>
      <c r="B128" s="1" t="s">
        <v>191</v>
      </c>
      <c r="C128" s="5">
        <v>45964</v>
      </c>
      <c r="D128" s="5">
        <v>45966</v>
      </c>
      <c r="E128" s="1" t="s">
        <v>120</v>
      </c>
      <c r="F128" s="1" t="s">
        <v>83</v>
      </c>
      <c r="G128" s="1">
        <v>41</v>
      </c>
      <c r="H128" s="1" t="s">
        <v>84</v>
      </c>
      <c r="I128" s="1" t="s">
        <v>127</v>
      </c>
      <c r="J128" s="1" t="s">
        <v>22</v>
      </c>
      <c r="K128" s="1">
        <v>9999</v>
      </c>
      <c r="L128" s="1">
        <v>2</v>
      </c>
      <c r="M128" s="1" t="s">
        <v>52</v>
      </c>
      <c r="N128" s="1" t="s">
        <v>33</v>
      </c>
      <c r="O128" t="str">
        <f t="shared" si="4"/>
        <v>OK</v>
      </c>
      <c r="P128" t="str">
        <f t="shared" si="5"/>
        <v>OK</v>
      </c>
      <c r="Q128">
        <f t="shared" si="6"/>
        <v>2</v>
      </c>
      <c r="R128" t="str">
        <f t="shared" si="7"/>
        <v>OK</v>
      </c>
    </row>
    <row r="129" spans="1:18">
      <c r="A129" s="1" t="s">
        <v>583</v>
      </c>
      <c r="B129" s="1" t="s">
        <v>584</v>
      </c>
      <c r="C129" s="5">
        <v>45709</v>
      </c>
      <c r="D129" s="5">
        <v>45711</v>
      </c>
      <c r="E129" s="1" t="s">
        <v>249</v>
      </c>
      <c r="F129" s="1" t="s">
        <v>96</v>
      </c>
      <c r="G129" s="1">
        <v>10</v>
      </c>
      <c r="H129" s="1" t="s">
        <v>104</v>
      </c>
      <c r="I129" s="1" t="s">
        <v>65</v>
      </c>
      <c r="J129" s="1" t="s">
        <v>40</v>
      </c>
      <c r="K129" s="1">
        <v>5103</v>
      </c>
      <c r="L129" s="1">
        <v>2</v>
      </c>
      <c r="M129" s="1" t="s">
        <v>33</v>
      </c>
      <c r="N129" s="1" t="s">
        <v>52</v>
      </c>
      <c r="O129" t="str">
        <f t="shared" si="4"/>
        <v>OK</v>
      </c>
      <c r="P129" t="str">
        <f t="shared" si="5"/>
        <v>OK</v>
      </c>
      <c r="Q129">
        <f t="shared" si="6"/>
        <v>2</v>
      </c>
      <c r="R129" t="str">
        <f t="shared" si="7"/>
        <v>OK</v>
      </c>
    </row>
    <row r="130" spans="1:18">
      <c r="A130" s="1" t="s">
        <v>587</v>
      </c>
      <c r="B130" s="1" t="s">
        <v>588</v>
      </c>
      <c r="C130" s="5"/>
      <c r="D130" s="5">
        <v>45897</v>
      </c>
      <c r="E130" s="1" t="s">
        <v>149</v>
      </c>
      <c r="F130" s="1" t="s">
        <v>109</v>
      </c>
      <c r="G130" s="1">
        <v>53</v>
      </c>
      <c r="H130" s="1" t="s">
        <v>84</v>
      </c>
      <c r="I130" s="1" t="s">
        <v>127</v>
      </c>
      <c r="J130" s="1" t="s">
        <v>22</v>
      </c>
      <c r="K130" s="1">
        <v>10066</v>
      </c>
      <c r="L130" s="1">
        <v>11</v>
      </c>
      <c r="M130" s="1" t="s">
        <v>33</v>
      </c>
      <c r="N130" s="1" t="s">
        <v>33</v>
      </c>
      <c r="O130" t="str">
        <f t="shared" si="4"/>
        <v>Missing date</v>
      </c>
      <c r="P130" t="str">
        <f t="shared" si="5"/>
        <v>OK</v>
      </c>
      <c r="Q130" t="str">
        <f t="shared" si="6"/>
        <v/>
      </c>
      <c r="R130" t="str">
        <f t="shared" si="7"/>
        <v>Cannot check dates</v>
      </c>
    </row>
    <row r="131" spans="1:18">
      <c r="A131" s="1" t="s">
        <v>591</v>
      </c>
      <c r="B131" s="1" t="s">
        <v>592</v>
      </c>
      <c r="C131" s="5">
        <v>45909</v>
      </c>
      <c r="D131" s="5">
        <v>45926</v>
      </c>
      <c r="E131" s="1" t="s">
        <v>29</v>
      </c>
      <c r="F131" s="1" t="s">
        <v>77</v>
      </c>
      <c r="G131" s="1">
        <v>51</v>
      </c>
      <c r="H131" s="1" t="s">
        <v>84</v>
      </c>
      <c r="I131" s="1" t="s">
        <v>127</v>
      </c>
      <c r="J131" s="1" t="s">
        <v>22</v>
      </c>
      <c r="K131" s="1"/>
      <c r="L131" s="1">
        <v>17</v>
      </c>
      <c r="M131" s="1" t="s">
        <v>33</v>
      </c>
      <c r="N131" s="1" t="s">
        <v>33</v>
      </c>
      <c r="O131" t="str">
        <f t="shared" ref="O131:O194" si="8">IF(OR(C131="",D131=""),"Missing date",IF(D131&lt;C131,"Check dates","OK"))</f>
        <v>OK</v>
      </c>
      <c r="P131" t="str">
        <f t="shared" ref="P131:P194" si="9">IF(K131="","Missing cost",IF(ISNUMBER(K131),IF(K131&lt;0,"Negative cost",IF(K131&gt;100000,"Review high cost","OK")),"Check format"))</f>
        <v>Missing cost</v>
      </c>
      <c r="Q131">
        <f t="shared" ref="Q131:Q194" si="10">IF(AND(ISNUMBER(C131),ISNUMBER(D131)),IF(D131&gt;=C131,D131-C131,""),"")</f>
        <v>17</v>
      </c>
      <c r="R131" t="str">
        <f t="shared" ref="R131:R194" si="11">IF(Q131="","Cannot check dates",IF(L131="","Missing recorded stay",IF(ISNUMBER(L131),IF(L131=Q131,"OK","Mismatch"),"Check format")))</f>
        <v>OK</v>
      </c>
    </row>
    <row r="132" spans="1:18">
      <c r="A132" s="1" t="s">
        <v>594</v>
      </c>
      <c r="B132" s="1" t="s">
        <v>595</v>
      </c>
      <c r="C132" s="5">
        <v>45779</v>
      </c>
      <c r="D132" s="5">
        <v>45787</v>
      </c>
      <c r="E132" s="1" t="s">
        <v>149</v>
      </c>
      <c r="F132" s="1" t="s">
        <v>109</v>
      </c>
      <c r="G132" s="1">
        <v>67</v>
      </c>
      <c r="H132" s="1" t="s">
        <v>84</v>
      </c>
      <c r="I132" s="1" t="s">
        <v>65</v>
      </c>
      <c r="J132" s="1" t="s">
        <v>40</v>
      </c>
      <c r="K132" s="1">
        <v>3370</v>
      </c>
      <c r="L132" s="1">
        <v>8</v>
      </c>
      <c r="M132" s="1" t="s">
        <v>33</v>
      </c>
      <c r="N132" s="1" t="s">
        <v>52</v>
      </c>
      <c r="O132" t="str">
        <f t="shared" si="8"/>
        <v>OK</v>
      </c>
      <c r="P132" t="str">
        <f t="shared" si="9"/>
        <v>OK</v>
      </c>
      <c r="Q132">
        <f t="shared" si="10"/>
        <v>8</v>
      </c>
      <c r="R132" t="str">
        <f t="shared" si="11"/>
        <v>OK</v>
      </c>
    </row>
    <row r="133" spans="1:18">
      <c r="A133" s="1" t="s">
        <v>599</v>
      </c>
      <c r="B133" s="1" t="s">
        <v>600</v>
      </c>
      <c r="C133" s="5">
        <v>45755</v>
      </c>
      <c r="D133" s="5">
        <v>45764</v>
      </c>
      <c r="E133" s="1" t="s">
        <v>120</v>
      </c>
      <c r="F133" s="1" t="s">
        <v>39</v>
      </c>
      <c r="G133" s="1">
        <v>59</v>
      </c>
      <c r="H133" s="1" t="s">
        <v>104</v>
      </c>
      <c r="I133" s="1" t="s">
        <v>65</v>
      </c>
      <c r="J133" s="1" t="s">
        <v>40</v>
      </c>
      <c r="K133" s="1">
        <v>11660</v>
      </c>
      <c r="L133" s="1">
        <v>9</v>
      </c>
      <c r="M133" s="1" t="s">
        <v>33</v>
      </c>
      <c r="N133" s="1" t="s">
        <v>33</v>
      </c>
      <c r="O133" t="str">
        <f t="shared" si="8"/>
        <v>OK</v>
      </c>
      <c r="P133" t="str">
        <f t="shared" si="9"/>
        <v>OK</v>
      </c>
      <c r="Q133">
        <f t="shared" si="10"/>
        <v>9</v>
      </c>
      <c r="R133" t="str">
        <f t="shared" si="11"/>
        <v>OK</v>
      </c>
    </row>
    <row r="134" spans="1:18">
      <c r="A134" s="1" t="s">
        <v>603</v>
      </c>
      <c r="B134" s="1" t="s">
        <v>604</v>
      </c>
      <c r="C134" s="5">
        <v>45949</v>
      </c>
      <c r="D134" s="5">
        <v>45964</v>
      </c>
      <c r="E134" s="1" t="s">
        <v>29</v>
      </c>
      <c r="F134" s="1" t="s">
        <v>77</v>
      </c>
      <c r="G134" s="1">
        <v>25</v>
      </c>
      <c r="H134" s="1" t="s">
        <v>84</v>
      </c>
      <c r="I134" s="1" t="s">
        <v>65</v>
      </c>
      <c r="J134" s="1" t="s">
        <v>32</v>
      </c>
      <c r="K134" s="1">
        <v>3345</v>
      </c>
      <c r="L134" s="1"/>
      <c r="M134" s="1" t="s">
        <v>52</v>
      </c>
      <c r="N134" s="1" t="s">
        <v>52</v>
      </c>
      <c r="O134" t="str">
        <f t="shared" si="8"/>
        <v>OK</v>
      </c>
      <c r="P134" t="str">
        <f t="shared" si="9"/>
        <v>OK</v>
      </c>
      <c r="Q134">
        <f t="shared" si="10"/>
        <v>15</v>
      </c>
      <c r="R134" t="str">
        <f t="shared" si="11"/>
        <v>Missing recorded stay</v>
      </c>
    </row>
    <row r="135" spans="1:18">
      <c r="A135" s="1" t="s">
        <v>608</v>
      </c>
      <c r="B135" s="1" t="s">
        <v>458</v>
      </c>
      <c r="C135" s="5"/>
      <c r="D135" s="5">
        <v>45866</v>
      </c>
      <c r="E135" s="1" t="s">
        <v>29</v>
      </c>
      <c r="F135" s="1" t="s">
        <v>77</v>
      </c>
      <c r="G135" s="1">
        <v>94</v>
      </c>
      <c r="H135" s="1" t="s">
        <v>104</v>
      </c>
      <c r="I135" s="1" t="s">
        <v>49</v>
      </c>
      <c r="J135" s="1" t="s">
        <v>40</v>
      </c>
      <c r="K135" s="1">
        <v>4149</v>
      </c>
      <c r="L135" s="1">
        <v>10</v>
      </c>
      <c r="M135" s="1" t="s">
        <v>33</v>
      </c>
      <c r="N135" s="1" t="s">
        <v>33</v>
      </c>
      <c r="O135" t="str">
        <f t="shared" si="8"/>
        <v>Missing date</v>
      </c>
      <c r="P135" t="str">
        <f t="shared" si="9"/>
        <v>OK</v>
      </c>
      <c r="Q135" t="str">
        <f t="shared" si="10"/>
        <v/>
      </c>
      <c r="R135" t="str">
        <f t="shared" si="11"/>
        <v>Cannot check dates</v>
      </c>
    </row>
    <row r="136" spans="1:18">
      <c r="A136" s="1" t="s">
        <v>611</v>
      </c>
      <c r="B136" s="1" t="s">
        <v>612</v>
      </c>
      <c r="C136" s="5">
        <v>45774</v>
      </c>
      <c r="D136" s="5">
        <v>45783</v>
      </c>
      <c r="E136" s="1" t="s">
        <v>249</v>
      </c>
      <c r="F136" s="1" t="s">
        <v>96</v>
      </c>
      <c r="G136" s="1">
        <v>12</v>
      </c>
      <c r="H136" s="1" t="s">
        <v>84</v>
      </c>
      <c r="I136" s="1" t="s">
        <v>153</v>
      </c>
      <c r="J136" s="1" t="s">
        <v>32</v>
      </c>
      <c r="K136" s="1">
        <v>9387</v>
      </c>
      <c r="L136" s="1">
        <v>9</v>
      </c>
      <c r="M136" s="1" t="s">
        <v>33</v>
      </c>
      <c r="N136" s="1" t="s">
        <v>52</v>
      </c>
      <c r="O136" t="str">
        <f t="shared" si="8"/>
        <v>OK</v>
      </c>
      <c r="P136" t="str">
        <f t="shared" si="9"/>
        <v>OK</v>
      </c>
      <c r="Q136">
        <f t="shared" si="10"/>
        <v>9</v>
      </c>
      <c r="R136" t="str">
        <f t="shared" si="11"/>
        <v>OK</v>
      </c>
    </row>
    <row r="137" spans="1:18">
      <c r="A137" s="1" t="s">
        <v>616</v>
      </c>
      <c r="B137" s="1" t="s">
        <v>490</v>
      </c>
      <c r="C137" s="5">
        <v>45810</v>
      </c>
      <c r="D137" s="5">
        <v>45815</v>
      </c>
      <c r="E137" s="1" t="s">
        <v>120</v>
      </c>
      <c r="F137" s="1" t="s">
        <v>39</v>
      </c>
      <c r="G137" s="1">
        <v>27</v>
      </c>
      <c r="H137" s="1" t="s">
        <v>84</v>
      </c>
      <c r="I137" s="1" t="s">
        <v>49</v>
      </c>
      <c r="J137" s="1" t="s">
        <v>22</v>
      </c>
      <c r="K137" s="1"/>
      <c r="L137" s="1">
        <v>5</v>
      </c>
      <c r="M137" s="1" t="s">
        <v>52</v>
      </c>
      <c r="N137" s="1" t="s">
        <v>33</v>
      </c>
      <c r="O137" t="str">
        <f t="shared" si="8"/>
        <v>OK</v>
      </c>
      <c r="P137" t="str">
        <f t="shared" si="9"/>
        <v>Missing cost</v>
      </c>
      <c r="Q137">
        <f t="shared" si="10"/>
        <v>5</v>
      </c>
      <c r="R137" t="str">
        <f t="shared" si="11"/>
        <v>OK</v>
      </c>
    </row>
    <row r="138" spans="1:18">
      <c r="A138" s="1" t="s">
        <v>619</v>
      </c>
      <c r="B138" s="1" t="s">
        <v>620</v>
      </c>
      <c r="C138" s="5">
        <v>45761</v>
      </c>
      <c r="D138" s="5">
        <v>45769</v>
      </c>
      <c r="E138" s="1" t="s">
        <v>29</v>
      </c>
      <c r="F138" s="1" t="s">
        <v>77</v>
      </c>
      <c r="G138" s="1">
        <v>76</v>
      </c>
      <c r="H138" s="1" t="s">
        <v>84</v>
      </c>
      <c r="I138" s="1" t="s">
        <v>127</v>
      </c>
      <c r="J138" s="1" t="s">
        <v>32</v>
      </c>
      <c r="K138" s="1">
        <v>782</v>
      </c>
      <c r="L138" s="1">
        <v>8</v>
      </c>
      <c r="M138" s="1" t="s">
        <v>33</v>
      </c>
      <c r="N138" s="1" t="s">
        <v>52</v>
      </c>
      <c r="O138" t="str">
        <f t="shared" si="8"/>
        <v>OK</v>
      </c>
      <c r="P138" t="str">
        <f t="shared" si="9"/>
        <v>OK</v>
      </c>
      <c r="Q138">
        <f t="shared" si="10"/>
        <v>8</v>
      </c>
      <c r="R138" t="str">
        <f t="shared" si="11"/>
        <v>OK</v>
      </c>
    </row>
    <row r="139" spans="1:18">
      <c r="A139" s="1" t="s">
        <v>624</v>
      </c>
      <c r="B139" s="1" t="s">
        <v>625</v>
      </c>
      <c r="C139" s="5">
        <v>45883</v>
      </c>
      <c r="D139" s="5">
        <v>45895</v>
      </c>
      <c r="E139" s="1" t="s">
        <v>120</v>
      </c>
      <c r="F139" s="1" t="s">
        <v>39</v>
      </c>
      <c r="G139" s="1">
        <v>89</v>
      </c>
      <c r="H139" s="1" t="s">
        <v>84</v>
      </c>
      <c r="I139" s="1" t="s">
        <v>65</v>
      </c>
      <c r="J139" s="1" t="s">
        <v>40</v>
      </c>
      <c r="K139" s="1">
        <v>5761</v>
      </c>
      <c r="L139" s="1">
        <v>12</v>
      </c>
      <c r="M139" s="1" t="s">
        <v>52</v>
      </c>
      <c r="N139" s="1" t="s">
        <v>33</v>
      </c>
      <c r="O139" t="str">
        <f t="shared" si="8"/>
        <v>OK</v>
      </c>
      <c r="P139" t="str">
        <f t="shared" si="9"/>
        <v>OK</v>
      </c>
      <c r="Q139">
        <f t="shared" si="10"/>
        <v>12</v>
      </c>
      <c r="R139" t="str">
        <f t="shared" si="11"/>
        <v>OK</v>
      </c>
    </row>
    <row r="140" spans="1:18">
      <c r="A140" s="1" t="s">
        <v>627</v>
      </c>
      <c r="B140" s="1" t="s">
        <v>628</v>
      </c>
      <c r="C140" s="5">
        <v>45957</v>
      </c>
      <c r="D140" s="5">
        <v>45959</v>
      </c>
      <c r="E140" s="1" t="s">
        <v>120</v>
      </c>
      <c r="F140" s="1" t="s">
        <v>39</v>
      </c>
      <c r="G140" s="1">
        <v>58</v>
      </c>
      <c r="H140" s="1" t="s">
        <v>104</v>
      </c>
      <c r="I140" s="1" t="s">
        <v>65</v>
      </c>
      <c r="J140" s="1" t="s">
        <v>22</v>
      </c>
      <c r="K140" s="1">
        <v>2500</v>
      </c>
      <c r="L140" s="1">
        <v>2</v>
      </c>
      <c r="M140" s="1" t="s">
        <v>52</v>
      </c>
      <c r="N140" s="1" t="s">
        <v>33</v>
      </c>
      <c r="O140" t="str">
        <f t="shared" si="8"/>
        <v>OK</v>
      </c>
      <c r="P140" t="str">
        <f t="shared" si="9"/>
        <v>OK</v>
      </c>
      <c r="Q140">
        <f t="shared" si="10"/>
        <v>2</v>
      </c>
      <c r="R140" t="str">
        <f t="shared" si="11"/>
        <v>OK</v>
      </c>
    </row>
    <row r="141" spans="1:18">
      <c r="A141" s="1" t="s">
        <v>632</v>
      </c>
      <c r="B141" s="1" t="s">
        <v>376</v>
      </c>
      <c r="C141" s="5">
        <v>46002</v>
      </c>
      <c r="D141" s="5">
        <v>46009</v>
      </c>
      <c r="E141" s="1" t="s">
        <v>125</v>
      </c>
      <c r="F141" s="1" t="s">
        <v>126</v>
      </c>
      <c r="G141" s="1">
        <v>79</v>
      </c>
      <c r="H141" s="1" t="s">
        <v>84</v>
      </c>
      <c r="I141" s="1" t="s">
        <v>65</v>
      </c>
      <c r="J141" s="1" t="s">
        <v>40</v>
      </c>
      <c r="K141" s="1"/>
      <c r="L141" s="1">
        <v>7</v>
      </c>
      <c r="M141" s="1" t="s">
        <v>33</v>
      </c>
      <c r="N141" s="1" t="s">
        <v>52</v>
      </c>
      <c r="O141" t="str">
        <f t="shared" si="8"/>
        <v>OK</v>
      </c>
      <c r="P141" t="str">
        <f t="shared" si="9"/>
        <v>Missing cost</v>
      </c>
      <c r="Q141">
        <f t="shared" si="10"/>
        <v>7</v>
      </c>
      <c r="R141" t="str">
        <f t="shared" si="11"/>
        <v>OK</v>
      </c>
    </row>
    <row r="142" spans="1:18">
      <c r="A142" s="1" t="s">
        <v>635</v>
      </c>
      <c r="B142" s="1" t="s">
        <v>636</v>
      </c>
      <c r="C142" s="5"/>
      <c r="D142" s="5">
        <v>45996</v>
      </c>
      <c r="E142" s="1" t="s">
        <v>18</v>
      </c>
      <c r="F142" s="1" t="s">
        <v>83</v>
      </c>
      <c r="G142" s="1">
        <v>55</v>
      </c>
      <c r="H142" s="1" t="s">
        <v>48</v>
      </c>
      <c r="I142" s="1" t="s">
        <v>127</v>
      </c>
      <c r="J142" s="1" t="s">
        <v>32</v>
      </c>
      <c r="K142" s="1"/>
      <c r="L142" s="1">
        <v>11</v>
      </c>
      <c r="M142" s="1" t="s">
        <v>33</v>
      </c>
      <c r="N142" s="1" t="s">
        <v>52</v>
      </c>
      <c r="O142" t="str">
        <f t="shared" si="8"/>
        <v>Missing date</v>
      </c>
      <c r="P142" t="str">
        <f t="shared" si="9"/>
        <v>Missing cost</v>
      </c>
      <c r="Q142" t="str">
        <f t="shared" si="10"/>
        <v/>
      </c>
      <c r="R142" t="str">
        <f t="shared" si="11"/>
        <v>Cannot check dates</v>
      </c>
    </row>
    <row r="143" spans="1:18">
      <c r="A143" s="1" t="s">
        <v>637</v>
      </c>
      <c r="B143" s="1" t="s">
        <v>319</v>
      </c>
      <c r="C143" s="5">
        <v>45745</v>
      </c>
      <c r="D143" s="5"/>
      <c r="E143" s="1" t="s">
        <v>125</v>
      </c>
      <c r="F143" s="1" t="s">
        <v>126</v>
      </c>
      <c r="G143" s="1">
        <v>89</v>
      </c>
      <c r="H143" s="1" t="s">
        <v>84</v>
      </c>
      <c r="I143" s="1" t="s">
        <v>65</v>
      </c>
      <c r="J143" s="1" t="s">
        <v>40</v>
      </c>
      <c r="K143" s="1">
        <v>13757</v>
      </c>
      <c r="L143" s="1">
        <v>20</v>
      </c>
      <c r="M143" s="1" t="s">
        <v>33</v>
      </c>
      <c r="N143" s="1" t="s">
        <v>52</v>
      </c>
      <c r="O143" t="str">
        <f t="shared" si="8"/>
        <v>Missing date</v>
      </c>
      <c r="P143" t="str">
        <f t="shared" si="9"/>
        <v>OK</v>
      </c>
      <c r="Q143" t="str">
        <f t="shared" si="10"/>
        <v/>
      </c>
      <c r="R143" t="str">
        <f t="shared" si="11"/>
        <v>Cannot check dates</v>
      </c>
    </row>
    <row r="144" spans="1:18">
      <c r="A144" s="1" t="s">
        <v>639</v>
      </c>
      <c r="B144" s="1" t="s">
        <v>640</v>
      </c>
      <c r="C144" s="5">
        <v>45873</v>
      </c>
      <c r="D144" s="5">
        <v>45875</v>
      </c>
      <c r="E144" s="1" t="s">
        <v>120</v>
      </c>
      <c r="F144" s="1" t="s">
        <v>39</v>
      </c>
      <c r="G144" s="1">
        <v>20</v>
      </c>
      <c r="H144" s="1" t="s">
        <v>84</v>
      </c>
      <c r="I144" s="1" t="s">
        <v>65</v>
      </c>
      <c r="J144" s="1" t="s">
        <v>40</v>
      </c>
      <c r="K144" s="1"/>
      <c r="L144" s="1">
        <v>2</v>
      </c>
      <c r="M144" s="1" t="s">
        <v>33</v>
      </c>
      <c r="N144" s="1" t="s">
        <v>52</v>
      </c>
      <c r="O144" t="str">
        <f t="shared" si="8"/>
        <v>OK</v>
      </c>
      <c r="P144" t="str">
        <f t="shared" si="9"/>
        <v>Missing cost</v>
      </c>
      <c r="Q144">
        <f t="shared" si="10"/>
        <v>2</v>
      </c>
      <c r="R144" t="str">
        <f t="shared" si="11"/>
        <v>OK</v>
      </c>
    </row>
    <row r="145" spans="1:18">
      <c r="A145" s="1" t="s">
        <v>642</v>
      </c>
      <c r="B145" s="1" t="s">
        <v>643</v>
      </c>
      <c r="C145" s="5">
        <v>45981</v>
      </c>
      <c r="D145" s="5">
        <v>46000</v>
      </c>
      <c r="E145" s="1" t="s">
        <v>120</v>
      </c>
      <c r="F145" s="1" t="s">
        <v>39</v>
      </c>
      <c r="G145" s="1">
        <v>92</v>
      </c>
      <c r="H145" s="1" t="s">
        <v>84</v>
      </c>
      <c r="I145" s="1" t="s">
        <v>127</v>
      </c>
      <c r="J145" s="1" t="s">
        <v>40</v>
      </c>
      <c r="K145" s="1">
        <v>10623</v>
      </c>
      <c r="L145" s="1">
        <v>19</v>
      </c>
      <c r="M145" s="1" t="s">
        <v>52</v>
      </c>
      <c r="N145" s="1" t="s">
        <v>33</v>
      </c>
      <c r="O145" t="str">
        <f t="shared" si="8"/>
        <v>OK</v>
      </c>
      <c r="P145" t="str">
        <f t="shared" si="9"/>
        <v>OK</v>
      </c>
      <c r="Q145">
        <f t="shared" si="10"/>
        <v>19</v>
      </c>
      <c r="R145" t="str">
        <f t="shared" si="11"/>
        <v>OK</v>
      </c>
    </row>
    <row r="146" spans="1:18">
      <c r="A146" s="1" t="s">
        <v>647</v>
      </c>
      <c r="B146" s="1" t="s">
        <v>648</v>
      </c>
      <c r="C146" s="5">
        <v>45662</v>
      </c>
      <c r="D146" s="5">
        <v>45667</v>
      </c>
      <c r="E146" s="1" t="s">
        <v>125</v>
      </c>
      <c r="F146" s="1" t="s">
        <v>126</v>
      </c>
      <c r="G146" s="1">
        <v>74</v>
      </c>
      <c r="H146" s="1" t="s">
        <v>84</v>
      </c>
      <c r="I146" s="1" t="s">
        <v>49</v>
      </c>
      <c r="J146" s="1" t="s">
        <v>22</v>
      </c>
      <c r="K146" s="1">
        <v>3841</v>
      </c>
      <c r="L146" s="1">
        <v>5</v>
      </c>
      <c r="M146" s="1" t="s">
        <v>52</v>
      </c>
      <c r="N146" s="1" t="s">
        <v>33</v>
      </c>
      <c r="O146" t="str">
        <f t="shared" si="8"/>
        <v>OK</v>
      </c>
      <c r="P146" t="str">
        <f t="shared" si="9"/>
        <v>OK</v>
      </c>
      <c r="Q146">
        <f t="shared" si="10"/>
        <v>5</v>
      </c>
      <c r="R146" t="str">
        <f t="shared" si="11"/>
        <v>OK</v>
      </c>
    </row>
    <row r="147" spans="1:18">
      <c r="A147" s="1" t="s">
        <v>651</v>
      </c>
      <c r="B147" s="1" t="s">
        <v>652</v>
      </c>
      <c r="C147" s="5">
        <v>45822</v>
      </c>
      <c r="D147" s="5">
        <v>45826</v>
      </c>
      <c r="E147" s="1" t="s">
        <v>125</v>
      </c>
      <c r="F147" s="1" t="s">
        <v>126</v>
      </c>
      <c r="G147" s="1">
        <v>91</v>
      </c>
      <c r="H147" s="1" t="s">
        <v>84</v>
      </c>
      <c r="I147" s="1" t="s">
        <v>65</v>
      </c>
      <c r="J147" s="1" t="s">
        <v>22</v>
      </c>
      <c r="K147" s="1">
        <v>810</v>
      </c>
      <c r="L147" s="1">
        <v>4</v>
      </c>
      <c r="M147" s="1" t="s">
        <v>52</v>
      </c>
      <c r="N147" s="1" t="s">
        <v>33</v>
      </c>
      <c r="O147" t="str">
        <f t="shared" si="8"/>
        <v>OK</v>
      </c>
      <c r="P147" t="str">
        <f t="shared" si="9"/>
        <v>OK</v>
      </c>
      <c r="Q147">
        <f t="shared" si="10"/>
        <v>4</v>
      </c>
      <c r="R147" t="str">
        <f t="shared" si="11"/>
        <v>OK</v>
      </c>
    </row>
    <row r="148" spans="1:18">
      <c r="A148" s="1" t="s">
        <v>654</v>
      </c>
      <c r="B148" s="1" t="s">
        <v>554</v>
      </c>
      <c r="C148" s="5">
        <v>45968</v>
      </c>
      <c r="D148" s="5"/>
      <c r="E148" s="1" t="s">
        <v>18</v>
      </c>
      <c r="F148" s="1" t="s">
        <v>83</v>
      </c>
      <c r="G148" s="1">
        <v>67</v>
      </c>
      <c r="H148" s="1" t="s">
        <v>104</v>
      </c>
      <c r="I148" s="1" t="s">
        <v>127</v>
      </c>
      <c r="J148" s="1" t="s">
        <v>22</v>
      </c>
      <c r="K148" s="1">
        <v>7844</v>
      </c>
      <c r="L148" s="1">
        <v>19</v>
      </c>
      <c r="M148" s="1" t="s">
        <v>52</v>
      </c>
      <c r="N148" s="1" t="s">
        <v>52</v>
      </c>
      <c r="O148" t="str">
        <f t="shared" si="8"/>
        <v>Missing date</v>
      </c>
      <c r="P148" t="str">
        <f t="shared" si="9"/>
        <v>OK</v>
      </c>
      <c r="Q148" t="str">
        <f t="shared" si="10"/>
        <v/>
      </c>
      <c r="R148" t="str">
        <f t="shared" si="11"/>
        <v>Cannot check dates</v>
      </c>
    </row>
    <row r="149" spans="1:18">
      <c r="A149" s="1" t="s">
        <v>655</v>
      </c>
      <c r="B149" s="1" t="s">
        <v>177</v>
      </c>
      <c r="C149" s="5">
        <v>45798</v>
      </c>
      <c r="D149" s="5"/>
      <c r="E149" s="1" t="s">
        <v>125</v>
      </c>
      <c r="F149" s="1" t="s">
        <v>126</v>
      </c>
      <c r="G149" s="1">
        <v>41</v>
      </c>
      <c r="H149" s="1" t="s">
        <v>104</v>
      </c>
      <c r="I149" s="1" t="s">
        <v>127</v>
      </c>
      <c r="J149" s="1" t="s">
        <v>40</v>
      </c>
      <c r="K149" s="1">
        <v>2370</v>
      </c>
      <c r="L149" s="1">
        <v>2</v>
      </c>
      <c r="M149" s="1" t="s">
        <v>52</v>
      </c>
      <c r="N149" s="1" t="s">
        <v>33</v>
      </c>
      <c r="O149" t="str">
        <f t="shared" si="8"/>
        <v>Missing date</v>
      </c>
      <c r="P149" t="str">
        <f t="shared" si="9"/>
        <v>OK</v>
      </c>
      <c r="Q149" t="str">
        <f t="shared" si="10"/>
        <v/>
      </c>
      <c r="R149" t="str">
        <f t="shared" si="11"/>
        <v>Cannot check dates</v>
      </c>
    </row>
    <row r="150" spans="1:18">
      <c r="A150" s="1" t="s">
        <v>656</v>
      </c>
      <c r="B150" s="1" t="s">
        <v>223</v>
      </c>
      <c r="C150" s="5">
        <v>45715</v>
      </c>
      <c r="D150" s="5">
        <v>45731</v>
      </c>
      <c r="E150" s="1" t="s">
        <v>18</v>
      </c>
      <c r="F150" s="1" t="s">
        <v>83</v>
      </c>
      <c r="G150" s="1">
        <v>66</v>
      </c>
      <c r="H150" s="1" t="s">
        <v>104</v>
      </c>
      <c r="I150" s="1" t="s">
        <v>127</v>
      </c>
      <c r="J150" s="1" t="s">
        <v>22</v>
      </c>
      <c r="K150" s="1">
        <v>-250</v>
      </c>
      <c r="L150" s="1">
        <v>16</v>
      </c>
      <c r="M150" s="1" t="s">
        <v>33</v>
      </c>
      <c r="N150" s="1" t="s">
        <v>52</v>
      </c>
      <c r="O150" t="str">
        <f t="shared" si="8"/>
        <v>OK</v>
      </c>
      <c r="P150" t="str">
        <f t="shared" si="9"/>
        <v>Negative cost</v>
      </c>
      <c r="Q150">
        <f t="shared" si="10"/>
        <v>16</v>
      </c>
      <c r="R150" t="str">
        <f t="shared" si="11"/>
        <v>OK</v>
      </c>
    </row>
    <row r="151" spans="1:18">
      <c r="A151" s="1" t="s">
        <v>658</v>
      </c>
      <c r="B151" s="1" t="s">
        <v>659</v>
      </c>
      <c r="C151" s="5">
        <v>45913</v>
      </c>
      <c r="D151" s="5">
        <v>45915</v>
      </c>
      <c r="E151" s="1" t="s">
        <v>149</v>
      </c>
      <c r="F151" s="1" t="s">
        <v>109</v>
      </c>
      <c r="G151" s="1">
        <v>84</v>
      </c>
      <c r="H151" s="1" t="s">
        <v>104</v>
      </c>
      <c r="I151" s="1" t="s">
        <v>127</v>
      </c>
      <c r="J151" s="1" t="s">
        <v>32</v>
      </c>
      <c r="K151" s="8">
        <v>8625</v>
      </c>
      <c r="L151" s="1">
        <v>2</v>
      </c>
      <c r="M151" s="1" t="s">
        <v>52</v>
      </c>
      <c r="N151" s="1" t="s">
        <v>52</v>
      </c>
      <c r="O151" t="str">
        <f t="shared" si="8"/>
        <v>OK</v>
      </c>
      <c r="P151" t="str">
        <f t="shared" si="9"/>
        <v>OK</v>
      </c>
      <c r="Q151">
        <f t="shared" si="10"/>
        <v>2</v>
      </c>
      <c r="R151" t="str">
        <f t="shared" si="11"/>
        <v>OK</v>
      </c>
    </row>
    <row r="152" spans="1:18">
      <c r="A152" s="1" t="s">
        <v>663</v>
      </c>
      <c r="B152" s="1" t="s">
        <v>378</v>
      </c>
      <c r="C152" s="5">
        <v>45755</v>
      </c>
      <c r="D152" s="5">
        <v>45770</v>
      </c>
      <c r="E152" s="1" t="s">
        <v>29</v>
      </c>
      <c r="F152" s="1" t="s">
        <v>77</v>
      </c>
      <c r="G152" s="1">
        <v>53</v>
      </c>
      <c r="H152" s="1" t="s">
        <v>104</v>
      </c>
      <c r="I152" s="1" t="s">
        <v>127</v>
      </c>
      <c r="J152" s="1" t="s">
        <v>32</v>
      </c>
      <c r="K152" s="1">
        <v>5257</v>
      </c>
      <c r="L152" s="1"/>
      <c r="M152" s="1" t="s">
        <v>33</v>
      </c>
      <c r="N152" s="1" t="s">
        <v>33</v>
      </c>
      <c r="O152" t="str">
        <f t="shared" si="8"/>
        <v>OK</v>
      </c>
      <c r="P152" t="str">
        <f t="shared" si="9"/>
        <v>OK</v>
      </c>
      <c r="Q152">
        <f t="shared" si="10"/>
        <v>15</v>
      </c>
      <c r="R152" t="str">
        <f t="shared" si="11"/>
        <v>Missing recorded stay</v>
      </c>
    </row>
    <row r="153" spans="1:18">
      <c r="A153" s="1" t="s">
        <v>665</v>
      </c>
      <c r="B153" s="1" t="s">
        <v>666</v>
      </c>
      <c r="C153" s="5">
        <v>45850</v>
      </c>
      <c r="D153" s="5">
        <v>45854</v>
      </c>
      <c r="E153" s="1" t="s">
        <v>149</v>
      </c>
      <c r="F153" s="1" t="s">
        <v>109</v>
      </c>
      <c r="G153" s="1">
        <v>84</v>
      </c>
      <c r="H153" s="1" t="s">
        <v>84</v>
      </c>
      <c r="I153" s="1" t="s">
        <v>65</v>
      </c>
      <c r="J153" s="1" t="s">
        <v>40</v>
      </c>
      <c r="K153" s="1">
        <v>9106</v>
      </c>
      <c r="L153" s="1">
        <v>4</v>
      </c>
      <c r="M153" s="1" t="s">
        <v>33</v>
      </c>
      <c r="N153" s="1" t="s">
        <v>52</v>
      </c>
      <c r="O153" t="str">
        <f t="shared" si="8"/>
        <v>OK</v>
      </c>
      <c r="P153" t="str">
        <f t="shared" si="9"/>
        <v>OK</v>
      </c>
      <c r="Q153">
        <f t="shared" si="10"/>
        <v>4</v>
      </c>
      <c r="R153" t="str">
        <f t="shared" si="11"/>
        <v>OK</v>
      </c>
    </row>
    <row r="154" spans="1:18">
      <c r="A154" s="1" t="s">
        <v>668</v>
      </c>
      <c r="B154" s="1" t="s">
        <v>669</v>
      </c>
      <c r="C154" s="5">
        <v>45674</v>
      </c>
      <c r="D154" s="5">
        <v>45681</v>
      </c>
      <c r="E154" s="1" t="s">
        <v>29</v>
      </c>
      <c r="F154" s="1" t="s">
        <v>77</v>
      </c>
      <c r="G154" s="1">
        <v>24</v>
      </c>
      <c r="H154" s="1" t="s">
        <v>104</v>
      </c>
      <c r="I154" s="1" t="s">
        <v>153</v>
      </c>
      <c r="J154" s="1" t="s">
        <v>40</v>
      </c>
      <c r="K154" s="1">
        <v>6667</v>
      </c>
      <c r="L154" s="1">
        <v>7</v>
      </c>
      <c r="M154" s="1" t="s">
        <v>33</v>
      </c>
      <c r="N154" s="1" t="s">
        <v>33</v>
      </c>
      <c r="O154" t="str">
        <f t="shared" si="8"/>
        <v>OK</v>
      </c>
      <c r="P154" t="str">
        <f t="shared" si="9"/>
        <v>OK</v>
      </c>
      <c r="Q154">
        <f t="shared" si="10"/>
        <v>7</v>
      </c>
      <c r="R154" t="str">
        <f t="shared" si="11"/>
        <v>OK</v>
      </c>
    </row>
    <row r="155" spans="1:18">
      <c r="A155" s="1" t="s">
        <v>673</v>
      </c>
      <c r="B155" s="1" t="s">
        <v>580</v>
      </c>
      <c r="C155" s="5">
        <v>45703</v>
      </c>
      <c r="D155" s="5">
        <v>45714</v>
      </c>
      <c r="E155" s="1" t="s">
        <v>149</v>
      </c>
      <c r="F155" s="1" t="s">
        <v>109</v>
      </c>
      <c r="G155" s="1">
        <v>20</v>
      </c>
      <c r="H155" s="1" t="s">
        <v>104</v>
      </c>
      <c r="I155" s="1" t="s">
        <v>127</v>
      </c>
      <c r="J155" s="1" t="s">
        <v>40</v>
      </c>
      <c r="K155" s="1">
        <v>14370</v>
      </c>
      <c r="L155" s="1">
        <v>11</v>
      </c>
      <c r="M155" s="1" t="s">
        <v>52</v>
      </c>
      <c r="N155" s="1" t="s">
        <v>33</v>
      </c>
      <c r="O155" t="str">
        <f t="shared" si="8"/>
        <v>OK</v>
      </c>
      <c r="P155" t="str">
        <f t="shared" si="9"/>
        <v>OK</v>
      </c>
      <c r="Q155">
        <f t="shared" si="10"/>
        <v>11</v>
      </c>
      <c r="R155" t="str">
        <f t="shared" si="11"/>
        <v>OK</v>
      </c>
    </row>
    <row r="156" spans="1:18">
      <c r="A156" s="1" t="s">
        <v>466</v>
      </c>
      <c r="B156" s="1" t="s">
        <v>368</v>
      </c>
      <c r="C156" s="5"/>
      <c r="D156" s="5">
        <v>45873</v>
      </c>
      <c r="E156" s="1" t="s">
        <v>18</v>
      </c>
      <c r="F156" s="1" t="s">
        <v>83</v>
      </c>
      <c r="G156" s="1">
        <v>72</v>
      </c>
      <c r="H156" s="1" t="s">
        <v>104</v>
      </c>
      <c r="I156" s="1" t="s">
        <v>49</v>
      </c>
      <c r="J156" s="1" t="s">
        <v>40</v>
      </c>
      <c r="K156" s="1">
        <v>4716</v>
      </c>
      <c r="L156" s="1">
        <v>19</v>
      </c>
      <c r="M156" s="1" t="s">
        <v>52</v>
      </c>
      <c r="N156" s="1" t="s">
        <v>52</v>
      </c>
      <c r="O156" t="str">
        <f t="shared" si="8"/>
        <v>Missing date</v>
      </c>
      <c r="P156" t="str">
        <f t="shared" si="9"/>
        <v>OK</v>
      </c>
      <c r="Q156" t="str">
        <f t="shared" si="10"/>
        <v/>
      </c>
      <c r="R156" t="str">
        <f t="shared" si="11"/>
        <v>Cannot check dates</v>
      </c>
    </row>
    <row r="157" spans="1:18">
      <c r="A157" s="1" t="s">
        <v>676</v>
      </c>
      <c r="B157" s="1" t="s">
        <v>677</v>
      </c>
      <c r="C157" s="5">
        <v>45752</v>
      </c>
      <c r="D157" s="5">
        <v>45754</v>
      </c>
      <c r="E157" s="1" t="s">
        <v>29</v>
      </c>
      <c r="F157" s="1" t="s">
        <v>77</v>
      </c>
      <c r="G157" s="1">
        <v>33</v>
      </c>
      <c r="H157" s="1" t="s">
        <v>48</v>
      </c>
      <c r="I157" s="1" t="s">
        <v>65</v>
      </c>
      <c r="J157" s="1" t="s">
        <v>22</v>
      </c>
      <c r="K157" s="1">
        <v>5307</v>
      </c>
      <c r="L157" s="1">
        <v>2</v>
      </c>
      <c r="M157" s="1" t="s">
        <v>52</v>
      </c>
      <c r="N157" s="1" t="s">
        <v>33</v>
      </c>
      <c r="O157" t="str">
        <f t="shared" si="8"/>
        <v>OK</v>
      </c>
      <c r="P157" t="str">
        <f t="shared" si="9"/>
        <v>OK</v>
      </c>
      <c r="Q157">
        <f t="shared" si="10"/>
        <v>2</v>
      </c>
      <c r="R157" t="str">
        <f t="shared" si="11"/>
        <v>OK</v>
      </c>
    </row>
    <row r="158" spans="1:18">
      <c r="A158" s="1" t="s">
        <v>679</v>
      </c>
      <c r="B158" s="1" t="s">
        <v>134</v>
      </c>
      <c r="C158" s="5">
        <v>45820</v>
      </c>
      <c r="D158" s="5">
        <v>45830</v>
      </c>
      <c r="E158" s="1" t="s">
        <v>18</v>
      </c>
      <c r="F158" s="1" t="s">
        <v>83</v>
      </c>
      <c r="G158" s="1">
        <v>94</v>
      </c>
      <c r="H158" s="1" t="s">
        <v>104</v>
      </c>
      <c r="I158" s="1" t="s">
        <v>49</v>
      </c>
      <c r="J158" s="1" t="s">
        <v>32</v>
      </c>
      <c r="K158" s="1">
        <v>13145</v>
      </c>
      <c r="L158" s="1">
        <v>10</v>
      </c>
      <c r="M158" s="1" t="s">
        <v>33</v>
      </c>
      <c r="N158" s="1" t="s">
        <v>33</v>
      </c>
      <c r="O158" t="str">
        <f t="shared" si="8"/>
        <v>OK</v>
      </c>
      <c r="P158" t="str">
        <f t="shared" si="9"/>
        <v>OK</v>
      </c>
      <c r="Q158">
        <f t="shared" si="10"/>
        <v>10</v>
      </c>
      <c r="R158" t="str">
        <f t="shared" si="11"/>
        <v>OK</v>
      </c>
    </row>
    <row r="159" spans="1:18">
      <c r="A159" s="1" t="s">
        <v>682</v>
      </c>
      <c r="B159" s="1" t="s">
        <v>683</v>
      </c>
      <c r="C159" s="5">
        <v>45929</v>
      </c>
      <c r="D159" s="5">
        <v>45948</v>
      </c>
      <c r="E159" s="1" t="s">
        <v>125</v>
      </c>
      <c r="F159" s="1" t="s">
        <v>126</v>
      </c>
      <c r="G159" s="1"/>
      <c r="H159" s="1" t="s">
        <v>104</v>
      </c>
      <c r="I159" s="1" t="s">
        <v>65</v>
      </c>
      <c r="J159" s="1" t="s">
        <v>22</v>
      </c>
      <c r="K159" s="1">
        <v>4937</v>
      </c>
      <c r="L159" s="1">
        <v>19</v>
      </c>
      <c r="M159" s="1" t="s">
        <v>52</v>
      </c>
      <c r="N159" s="1" t="s">
        <v>33</v>
      </c>
      <c r="O159" t="str">
        <f t="shared" si="8"/>
        <v>OK</v>
      </c>
      <c r="P159" t="str">
        <f t="shared" si="9"/>
        <v>OK</v>
      </c>
      <c r="Q159">
        <f t="shared" si="10"/>
        <v>19</v>
      </c>
      <c r="R159" t="str">
        <f t="shared" si="11"/>
        <v>OK</v>
      </c>
    </row>
    <row r="160" spans="1:18">
      <c r="A160" s="1" t="s">
        <v>685</v>
      </c>
      <c r="B160" s="1" t="s">
        <v>516</v>
      </c>
      <c r="C160" s="5">
        <v>45955</v>
      </c>
      <c r="D160" s="5">
        <v>45974</v>
      </c>
      <c r="E160" s="1" t="s">
        <v>149</v>
      </c>
      <c r="F160" s="1" t="s">
        <v>109</v>
      </c>
      <c r="G160" s="1">
        <v>35</v>
      </c>
      <c r="H160" s="1" t="s">
        <v>48</v>
      </c>
      <c r="I160" s="1" t="s">
        <v>65</v>
      </c>
      <c r="J160" s="1" t="s">
        <v>40</v>
      </c>
      <c r="K160" s="1">
        <v>10831</v>
      </c>
      <c r="L160" s="1">
        <v>19</v>
      </c>
      <c r="M160" s="1" t="s">
        <v>33</v>
      </c>
      <c r="N160" s="1" t="s">
        <v>33</v>
      </c>
      <c r="O160" t="str">
        <f t="shared" si="8"/>
        <v>OK</v>
      </c>
      <c r="P160" t="str">
        <f t="shared" si="9"/>
        <v>OK</v>
      </c>
      <c r="Q160">
        <f t="shared" si="10"/>
        <v>19</v>
      </c>
      <c r="R160" t="str">
        <f t="shared" si="11"/>
        <v>OK</v>
      </c>
    </row>
    <row r="161" spans="1:18">
      <c r="A161" s="1" t="s">
        <v>689</v>
      </c>
      <c r="B161" s="1" t="s">
        <v>690</v>
      </c>
      <c r="C161" s="5">
        <v>45770</v>
      </c>
      <c r="D161" s="5">
        <v>45788</v>
      </c>
      <c r="E161" s="1"/>
      <c r="F161" s="1" t="s">
        <v>126</v>
      </c>
      <c r="G161" s="1">
        <v>23</v>
      </c>
      <c r="H161" s="1" t="s">
        <v>104</v>
      </c>
      <c r="I161" s="1" t="s">
        <v>65</v>
      </c>
      <c r="J161" s="1" t="s">
        <v>40</v>
      </c>
      <c r="K161" s="1">
        <v>11159</v>
      </c>
      <c r="L161" s="1">
        <v>18</v>
      </c>
      <c r="M161" s="1" t="s">
        <v>33</v>
      </c>
      <c r="N161" s="1" t="s">
        <v>52</v>
      </c>
      <c r="O161" t="str">
        <f t="shared" si="8"/>
        <v>OK</v>
      </c>
      <c r="P161" t="str">
        <f t="shared" si="9"/>
        <v>OK</v>
      </c>
      <c r="Q161">
        <f t="shared" si="10"/>
        <v>18</v>
      </c>
      <c r="R161" t="str">
        <f t="shared" si="11"/>
        <v>OK</v>
      </c>
    </row>
    <row r="162" spans="1:18">
      <c r="A162" s="1" t="s">
        <v>694</v>
      </c>
      <c r="B162" s="1" t="s">
        <v>92</v>
      </c>
      <c r="C162" s="5">
        <v>45758</v>
      </c>
      <c r="D162" s="5">
        <v>45761</v>
      </c>
      <c r="E162" s="1" t="s">
        <v>149</v>
      </c>
      <c r="F162" s="1" t="s">
        <v>109</v>
      </c>
      <c r="G162" s="1">
        <v>49</v>
      </c>
      <c r="H162" s="1" t="s">
        <v>84</v>
      </c>
      <c r="I162" s="1" t="s">
        <v>127</v>
      </c>
      <c r="J162" s="1" t="s">
        <v>22</v>
      </c>
      <c r="K162" s="1">
        <v>567</v>
      </c>
      <c r="L162" s="1">
        <v>3</v>
      </c>
      <c r="M162" s="1" t="s">
        <v>52</v>
      </c>
      <c r="N162" s="1" t="s">
        <v>52</v>
      </c>
      <c r="O162" t="str">
        <f t="shared" si="8"/>
        <v>OK</v>
      </c>
      <c r="P162" t="str">
        <f t="shared" si="9"/>
        <v>OK</v>
      </c>
      <c r="Q162">
        <f t="shared" si="10"/>
        <v>3</v>
      </c>
      <c r="R162" t="str">
        <f t="shared" si="11"/>
        <v>OK</v>
      </c>
    </row>
    <row r="163" spans="1:18">
      <c r="A163" s="1" t="s">
        <v>697</v>
      </c>
      <c r="B163" s="1" t="s">
        <v>698</v>
      </c>
      <c r="C163" s="5">
        <v>45771</v>
      </c>
      <c r="D163" s="5">
        <v>45791</v>
      </c>
      <c r="E163" s="1" t="s">
        <v>29</v>
      </c>
      <c r="F163" s="1" t="s">
        <v>77</v>
      </c>
      <c r="G163" s="1">
        <v>55</v>
      </c>
      <c r="H163" s="1" t="s">
        <v>104</v>
      </c>
      <c r="I163" s="1" t="s">
        <v>153</v>
      </c>
      <c r="J163" s="1" t="s">
        <v>40</v>
      </c>
      <c r="K163" s="1">
        <v>-250</v>
      </c>
      <c r="L163" s="1">
        <v>20</v>
      </c>
      <c r="M163" s="1" t="s">
        <v>52</v>
      </c>
      <c r="N163" s="1" t="s">
        <v>33</v>
      </c>
      <c r="O163" t="str">
        <f t="shared" si="8"/>
        <v>OK</v>
      </c>
      <c r="P163" t="str">
        <f t="shared" si="9"/>
        <v>Negative cost</v>
      </c>
      <c r="Q163">
        <f t="shared" si="10"/>
        <v>20</v>
      </c>
      <c r="R163" t="str">
        <f t="shared" si="11"/>
        <v>OK</v>
      </c>
    </row>
    <row r="164" spans="1:18">
      <c r="A164" s="1" t="s">
        <v>701</v>
      </c>
      <c r="B164" s="1" t="s">
        <v>669</v>
      </c>
      <c r="C164" s="5">
        <v>45723</v>
      </c>
      <c r="D164" s="5"/>
      <c r="E164" s="1" t="s">
        <v>249</v>
      </c>
      <c r="F164" s="1" t="s">
        <v>96</v>
      </c>
      <c r="G164" s="1">
        <v>12</v>
      </c>
      <c r="H164" s="1" t="s">
        <v>84</v>
      </c>
      <c r="I164" s="1" t="s">
        <v>49</v>
      </c>
      <c r="J164" s="1" t="s">
        <v>22</v>
      </c>
      <c r="K164" s="1">
        <v>12888</v>
      </c>
      <c r="L164" s="1">
        <v>5</v>
      </c>
      <c r="M164" s="1" t="s">
        <v>52</v>
      </c>
      <c r="N164" s="1" t="s">
        <v>33</v>
      </c>
      <c r="O164" t="str">
        <f t="shared" si="8"/>
        <v>Missing date</v>
      </c>
      <c r="P164" t="str">
        <f t="shared" si="9"/>
        <v>OK</v>
      </c>
      <c r="Q164" t="str">
        <f t="shared" si="10"/>
        <v/>
      </c>
      <c r="R164" t="str">
        <f t="shared" si="11"/>
        <v>Cannot check dates</v>
      </c>
    </row>
    <row r="165" spans="1:18">
      <c r="A165" s="1" t="s">
        <v>703</v>
      </c>
      <c r="B165" s="1" t="s">
        <v>704</v>
      </c>
      <c r="C165" s="5">
        <v>45802</v>
      </c>
      <c r="D165" s="5">
        <v>45808</v>
      </c>
      <c r="E165" s="1" t="s">
        <v>120</v>
      </c>
      <c r="F165" s="1" t="s">
        <v>39</v>
      </c>
      <c r="G165" s="1">
        <v>74</v>
      </c>
      <c r="H165" s="1" t="s">
        <v>104</v>
      </c>
      <c r="I165" s="1" t="s">
        <v>127</v>
      </c>
      <c r="J165" s="1" t="s">
        <v>22</v>
      </c>
      <c r="K165" s="1">
        <v>3920</v>
      </c>
      <c r="L165" s="1">
        <v>6</v>
      </c>
      <c r="M165" s="1" t="s">
        <v>52</v>
      </c>
      <c r="N165" s="1" t="s">
        <v>52</v>
      </c>
      <c r="O165" t="str">
        <f t="shared" si="8"/>
        <v>OK</v>
      </c>
      <c r="P165" t="str">
        <f t="shared" si="9"/>
        <v>OK</v>
      </c>
      <c r="Q165">
        <f t="shared" si="10"/>
        <v>6</v>
      </c>
      <c r="R165" t="str">
        <f t="shared" si="11"/>
        <v>OK</v>
      </c>
    </row>
    <row r="166" spans="1:18">
      <c r="A166" s="1" t="s">
        <v>706</v>
      </c>
      <c r="B166" s="1" t="s">
        <v>707</v>
      </c>
      <c r="C166" s="5">
        <v>45966</v>
      </c>
      <c r="D166" s="5">
        <v>45976</v>
      </c>
      <c r="E166" s="1" t="s">
        <v>125</v>
      </c>
      <c r="F166" s="1" t="s">
        <v>126</v>
      </c>
      <c r="G166" s="1">
        <v>31</v>
      </c>
      <c r="H166" s="1" t="s">
        <v>104</v>
      </c>
      <c r="I166" s="1" t="s">
        <v>127</v>
      </c>
      <c r="J166" s="1" t="s">
        <v>22</v>
      </c>
      <c r="K166" s="1"/>
      <c r="L166" s="1">
        <v>10</v>
      </c>
      <c r="M166" s="1" t="s">
        <v>33</v>
      </c>
      <c r="N166" s="1" t="s">
        <v>52</v>
      </c>
      <c r="O166" t="str">
        <f t="shared" si="8"/>
        <v>OK</v>
      </c>
      <c r="P166" t="str">
        <f t="shared" si="9"/>
        <v>Missing cost</v>
      </c>
      <c r="Q166">
        <f t="shared" si="10"/>
        <v>10</v>
      </c>
      <c r="R166" t="str">
        <f t="shared" si="11"/>
        <v>OK</v>
      </c>
    </row>
    <row r="167" spans="1:18">
      <c r="A167" s="1" t="s">
        <v>708</v>
      </c>
      <c r="B167" s="1" t="s">
        <v>709</v>
      </c>
      <c r="C167" s="5">
        <v>45732</v>
      </c>
      <c r="D167" s="5">
        <v>45747</v>
      </c>
      <c r="E167" s="1" t="s">
        <v>149</v>
      </c>
      <c r="F167" s="1" t="s">
        <v>109</v>
      </c>
      <c r="G167" s="1">
        <v>84</v>
      </c>
      <c r="H167" s="1" t="s">
        <v>104</v>
      </c>
      <c r="I167" s="1" t="s">
        <v>153</v>
      </c>
      <c r="J167" s="1" t="s">
        <v>32</v>
      </c>
      <c r="K167" s="1">
        <v>1585</v>
      </c>
      <c r="L167" s="1">
        <v>15</v>
      </c>
      <c r="M167" s="1" t="s">
        <v>52</v>
      </c>
      <c r="N167" s="1" t="s">
        <v>52</v>
      </c>
      <c r="O167" t="str">
        <f t="shared" si="8"/>
        <v>OK</v>
      </c>
      <c r="P167" t="str">
        <f t="shared" si="9"/>
        <v>OK</v>
      </c>
      <c r="Q167">
        <f t="shared" si="10"/>
        <v>15</v>
      </c>
      <c r="R167" t="str">
        <f t="shared" si="11"/>
        <v>OK</v>
      </c>
    </row>
    <row r="168" spans="1:18">
      <c r="A168" s="1" t="s">
        <v>712</v>
      </c>
      <c r="B168" s="1" t="s">
        <v>713</v>
      </c>
      <c r="C168" s="5">
        <v>45695</v>
      </c>
      <c r="D168" s="5">
        <v>45704</v>
      </c>
      <c r="E168" s="1" t="s">
        <v>29</v>
      </c>
      <c r="F168" s="1" t="s">
        <v>77</v>
      </c>
      <c r="G168" s="1"/>
      <c r="H168" s="1" t="s">
        <v>48</v>
      </c>
      <c r="I168" s="1" t="s">
        <v>65</v>
      </c>
      <c r="J168" s="1" t="s">
        <v>22</v>
      </c>
      <c r="K168" s="1">
        <v>7289</v>
      </c>
      <c r="L168" s="1">
        <v>9</v>
      </c>
      <c r="M168" s="1" t="s">
        <v>52</v>
      </c>
      <c r="N168" s="1" t="s">
        <v>33</v>
      </c>
      <c r="O168" t="str">
        <f t="shared" si="8"/>
        <v>OK</v>
      </c>
      <c r="P168" t="str">
        <f t="shared" si="9"/>
        <v>OK</v>
      </c>
      <c r="Q168">
        <f t="shared" si="10"/>
        <v>9</v>
      </c>
      <c r="R168" t="str">
        <f t="shared" si="11"/>
        <v>OK</v>
      </c>
    </row>
    <row r="169" spans="1:18">
      <c r="A169" s="1" t="s">
        <v>716</v>
      </c>
      <c r="B169" s="1" t="s">
        <v>446</v>
      </c>
      <c r="C169" s="5">
        <v>45937</v>
      </c>
      <c r="D169" s="5">
        <v>45940</v>
      </c>
      <c r="E169" s="1" t="s">
        <v>249</v>
      </c>
      <c r="F169" s="1" t="s">
        <v>96</v>
      </c>
      <c r="G169" s="1">
        <v>15</v>
      </c>
      <c r="H169" s="1" t="s">
        <v>104</v>
      </c>
      <c r="I169" s="1" t="s">
        <v>65</v>
      </c>
      <c r="J169" s="1" t="s">
        <v>40</v>
      </c>
      <c r="K169" s="1">
        <v>5907</v>
      </c>
      <c r="L169" s="1">
        <v>3</v>
      </c>
      <c r="M169" s="1" t="s">
        <v>33</v>
      </c>
      <c r="N169" s="1" t="s">
        <v>33</v>
      </c>
      <c r="O169" t="str">
        <f t="shared" si="8"/>
        <v>OK</v>
      </c>
      <c r="P169" t="str">
        <f t="shared" si="9"/>
        <v>OK</v>
      </c>
      <c r="Q169">
        <f t="shared" si="10"/>
        <v>3</v>
      </c>
      <c r="R169" t="str">
        <f t="shared" si="11"/>
        <v>OK</v>
      </c>
    </row>
    <row r="170" spans="1:18">
      <c r="A170" s="1" t="s">
        <v>719</v>
      </c>
      <c r="B170" s="1" t="s">
        <v>364</v>
      </c>
      <c r="C170" s="5">
        <v>45829</v>
      </c>
      <c r="D170" s="5">
        <v>45831</v>
      </c>
      <c r="E170" s="1" t="s">
        <v>125</v>
      </c>
      <c r="F170" s="1" t="s">
        <v>126</v>
      </c>
      <c r="G170" s="1">
        <v>66</v>
      </c>
      <c r="H170" s="1" t="s">
        <v>84</v>
      </c>
      <c r="I170" s="1" t="s">
        <v>49</v>
      </c>
      <c r="J170" s="1" t="s">
        <v>22</v>
      </c>
      <c r="K170" s="1">
        <v>3803</v>
      </c>
      <c r="L170" s="1">
        <v>2</v>
      </c>
      <c r="M170" s="1" t="s">
        <v>33</v>
      </c>
      <c r="N170" s="1" t="s">
        <v>52</v>
      </c>
      <c r="O170" t="str">
        <f t="shared" si="8"/>
        <v>OK</v>
      </c>
      <c r="P170" t="str">
        <f t="shared" si="9"/>
        <v>OK</v>
      </c>
      <c r="Q170">
        <f t="shared" si="10"/>
        <v>2</v>
      </c>
      <c r="R170" t="str">
        <f t="shared" si="11"/>
        <v>OK</v>
      </c>
    </row>
    <row r="171" spans="1:18">
      <c r="A171" s="1" t="s">
        <v>721</v>
      </c>
      <c r="B171" s="1" t="s">
        <v>722</v>
      </c>
      <c r="C171" s="5">
        <v>45901</v>
      </c>
      <c r="D171" s="5">
        <v>45916</v>
      </c>
      <c r="E171" s="1" t="s">
        <v>29</v>
      </c>
      <c r="F171" s="1" t="s">
        <v>77</v>
      </c>
      <c r="G171" s="1">
        <v>35</v>
      </c>
      <c r="H171" s="1" t="s">
        <v>84</v>
      </c>
      <c r="I171" s="1" t="s">
        <v>127</v>
      </c>
      <c r="J171" s="1" t="s">
        <v>22</v>
      </c>
      <c r="K171" s="1">
        <v>10860</v>
      </c>
      <c r="L171" s="1">
        <v>15</v>
      </c>
      <c r="M171" s="1" t="s">
        <v>52</v>
      </c>
      <c r="N171" s="1" t="s">
        <v>52</v>
      </c>
      <c r="O171" t="str">
        <f t="shared" si="8"/>
        <v>OK</v>
      </c>
      <c r="P171" t="str">
        <f t="shared" si="9"/>
        <v>OK</v>
      </c>
      <c r="Q171">
        <f t="shared" si="10"/>
        <v>15</v>
      </c>
      <c r="R171" t="str">
        <f t="shared" si="11"/>
        <v>OK</v>
      </c>
    </row>
    <row r="172" spans="1:18">
      <c r="A172" s="1" t="s">
        <v>726</v>
      </c>
      <c r="B172" s="1" t="s">
        <v>727</v>
      </c>
      <c r="C172" s="5">
        <v>45972</v>
      </c>
      <c r="D172" s="5">
        <v>45976</v>
      </c>
      <c r="E172" s="1" t="s">
        <v>149</v>
      </c>
      <c r="F172" s="1" t="s">
        <v>109</v>
      </c>
      <c r="G172" s="1">
        <v>55</v>
      </c>
      <c r="H172" s="1" t="s">
        <v>84</v>
      </c>
      <c r="I172" s="1" t="s">
        <v>65</v>
      </c>
      <c r="J172" s="1" t="s">
        <v>32</v>
      </c>
      <c r="K172" s="1">
        <v>14302</v>
      </c>
      <c r="L172" s="1">
        <v>4</v>
      </c>
      <c r="M172" s="1" t="s">
        <v>33</v>
      </c>
      <c r="N172" s="1" t="s">
        <v>33</v>
      </c>
      <c r="O172" t="str">
        <f t="shared" si="8"/>
        <v>OK</v>
      </c>
      <c r="P172" t="str">
        <f t="shared" si="9"/>
        <v>OK</v>
      </c>
      <c r="Q172">
        <f t="shared" si="10"/>
        <v>4</v>
      </c>
      <c r="R172" t="str">
        <f t="shared" si="11"/>
        <v>OK</v>
      </c>
    </row>
    <row r="173" spans="1:18">
      <c r="A173" s="1" t="s">
        <v>730</v>
      </c>
      <c r="B173" s="1" t="s">
        <v>431</v>
      </c>
      <c r="C173" s="5">
        <v>45788</v>
      </c>
      <c r="D173" s="5">
        <v>45798</v>
      </c>
      <c r="E173" s="1" t="s">
        <v>29</v>
      </c>
      <c r="F173" s="1" t="s">
        <v>77</v>
      </c>
      <c r="G173" s="1">
        <v>88</v>
      </c>
      <c r="H173" s="1" t="s">
        <v>104</v>
      </c>
      <c r="I173" s="1" t="s">
        <v>153</v>
      </c>
      <c r="J173" s="1" t="s">
        <v>22</v>
      </c>
      <c r="K173" s="1">
        <v>5929</v>
      </c>
      <c r="L173" s="1">
        <v>10</v>
      </c>
      <c r="M173" s="1" t="s">
        <v>33</v>
      </c>
      <c r="N173" s="1" t="s">
        <v>33</v>
      </c>
      <c r="O173" t="str">
        <f t="shared" si="8"/>
        <v>OK</v>
      </c>
      <c r="P173" t="str">
        <f t="shared" si="9"/>
        <v>OK</v>
      </c>
      <c r="Q173">
        <f t="shared" si="10"/>
        <v>10</v>
      </c>
      <c r="R173" t="str">
        <f t="shared" si="11"/>
        <v>OK</v>
      </c>
    </row>
    <row r="174" spans="1:18">
      <c r="A174" s="1" t="s">
        <v>733</v>
      </c>
      <c r="B174" s="1" t="s">
        <v>734</v>
      </c>
      <c r="C174" s="5">
        <v>45725</v>
      </c>
      <c r="D174" s="5">
        <v>45745</v>
      </c>
      <c r="E174" s="1" t="s">
        <v>125</v>
      </c>
      <c r="F174" s="1" t="s">
        <v>126</v>
      </c>
      <c r="G174" s="1">
        <v>81</v>
      </c>
      <c r="H174" s="1" t="s">
        <v>84</v>
      </c>
      <c r="I174" s="1" t="s">
        <v>127</v>
      </c>
      <c r="J174" s="1" t="s">
        <v>40</v>
      </c>
      <c r="K174" s="1">
        <v>8726</v>
      </c>
      <c r="L174" s="1">
        <v>20</v>
      </c>
      <c r="M174" s="1" t="s">
        <v>52</v>
      </c>
      <c r="N174" s="1" t="s">
        <v>52</v>
      </c>
      <c r="O174" t="str">
        <f t="shared" si="8"/>
        <v>OK</v>
      </c>
      <c r="P174" t="str">
        <f t="shared" si="9"/>
        <v>OK</v>
      </c>
      <c r="Q174">
        <f t="shared" si="10"/>
        <v>20</v>
      </c>
      <c r="R174" t="str">
        <f t="shared" si="11"/>
        <v>OK</v>
      </c>
    </row>
    <row r="175" spans="1:18">
      <c r="A175" s="1" t="s">
        <v>738</v>
      </c>
      <c r="B175" s="1" t="s">
        <v>238</v>
      </c>
      <c r="C175" s="5">
        <v>45860</v>
      </c>
      <c r="D175" s="5">
        <v>45863</v>
      </c>
      <c r="E175" s="1" t="s">
        <v>29</v>
      </c>
      <c r="F175" s="1" t="s">
        <v>77</v>
      </c>
      <c r="G175" s="1">
        <v>82</v>
      </c>
      <c r="H175" s="1" t="s">
        <v>104</v>
      </c>
      <c r="I175" s="1" t="s">
        <v>49</v>
      </c>
      <c r="J175" s="1" t="s">
        <v>22</v>
      </c>
      <c r="K175" s="1">
        <v>3201</v>
      </c>
      <c r="L175" s="1"/>
      <c r="M175" s="1" t="s">
        <v>33</v>
      </c>
      <c r="N175" s="1" t="s">
        <v>52</v>
      </c>
      <c r="O175" t="str">
        <f t="shared" si="8"/>
        <v>OK</v>
      </c>
      <c r="P175" t="str">
        <f t="shared" si="9"/>
        <v>OK</v>
      </c>
      <c r="Q175">
        <f t="shared" si="10"/>
        <v>3</v>
      </c>
      <c r="R175" t="str">
        <f t="shared" si="11"/>
        <v>Missing recorded stay</v>
      </c>
    </row>
    <row r="176" spans="1:18">
      <c r="A176" s="1" t="s">
        <v>741</v>
      </c>
      <c r="B176" s="1" t="s">
        <v>742</v>
      </c>
      <c r="C176" s="5">
        <v>45790</v>
      </c>
      <c r="D176" s="5">
        <v>45803</v>
      </c>
      <c r="E176" s="1" t="s">
        <v>120</v>
      </c>
      <c r="F176" s="1" t="s">
        <v>39</v>
      </c>
      <c r="G176" s="1">
        <v>79</v>
      </c>
      <c r="H176" s="1" t="s">
        <v>84</v>
      </c>
      <c r="I176" s="1"/>
      <c r="J176" s="1" t="s">
        <v>22</v>
      </c>
      <c r="K176" s="1">
        <v>2120</v>
      </c>
      <c r="L176" s="1">
        <v>13</v>
      </c>
      <c r="M176" s="1" t="s">
        <v>52</v>
      </c>
      <c r="N176" s="1" t="s">
        <v>33</v>
      </c>
      <c r="O176" t="str">
        <f t="shared" si="8"/>
        <v>OK</v>
      </c>
      <c r="P176" t="str">
        <f t="shared" si="9"/>
        <v>OK</v>
      </c>
      <c r="Q176">
        <f t="shared" si="10"/>
        <v>13</v>
      </c>
      <c r="R176" t="str">
        <f t="shared" si="11"/>
        <v>OK</v>
      </c>
    </row>
    <row r="177" spans="1:18">
      <c r="A177" s="1" t="s">
        <v>746</v>
      </c>
      <c r="B177" s="1" t="s">
        <v>747</v>
      </c>
      <c r="C177" s="5">
        <v>45977</v>
      </c>
      <c r="D177" s="5">
        <v>45991</v>
      </c>
      <c r="E177" s="1" t="s">
        <v>249</v>
      </c>
      <c r="F177" s="1" t="s">
        <v>96</v>
      </c>
      <c r="G177" s="1">
        <v>8</v>
      </c>
      <c r="H177" s="1" t="s">
        <v>104</v>
      </c>
      <c r="I177" s="1" t="s">
        <v>65</v>
      </c>
      <c r="J177" s="1" t="s">
        <v>32</v>
      </c>
      <c r="K177" s="1">
        <v>7143</v>
      </c>
      <c r="L177" s="1">
        <v>14</v>
      </c>
      <c r="M177" s="1" t="s">
        <v>33</v>
      </c>
      <c r="N177" s="1" t="s">
        <v>33</v>
      </c>
      <c r="O177" t="str">
        <f t="shared" si="8"/>
        <v>OK</v>
      </c>
      <c r="P177" t="str">
        <f t="shared" si="9"/>
        <v>OK</v>
      </c>
      <c r="Q177">
        <f t="shared" si="10"/>
        <v>14</v>
      </c>
      <c r="R177" t="str">
        <f t="shared" si="11"/>
        <v>OK</v>
      </c>
    </row>
    <row r="178" spans="1:18">
      <c r="A178" s="1" t="s">
        <v>749</v>
      </c>
      <c r="B178" s="1" t="s">
        <v>750</v>
      </c>
      <c r="C178" s="5">
        <v>45816</v>
      </c>
      <c r="D178" s="5">
        <v>45835</v>
      </c>
      <c r="E178" s="1" t="s">
        <v>249</v>
      </c>
      <c r="F178" s="1" t="s">
        <v>96</v>
      </c>
      <c r="G178" s="1">
        <v>17</v>
      </c>
      <c r="H178" s="1" t="s">
        <v>104</v>
      </c>
      <c r="I178" s="1" t="s">
        <v>49</v>
      </c>
      <c r="J178" s="1" t="s">
        <v>22</v>
      </c>
      <c r="K178" s="1">
        <v>13420</v>
      </c>
      <c r="L178" s="1">
        <v>19</v>
      </c>
      <c r="M178" s="1" t="s">
        <v>33</v>
      </c>
      <c r="N178" s="1" t="s">
        <v>33</v>
      </c>
      <c r="O178" t="str">
        <f t="shared" si="8"/>
        <v>OK</v>
      </c>
      <c r="P178" t="str">
        <f t="shared" si="9"/>
        <v>OK</v>
      </c>
      <c r="Q178">
        <f t="shared" si="10"/>
        <v>19</v>
      </c>
      <c r="R178" t="str">
        <f t="shared" si="11"/>
        <v>OK</v>
      </c>
    </row>
    <row r="179" spans="1:18">
      <c r="A179" s="1" t="s">
        <v>753</v>
      </c>
      <c r="B179" s="1" t="s">
        <v>354</v>
      </c>
      <c r="C179" s="5">
        <v>45984</v>
      </c>
      <c r="D179" s="5">
        <v>45995</v>
      </c>
      <c r="E179" s="1" t="s">
        <v>125</v>
      </c>
      <c r="F179" s="1" t="s">
        <v>126</v>
      </c>
      <c r="G179" s="1">
        <v>63</v>
      </c>
      <c r="H179" s="1" t="s">
        <v>84</v>
      </c>
      <c r="I179" s="1" t="s">
        <v>127</v>
      </c>
      <c r="J179" s="1" t="s">
        <v>22</v>
      </c>
      <c r="K179" s="1">
        <v>7895</v>
      </c>
      <c r="L179" s="1">
        <v>11</v>
      </c>
      <c r="M179" s="1" t="s">
        <v>52</v>
      </c>
      <c r="N179" s="1" t="s">
        <v>33</v>
      </c>
      <c r="O179" t="str">
        <f t="shared" si="8"/>
        <v>OK</v>
      </c>
      <c r="P179" t="str">
        <f t="shared" si="9"/>
        <v>OK</v>
      </c>
      <c r="Q179">
        <f t="shared" si="10"/>
        <v>11</v>
      </c>
      <c r="R179" t="str">
        <f t="shared" si="11"/>
        <v>OK</v>
      </c>
    </row>
    <row r="180" spans="1:18">
      <c r="A180" s="1" t="s">
        <v>758</v>
      </c>
      <c r="B180" s="1" t="s">
        <v>759</v>
      </c>
      <c r="C180" s="5">
        <v>45984</v>
      </c>
      <c r="D180" s="5">
        <v>45989</v>
      </c>
      <c r="E180" s="1" t="s">
        <v>249</v>
      </c>
      <c r="F180" s="1" t="s">
        <v>96</v>
      </c>
      <c r="G180" s="1">
        <v>7</v>
      </c>
      <c r="H180" s="1" t="s">
        <v>104</v>
      </c>
      <c r="I180" s="1" t="s">
        <v>49</v>
      </c>
      <c r="J180" s="1" t="s">
        <v>40</v>
      </c>
      <c r="K180" s="1"/>
      <c r="L180" s="1"/>
      <c r="M180" s="1" t="s">
        <v>33</v>
      </c>
      <c r="N180" s="1" t="s">
        <v>52</v>
      </c>
      <c r="O180" t="str">
        <f t="shared" si="8"/>
        <v>OK</v>
      </c>
      <c r="P180" t="str">
        <f t="shared" si="9"/>
        <v>Missing cost</v>
      </c>
      <c r="Q180">
        <f t="shared" si="10"/>
        <v>5</v>
      </c>
      <c r="R180" t="str">
        <f t="shared" si="11"/>
        <v>Missing recorded stay</v>
      </c>
    </row>
    <row r="181" spans="1:18">
      <c r="A181" s="1" t="s">
        <v>761</v>
      </c>
      <c r="B181" s="1" t="s">
        <v>762</v>
      </c>
      <c r="C181" s="5">
        <v>45835</v>
      </c>
      <c r="D181" s="5">
        <v>45847</v>
      </c>
      <c r="E181" s="1" t="s">
        <v>120</v>
      </c>
      <c r="F181" s="1" t="s">
        <v>39</v>
      </c>
      <c r="G181" s="1">
        <v>91</v>
      </c>
      <c r="H181" s="1" t="s">
        <v>84</v>
      </c>
      <c r="I181" s="1" t="s">
        <v>49</v>
      </c>
      <c r="J181" s="1" t="s">
        <v>40</v>
      </c>
      <c r="K181" s="1">
        <v>5834</v>
      </c>
      <c r="L181" s="1">
        <v>12</v>
      </c>
      <c r="M181" s="1" t="s">
        <v>33</v>
      </c>
      <c r="N181" s="1" t="s">
        <v>52</v>
      </c>
      <c r="O181" t="str">
        <f t="shared" si="8"/>
        <v>OK</v>
      </c>
      <c r="P181" t="str">
        <f t="shared" si="9"/>
        <v>OK</v>
      </c>
      <c r="Q181">
        <f t="shared" si="10"/>
        <v>12</v>
      </c>
      <c r="R181" t="str">
        <f t="shared" si="11"/>
        <v>OK</v>
      </c>
    </row>
    <row r="182" spans="1:18">
      <c r="A182" s="1" t="s">
        <v>764</v>
      </c>
      <c r="B182" s="1" t="s">
        <v>765</v>
      </c>
      <c r="C182" s="5">
        <v>46001</v>
      </c>
      <c r="D182" s="5">
        <v>46009</v>
      </c>
      <c r="E182" s="1" t="s">
        <v>18</v>
      </c>
      <c r="F182" s="1" t="s">
        <v>83</v>
      </c>
      <c r="G182" s="1">
        <v>62</v>
      </c>
      <c r="H182" s="1" t="s">
        <v>84</v>
      </c>
      <c r="I182" s="1" t="s">
        <v>49</v>
      </c>
      <c r="J182" s="1" t="s">
        <v>22</v>
      </c>
      <c r="K182" s="1">
        <v>750000</v>
      </c>
      <c r="L182" s="1">
        <v>8</v>
      </c>
      <c r="M182" s="1" t="s">
        <v>52</v>
      </c>
      <c r="N182" s="1" t="s">
        <v>33</v>
      </c>
      <c r="O182" t="str">
        <f t="shared" si="8"/>
        <v>OK</v>
      </c>
      <c r="P182" t="str">
        <f t="shared" si="9"/>
        <v>Review high cost</v>
      </c>
      <c r="Q182">
        <f t="shared" si="10"/>
        <v>8</v>
      </c>
      <c r="R182" t="str">
        <f t="shared" si="11"/>
        <v>OK</v>
      </c>
    </row>
    <row r="183" spans="1:18">
      <c r="A183" s="1" t="s">
        <v>768</v>
      </c>
      <c r="B183" s="1" t="s">
        <v>769</v>
      </c>
      <c r="C183" s="5">
        <v>45684</v>
      </c>
      <c r="D183" s="5">
        <v>45699</v>
      </c>
      <c r="E183" s="1" t="s">
        <v>18</v>
      </c>
      <c r="F183" s="1" t="s">
        <v>83</v>
      </c>
      <c r="G183" s="1"/>
      <c r="H183" s="1" t="s">
        <v>104</v>
      </c>
      <c r="I183" s="1" t="s">
        <v>127</v>
      </c>
      <c r="J183" s="1" t="s">
        <v>22</v>
      </c>
      <c r="K183" s="1">
        <v>13167</v>
      </c>
      <c r="L183" s="1">
        <v>15</v>
      </c>
      <c r="M183" s="1" t="s">
        <v>33</v>
      </c>
      <c r="N183" s="1" t="s">
        <v>33</v>
      </c>
      <c r="O183" t="str">
        <f t="shared" si="8"/>
        <v>OK</v>
      </c>
      <c r="P183" t="str">
        <f t="shared" si="9"/>
        <v>OK</v>
      </c>
      <c r="Q183">
        <f t="shared" si="10"/>
        <v>15</v>
      </c>
      <c r="R183" t="str">
        <f t="shared" si="11"/>
        <v>OK</v>
      </c>
    </row>
    <row r="184" spans="1:18">
      <c r="A184" s="1" t="s">
        <v>772</v>
      </c>
      <c r="B184" s="1" t="s">
        <v>773</v>
      </c>
      <c r="C184" s="5">
        <v>45912</v>
      </c>
      <c r="D184" s="5">
        <v>45928</v>
      </c>
      <c r="E184" s="1" t="s">
        <v>149</v>
      </c>
      <c r="F184" s="1" t="s">
        <v>109</v>
      </c>
      <c r="G184" s="1">
        <v>58</v>
      </c>
      <c r="H184" s="1" t="s">
        <v>84</v>
      </c>
      <c r="I184" s="1" t="s">
        <v>65</v>
      </c>
      <c r="J184" s="1" t="s">
        <v>40</v>
      </c>
      <c r="K184" s="1">
        <v>8896</v>
      </c>
      <c r="L184" s="1">
        <v>16</v>
      </c>
      <c r="M184" s="1" t="s">
        <v>52</v>
      </c>
      <c r="N184" s="1" t="s">
        <v>33</v>
      </c>
      <c r="O184" t="str">
        <f t="shared" si="8"/>
        <v>OK</v>
      </c>
      <c r="P184" t="str">
        <f t="shared" si="9"/>
        <v>OK</v>
      </c>
      <c r="Q184">
        <f t="shared" si="10"/>
        <v>16</v>
      </c>
      <c r="R184" t="str">
        <f t="shared" si="11"/>
        <v>OK</v>
      </c>
    </row>
    <row r="185" spans="1:18">
      <c r="A185" s="1" t="s">
        <v>776</v>
      </c>
      <c r="B185" s="1" t="s">
        <v>777</v>
      </c>
      <c r="C185" s="5">
        <v>45852</v>
      </c>
      <c r="D185" s="5">
        <v>45855</v>
      </c>
      <c r="E185" s="1" t="s">
        <v>120</v>
      </c>
      <c r="F185" s="1" t="s">
        <v>39</v>
      </c>
      <c r="G185" s="1"/>
      <c r="H185" s="1" t="s">
        <v>84</v>
      </c>
      <c r="I185" s="1" t="s">
        <v>65</v>
      </c>
      <c r="J185" s="1" t="s">
        <v>32</v>
      </c>
      <c r="K185" s="1">
        <v>11321</v>
      </c>
      <c r="L185" s="1">
        <v>3</v>
      </c>
      <c r="M185" s="1" t="s">
        <v>33</v>
      </c>
      <c r="N185" s="1" t="s">
        <v>33</v>
      </c>
      <c r="O185" t="str">
        <f t="shared" si="8"/>
        <v>OK</v>
      </c>
      <c r="P185" t="str">
        <f t="shared" si="9"/>
        <v>OK</v>
      </c>
      <c r="Q185">
        <f t="shared" si="10"/>
        <v>3</v>
      </c>
      <c r="R185" t="str">
        <f t="shared" si="11"/>
        <v>OK</v>
      </c>
    </row>
    <row r="186" spans="1:18">
      <c r="A186" s="1" t="s">
        <v>779</v>
      </c>
      <c r="B186" s="1" t="s">
        <v>780</v>
      </c>
      <c r="C186" s="5">
        <v>45907</v>
      </c>
      <c r="D186" s="5">
        <v>45909</v>
      </c>
      <c r="E186" s="1" t="s">
        <v>249</v>
      </c>
      <c r="F186" s="1" t="s">
        <v>96</v>
      </c>
      <c r="G186" s="1">
        <v>9</v>
      </c>
      <c r="H186" s="1" t="s">
        <v>104</v>
      </c>
      <c r="I186" s="1" t="s">
        <v>65</v>
      </c>
      <c r="J186" s="1" t="s">
        <v>32</v>
      </c>
      <c r="K186" s="1">
        <v>7008</v>
      </c>
      <c r="L186" s="1">
        <v>2</v>
      </c>
      <c r="M186" s="1" t="s">
        <v>33</v>
      </c>
      <c r="N186" s="1" t="s">
        <v>52</v>
      </c>
      <c r="O186" t="str">
        <f t="shared" si="8"/>
        <v>OK</v>
      </c>
      <c r="P186" t="str">
        <f t="shared" si="9"/>
        <v>OK</v>
      </c>
      <c r="Q186">
        <f t="shared" si="10"/>
        <v>2</v>
      </c>
      <c r="R186" t="str">
        <f t="shared" si="11"/>
        <v>OK</v>
      </c>
    </row>
    <row r="187" spans="1:18">
      <c r="A187" s="1" t="s">
        <v>782</v>
      </c>
      <c r="B187" s="1" t="s">
        <v>783</v>
      </c>
      <c r="C187" s="5">
        <v>45931</v>
      </c>
      <c r="D187" s="5">
        <v>45943</v>
      </c>
      <c r="E187" s="1" t="s">
        <v>18</v>
      </c>
      <c r="F187" s="1" t="s">
        <v>83</v>
      </c>
      <c r="G187" s="1">
        <v>72</v>
      </c>
      <c r="H187" s="1" t="s">
        <v>84</v>
      </c>
      <c r="I187" s="1" t="s">
        <v>127</v>
      </c>
      <c r="J187" s="1" t="s">
        <v>22</v>
      </c>
      <c r="K187" s="1">
        <v>8589</v>
      </c>
      <c r="L187" s="1">
        <v>12</v>
      </c>
      <c r="M187" s="1" t="s">
        <v>52</v>
      </c>
      <c r="N187" s="1" t="s">
        <v>33</v>
      </c>
      <c r="O187" t="str">
        <f t="shared" si="8"/>
        <v>OK</v>
      </c>
      <c r="P187" t="str">
        <f t="shared" si="9"/>
        <v>OK</v>
      </c>
      <c r="Q187">
        <f t="shared" si="10"/>
        <v>12</v>
      </c>
      <c r="R187" t="str">
        <f t="shared" si="11"/>
        <v>OK</v>
      </c>
    </row>
    <row r="188" spans="1:18">
      <c r="A188" s="1" t="s">
        <v>787</v>
      </c>
      <c r="B188" s="1" t="s">
        <v>788</v>
      </c>
      <c r="C188" s="5">
        <v>45779</v>
      </c>
      <c r="D188" s="5">
        <v>45785</v>
      </c>
      <c r="E188" s="1" t="s">
        <v>29</v>
      </c>
      <c r="F188" s="1" t="s">
        <v>77</v>
      </c>
      <c r="G188" s="1">
        <v>48</v>
      </c>
      <c r="H188" s="1" t="s">
        <v>104</v>
      </c>
      <c r="I188" s="1"/>
      <c r="J188" s="1" t="s">
        <v>32</v>
      </c>
      <c r="K188" s="1">
        <v>5995</v>
      </c>
      <c r="L188" s="1">
        <v>6</v>
      </c>
      <c r="M188" s="1" t="s">
        <v>52</v>
      </c>
      <c r="N188" s="1" t="s">
        <v>52</v>
      </c>
      <c r="O188" t="str">
        <f t="shared" si="8"/>
        <v>OK</v>
      </c>
      <c r="P188" t="str">
        <f t="shared" si="9"/>
        <v>OK</v>
      </c>
      <c r="Q188">
        <f t="shared" si="10"/>
        <v>6</v>
      </c>
      <c r="R188" t="str">
        <f t="shared" si="11"/>
        <v>OK</v>
      </c>
    </row>
    <row r="189" spans="1:18">
      <c r="A189" s="1" t="s">
        <v>791</v>
      </c>
      <c r="B189" s="1" t="s">
        <v>707</v>
      </c>
      <c r="C189" s="5">
        <v>45953</v>
      </c>
      <c r="D189" s="5">
        <v>45965</v>
      </c>
      <c r="E189" s="1" t="s">
        <v>29</v>
      </c>
      <c r="F189" s="1" t="s">
        <v>77</v>
      </c>
      <c r="G189" s="1">
        <v>38</v>
      </c>
      <c r="H189" s="1" t="s">
        <v>104</v>
      </c>
      <c r="I189" s="1" t="s">
        <v>65</v>
      </c>
      <c r="J189" s="1" t="s">
        <v>22</v>
      </c>
      <c r="K189" s="1">
        <v>10218</v>
      </c>
      <c r="L189" s="1">
        <v>12</v>
      </c>
      <c r="M189" s="1" t="s">
        <v>33</v>
      </c>
      <c r="N189" s="1" t="s">
        <v>52</v>
      </c>
      <c r="O189" t="str">
        <f t="shared" si="8"/>
        <v>OK</v>
      </c>
      <c r="P189" t="str">
        <f t="shared" si="9"/>
        <v>OK</v>
      </c>
      <c r="Q189">
        <f t="shared" si="10"/>
        <v>12</v>
      </c>
      <c r="R189" t="str">
        <f t="shared" si="11"/>
        <v>OK</v>
      </c>
    </row>
    <row r="190" spans="1:18">
      <c r="A190" s="1" t="s">
        <v>793</v>
      </c>
      <c r="B190" s="1" t="s">
        <v>794</v>
      </c>
      <c r="C190" s="5">
        <v>45940</v>
      </c>
      <c r="D190" s="5">
        <v>45956</v>
      </c>
      <c r="E190" s="1" t="s">
        <v>120</v>
      </c>
      <c r="F190" s="1" t="s">
        <v>39</v>
      </c>
      <c r="G190" s="1">
        <v>67</v>
      </c>
      <c r="H190" s="1" t="s">
        <v>48</v>
      </c>
      <c r="I190" s="1" t="s">
        <v>65</v>
      </c>
      <c r="J190" s="1" t="s">
        <v>40</v>
      </c>
      <c r="K190" s="1">
        <v>9603</v>
      </c>
      <c r="L190" s="1">
        <v>16</v>
      </c>
      <c r="M190" s="1" t="s">
        <v>52</v>
      </c>
      <c r="N190" s="1" t="s">
        <v>33</v>
      </c>
      <c r="O190" t="str">
        <f t="shared" si="8"/>
        <v>OK</v>
      </c>
      <c r="P190" t="str">
        <f t="shared" si="9"/>
        <v>OK</v>
      </c>
      <c r="Q190">
        <f t="shared" si="10"/>
        <v>16</v>
      </c>
      <c r="R190" t="str">
        <f t="shared" si="11"/>
        <v>OK</v>
      </c>
    </row>
    <row r="191" spans="1:18">
      <c r="A191" s="1" t="s">
        <v>798</v>
      </c>
      <c r="B191" s="1" t="s">
        <v>346</v>
      </c>
      <c r="C191" s="5">
        <v>45805</v>
      </c>
      <c r="D191" s="5">
        <v>45816</v>
      </c>
      <c r="E191" s="1" t="s">
        <v>149</v>
      </c>
      <c r="F191" s="1" t="s">
        <v>109</v>
      </c>
      <c r="G191" s="1">
        <v>71</v>
      </c>
      <c r="H191" s="1" t="s">
        <v>104</v>
      </c>
      <c r="I191" s="1" t="s">
        <v>49</v>
      </c>
      <c r="J191" s="1" t="s">
        <v>22</v>
      </c>
      <c r="K191" s="1"/>
      <c r="L191" s="1">
        <v>11</v>
      </c>
      <c r="M191" s="1" t="s">
        <v>33</v>
      </c>
      <c r="N191" s="1" t="s">
        <v>33</v>
      </c>
      <c r="O191" t="str">
        <f t="shared" si="8"/>
        <v>OK</v>
      </c>
      <c r="P191" t="str">
        <f t="shared" si="9"/>
        <v>Missing cost</v>
      </c>
      <c r="Q191">
        <f t="shared" si="10"/>
        <v>11</v>
      </c>
      <c r="R191" t="str">
        <f t="shared" si="11"/>
        <v>OK</v>
      </c>
    </row>
    <row r="192" spans="1:18">
      <c r="A192" s="1" t="s">
        <v>800</v>
      </c>
      <c r="B192" s="1" t="s">
        <v>801</v>
      </c>
      <c r="C192" s="5">
        <v>45759</v>
      </c>
      <c r="D192" s="5">
        <v>45762</v>
      </c>
      <c r="E192" s="1" t="s">
        <v>249</v>
      </c>
      <c r="F192" s="1" t="s">
        <v>96</v>
      </c>
      <c r="G192" s="1"/>
      <c r="H192" s="1" t="s">
        <v>104</v>
      </c>
      <c r="I192" s="1" t="s">
        <v>127</v>
      </c>
      <c r="J192" s="1" t="s">
        <v>40</v>
      </c>
      <c r="K192" s="1"/>
      <c r="L192" s="1">
        <v>3</v>
      </c>
      <c r="M192" s="1" t="s">
        <v>52</v>
      </c>
      <c r="N192" s="1" t="s">
        <v>52</v>
      </c>
      <c r="O192" t="str">
        <f t="shared" si="8"/>
        <v>OK</v>
      </c>
      <c r="P192" t="str">
        <f t="shared" si="9"/>
        <v>Missing cost</v>
      </c>
      <c r="Q192">
        <f t="shared" si="10"/>
        <v>3</v>
      </c>
      <c r="R192" t="str">
        <f t="shared" si="11"/>
        <v>OK</v>
      </c>
    </row>
    <row r="193" spans="1:18">
      <c r="A193" s="1" t="s">
        <v>804</v>
      </c>
      <c r="B193" s="1" t="s">
        <v>805</v>
      </c>
      <c r="C193" s="5">
        <v>45684</v>
      </c>
      <c r="D193" s="5">
        <v>45697</v>
      </c>
      <c r="E193" s="1" t="s">
        <v>125</v>
      </c>
      <c r="F193" s="1" t="s">
        <v>126</v>
      </c>
      <c r="G193" s="1">
        <v>69</v>
      </c>
      <c r="H193" s="1" t="s">
        <v>84</v>
      </c>
      <c r="I193" s="1" t="s">
        <v>65</v>
      </c>
      <c r="J193" s="1" t="s">
        <v>22</v>
      </c>
      <c r="K193" s="1"/>
      <c r="L193" s="1">
        <v>13</v>
      </c>
      <c r="M193" s="1" t="s">
        <v>33</v>
      </c>
      <c r="N193" s="1" t="s">
        <v>33</v>
      </c>
      <c r="O193" t="str">
        <f t="shared" si="8"/>
        <v>OK</v>
      </c>
      <c r="P193" t="str">
        <f t="shared" si="9"/>
        <v>Missing cost</v>
      </c>
      <c r="Q193">
        <f t="shared" si="10"/>
        <v>13</v>
      </c>
      <c r="R193" t="str">
        <f t="shared" si="11"/>
        <v>OK</v>
      </c>
    </row>
    <row r="194" spans="1:18">
      <c r="A194" s="1" t="s">
        <v>808</v>
      </c>
      <c r="B194" s="1" t="s">
        <v>67</v>
      </c>
      <c r="C194" s="5">
        <v>45887</v>
      </c>
      <c r="D194" s="5">
        <v>45905</v>
      </c>
      <c r="E194" s="1" t="s">
        <v>18</v>
      </c>
      <c r="F194" s="1" t="s">
        <v>83</v>
      </c>
      <c r="G194" s="1">
        <v>31</v>
      </c>
      <c r="H194" s="1" t="s">
        <v>84</v>
      </c>
      <c r="I194" s="1" t="s">
        <v>49</v>
      </c>
      <c r="J194" s="1" t="s">
        <v>22</v>
      </c>
      <c r="K194" s="1">
        <v>2996</v>
      </c>
      <c r="L194" s="1">
        <v>18</v>
      </c>
      <c r="M194" s="1" t="s">
        <v>33</v>
      </c>
      <c r="N194" s="1" t="s">
        <v>33</v>
      </c>
      <c r="O194" t="str">
        <f t="shared" si="8"/>
        <v>OK</v>
      </c>
      <c r="P194" t="str">
        <f t="shared" si="9"/>
        <v>OK</v>
      </c>
      <c r="Q194">
        <f t="shared" si="10"/>
        <v>18</v>
      </c>
      <c r="R194" t="str">
        <f t="shared" si="11"/>
        <v>OK</v>
      </c>
    </row>
    <row r="195" spans="1:18">
      <c r="A195" s="1" t="s">
        <v>810</v>
      </c>
      <c r="B195" s="1" t="s">
        <v>811</v>
      </c>
      <c r="C195" s="5">
        <v>45993</v>
      </c>
      <c r="D195" s="5">
        <v>45994</v>
      </c>
      <c r="E195" s="1" t="s">
        <v>125</v>
      </c>
      <c r="F195" s="1" t="s">
        <v>126</v>
      </c>
      <c r="G195" s="1">
        <v>76</v>
      </c>
      <c r="H195" s="1" t="s">
        <v>48</v>
      </c>
      <c r="I195" s="1" t="s">
        <v>127</v>
      </c>
      <c r="J195" s="1" t="s">
        <v>40</v>
      </c>
      <c r="K195" s="1">
        <v>6843</v>
      </c>
      <c r="L195" s="1">
        <v>1</v>
      </c>
      <c r="M195" s="1" t="s">
        <v>52</v>
      </c>
      <c r="N195" s="1" t="s">
        <v>33</v>
      </c>
      <c r="O195" t="str">
        <f t="shared" ref="O195:O258" si="12">IF(OR(C195="",D195=""),"Missing date",IF(D195&lt;C195,"Check dates","OK"))</f>
        <v>OK</v>
      </c>
      <c r="P195" t="str">
        <f t="shared" ref="P195:P258" si="13">IF(K195="","Missing cost",IF(ISNUMBER(K195),IF(K195&lt;0,"Negative cost",IF(K195&gt;100000,"Review high cost","OK")),"Check format"))</f>
        <v>OK</v>
      </c>
      <c r="Q195">
        <f t="shared" ref="Q195:Q258" si="14">IF(AND(ISNUMBER(C195),ISNUMBER(D195)),IF(D195&gt;=C195,D195-C195,""),"")</f>
        <v>1</v>
      </c>
      <c r="R195" t="str">
        <f t="shared" ref="R195:R258" si="15">IF(Q195="","Cannot check dates",IF(L195="","Missing recorded stay",IF(ISNUMBER(L195),IF(L195=Q195,"OK","Mismatch"),"Check format")))</f>
        <v>OK</v>
      </c>
    </row>
    <row r="196" spans="1:18">
      <c r="A196" s="1" t="s">
        <v>814</v>
      </c>
      <c r="B196" s="1" t="s">
        <v>620</v>
      </c>
      <c r="C196" s="5">
        <v>45707</v>
      </c>
      <c r="D196" s="5">
        <v>45727</v>
      </c>
      <c r="E196" s="1" t="s">
        <v>18</v>
      </c>
      <c r="F196" s="1" t="s">
        <v>83</v>
      </c>
      <c r="G196" s="1">
        <v>53</v>
      </c>
      <c r="H196" s="1"/>
      <c r="I196" s="1" t="s">
        <v>127</v>
      </c>
      <c r="J196" s="1" t="s">
        <v>32</v>
      </c>
      <c r="K196" s="1">
        <v>3596</v>
      </c>
      <c r="L196" s="1">
        <v>20</v>
      </c>
      <c r="M196" s="1" t="s">
        <v>33</v>
      </c>
      <c r="N196" s="1" t="s">
        <v>52</v>
      </c>
      <c r="O196" t="str">
        <f t="shared" si="12"/>
        <v>OK</v>
      </c>
      <c r="P196" t="str">
        <f t="shared" si="13"/>
        <v>OK</v>
      </c>
      <c r="Q196">
        <f t="shared" si="14"/>
        <v>20</v>
      </c>
      <c r="R196" t="str">
        <f t="shared" si="15"/>
        <v>OK</v>
      </c>
    </row>
    <row r="197" spans="1:18">
      <c r="A197" s="1" t="s">
        <v>818</v>
      </c>
      <c r="B197" s="1" t="s">
        <v>371</v>
      </c>
      <c r="C197" s="5">
        <v>45901</v>
      </c>
      <c r="D197" s="5">
        <v>45909</v>
      </c>
      <c r="E197" s="1" t="s">
        <v>18</v>
      </c>
      <c r="F197" s="1" t="s">
        <v>83</v>
      </c>
      <c r="G197" s="1">
        <v>76</v>
      </c>
      <c r="H197" s="1" t="s">
        <v>84</v>
      </c>
      <c r="I197" s="1" t="s">
        <v>127</v>
      </c>
      <c r="J197" s="1" t="s">
        <v>22</v>
      </c>
      <c r="K197" s="1">
        <v>14132</v>
      </c>
      <c r="L197" s="1">
        <v>8</v>
      </c>
      <c r="M197" s="1" t="s">
        <v>33</v>
      </c>
      <c r="N197" s="1" t="s">
        <v>33</v>
      </c>
      <c r="O197" t="str">
        <f t="shared" si="12"/>
        <v>OK</v>
      </c>
      <c r="P197" t="str">
        <f t="shared" si="13"/>
        <v>OK</v>
      </c>
      <c r="Q197">
        <f t="shared" si="14"/>
        <v>8</v>
      </c>
      <c r="R197" t="str">
        <f t="shared" si="15"/>
        <v>OK</v>
      </c>
    </row>
    <row r="198" spans="1:18">
      <c r="A198" s="1" t="s">
        <v>820</v>
      </c>
      <c r="B198" s="1" t="s">
        <v>821</v>
      </c>
      <c r="C198" s="5">
        <v>45808</v>
      </c>
      <c r="D198" s="5">
        <v>45813</v>
      </c>
      <c r="E198" s="1" t="s">
        <v>249</v>
      </c>
      <c r="F198" s="1" t="s">
        <v>96</v>
      </c>
      <c r="G198" s="1">
        <v>14</v>
      </c>
      <c r="H198" s="1" t="s">
        <v>104</v>
      </c>
      <c r="I198" s="1"/>
      <c r="J198" s="1" t="s">
        <v>32</v>
      </c>
      <c r="K198" s="1">
        <v>11990</v>
      </c>
      <c r="L198" s="1">
        <v>5</v>
      </c>
      <c r="M198" s="1" t="s">
        <v>33</v>
      </c>
      <c r="N198" s="1" t="s">
        <v>52</v>
      </c>
      <c r="O198" t="str">
        <f t="shared" si="12"/>
        <v>OK</v>
      </c>
      <c r="P198" t="str">
        <f t="shared" si="13"/>
        <v>OK</v>
      </c>
      <c r="Q198">
        <f t="shared" si="14"/>
        <v>5</v>
      </c>
      <c r="R198" t="str">
        <f t="shared" si="15"/>
        <v>OK</v>
      </c>
    </row>
    <row r="199" spans="1:18">
      <c r="A199" s="1" t="s">
        <v>825</v>
      </c>
      <c r="B199" s="1" t="s">
        <v>826</v>
      </c>
      <c r="C199" s="5">
        <v>45678</v>
      </c>
      <c r="D199" s="5">
        <v>45693</v>
      </c>
      <c r="E199" s="1" t="s">
        <v>125</v>
      </c>
      <c r="F199" s="1" t="s">
        <v>126</v>
      </c>
      <c r="G199" s="1">
        <v>93</v>
      </c>
      <c r="H199" s="1" t="s">
        <v>104</v>
      </c>
      <c r="I199" s="1" t="s">
        <v>153</v>
      </c>
      <c r="J199" s="1" t="s">
        <v>40</v>
      </c>
      <c r="K199" s="1">
        <v>11020</v>
      </c>
      <c r="L199" s="1">
        <v>15</v>
      </c>
      <c r="M199" s="1" t="s">
        <v>52</v>
      </c>
      <c r="N199" s="1" t="s">
        <v>33</v>
      </c>
      <c r="O199" t="str">
        <f t="shared" si="12"/>
        <v>OK</v>
      </c>
      <c r="P199" t="str">
        <f t="shared" si="13"/>
        <v>OK</v>
      </c>
      <c r="Q199">
        <f t="shared" si="14"/>
        <v>15</v>
      </c>
      <c r="R199" t="str">
        <f t="shared" si="15"/>
        <v>OK</v>
      </c>
    </row>
    <row r="200" spans="1:18">
      <c r="A200" s="1" t="s">
        <v>829</v>
      </c>
      <c r="B200" s="1" t="s">
        <v>569</v>
      </c>
      <c r="C200" s="5">
        <v>45890</v>
      </c>
      <c r="D200" s="5">
        <v>45891</v>
      </c>
      <c r="E200" s="1" t="s">
        <v>18</v>
      </c>
      <c r="F200" s="1" t="s">
        <v>83</v>
      </c>
      <c r="G200" s="1">
        <v>52</v>
      </c>
      <c r="H200" s="1" t="s">
        <v>104</v>
      </c>
      <c r="I200" s="1" t="s">
        <v>65</v>
      </c>
      <c r="J200" s="1" t="s">
        <v>32</v>
      </c>
      <c r="K200" s="1">
        <v>6610</v>
      </c>
      <c r="L200" s="1"/>
      <c r="M200" s="1" t="s">
        <v>52</v>
      </c>
      <c r="N200" s="1" t="s">
        <v>52</v>
      </c>
      <c r="O200" t="str">
        <f t="shared" si="12"/>
        <v>OK</v>
      </c>
      <c r="P200" t="str">
        <f t="shared" si="13"/>
        <v>OK</v>
      </c>
      <c r="Q200">
        <f t="shared" si="14"/>
        <v>1</v>
      </c>
      <c r="R200" t="str">
        <f t="shared" si="15"/>
        <v>Missing recorded stay</v>
      </c>
    </row>
    <row r="201" spans="1:18">
      <c r="A201" s="1" t="s">
        <v>832</v>
      </c>
      <c r="B201" s="1" t="s">
        <v>833</v>
      </c>
      <c r="C201" s="5"/>
      <c r="D201" s="5">
        <v>45918</v>
      </c>
      <c r="E201" s="1" t="s">
        <v>29</v>
      </c>
      <c r="F201" s="1" t="s">
        <v>77</v>
      </c>
      <c r="G201" s="1">
        <v>72</v>
      </c>
      <c r="H201" s="1" t="s">
        <v>104</v>
      </c>
      <c r="I201" s="1" t="s">
        <v>153</v>
      </c>
      <c r="J201" s="1" t="s">
        <v>32</v>
      </c>
      <c r="K201" s="1">
        <v>13313</v>
      </c>
      <c r="L201" s="1">
        <v>8</v>
      </c>
      <c r="M201" s="1" t="s">
        <v>52</v>
      </c>
      <c r="N201" s="1" t="s">
        <v>33</v>
      </c>
      <c r="O201" t="str">
        <f t="shared" si="12"/>
        <v>Missing date</v>
      </c>
      <c r="P201" t="str">
        <f t="shared" si="13"/>
        <v>OK</v>
      </c>
      <c r="Q201" t="str">
        <f t="shared" si="14"/>
        <v/>
      </c>
      <c r="R201" t="str">
        <f t="shared" si="15"/>
        <v>Cannot check dates</v>
      </c>
    </row>
    <row r="202" spans="1:18">
      <c r="A202" s="1" t="s">
        <v>835</v>
      </c>
      <c r="B202" s="1" t="s">
        <v>666</v>
      </c>
      <c r="C202" s="5">
        <v>45713</v>
      </c>
      <c r="D202" s="5">
        <v>45717</v>
      </c>
      <c r="E202" s="1" t="s">
        <v>125</v>
      </c>
      <c r="F202" s="1" t="s">
        <v>126</v>
      </c>
      <c r="G202" s="1"/>
      <c r="H202" s="1" t="s">
        <v>84</v>
      </c>
      <c r="I202" s="1" t="s">
        <v>65</v>
      </c>
      <c r="J202" s="1" t="s">
        <v>32</v>
      </c>
      <c r="K202" s="1">
        <v>7898</v>
      </c>
      <c r="L202" s="1">
        <v>4</v>
      </c>
      <c r="M202" s="1" t="s">
        <v>33</v>
      </c>
      <c r="N202" s="1" t="s">
        <v>52</v>
      </c>
      <c r="O202" t="str">
        <f t="shared" si="12"/>
        <v>OK</v>
      </c>
      <c r="P202" t="str">
        <f t="shared" si="13"/>
        <v>OK</v>
      </c>
      <c r="Q202">
        <f t="shared" si="14"/>
        <v>4</v>
      </c>
      <c r="R202" t="str">
        <f t="shared" si="15"/>
        <v>OK</v>
      </c>
    </row>
    <row r="203" spans="1:18">
      <c r="A203" s="1" t="s">
        <v>837</v>
      </c>
      <c r="B203" s="1" t="s">
        <v>838</v>
      </c>
      <c r="C203" s="5">
        <v>45837</v>
      </c>
      <c r="D203" s="5">
        <v>45851</v>
      </c>
      <c r="E203" s="1" t="s">
        <v>120</v>
      </c>
      <c r="F203" s="1" t="s">
        <v>39</v>
      </c>
      <c r="G203" s="1">
        <v>89</v>
      </c>
      <c r="H203" s="1" t="s">
        <v>104</v>
      </c>
      <c r="I203" s="1" t="s">
        <v>65</v>
      </c>
      <c r="J203" s="1" t="s">
        <v>40</v>
      </c>
      <c r="K203" s="1">
        <v>1280</v>
      </c>
      <c r="L203" s="1">
        <v>14</v>
      </c>
      <c r="M203" s="1" t="s">
        <v>33</v>
      </c>
      <c r="N203" s="1" t="s">
        <v>33</v>
      </c>
      <c r="O203" t="str">
        <f t="shared" si="12"/>
        <v>OK</v>
      </c>
      <c r="P203" t="str">
        <f t="shared" si="13"/>
        <v>OK</v>
      </c>
      <c r="Q203">
        <f t="shared" si="14"/>
        <v>14</v>
      </c>
      <c r="R203" t="str">
        <f t="shared" si="15"/>
        <v>OK</v>
      </c>
    </row>
    <row r="204" spans="1:18">
      <c r="A204" s="1" t="s">
        <v>840</v>
      </c>
      <c r="B204" s="1" t="s">
        <v>841</v>
      </c>
      <c r="C204" s="5"/>
      <c r="D204" s="5">
        <v>45698</v>
      </c>
      <c r="E204" s="1" t="s">
        <v>120</v>
      </c>
      <c r="F204" s="1" t="s">
        <v>39</v>
      </c>
      <c r="G204" s="1">
        <v>92</v>
      </c>
      <c r="H204" s="1" t="s">
        <v>104</v>
      </c>
      <c r="I204" s="1" t="s">
        <v>65</v>
      </c>
      <c r="J204" s="1" t="s">
        <v>40</v>
      </c>
      <c r="K204" s="1">
        <v>8842</v>
      </c>
      <c r="L204" s="1">
        <v>8</v>
      </c>
      <c r="M204" s="1" t="s">
        <v>52</v>
      </c>
      <c r="N204" s="1" t="s">
        <v>33</v>
      </c>
      <c r="O204" t="str">
        <f t="shared" si="12"/>
        <v>Missing date</v>
      </c>
      <c r="P204" t="str">
        <f t="shared" si="13"/>
        <v>OK</v>
      </c>
      <c r="Q204" t="str">
        <f t="shared" si="14"/>
        <v/>
      </c>
      <c r="R204" t="str">
        <f t="shared" si="15"/>
        <v>Cannot check dates</v>
      </c>
    </row>
    <row r="205" spans="1:18">
      <c r="A205" s="1" t="s">
        <v>842</v>
      </c>
      <c r="B205" s="1" t="s">
        <v>74</v>
      </c>
      <c r="C205" s="5">
        <v>45734</v>
      </c>
      <c r="D205" s="5">
        <v>45748</v>
      </c>
      <c r="E205" s="1" t="s">
        <v>29</v>
      </c>
      <c r="F205" s="1" t="s">
        <v>77</v>
      </c>
      <c r="G205" s="1">
        <v>85</v>
      </c>
      <c r="H205" s="1" t="s">
        <v>84</v>
      </c>
      <c r="I205" s="1" t="s">
        <v>65</v>
      </c>
      <c r="J205" s="1" t="s">
        <v>22</v>
      </c>
      <c r="K205" s="1">
        <v>9626</v>
      </c>
      <c r="L205" s="1">
        <v>14</v>
      </c>
      <c r="M205" s="1" t="s">
        <v>52</v>
      </c>
      <c r="N205" s="1" t="s">
        <v>52</v>
      </c>
      <c r="O205" t="str">
        <f t="shared" si="12"/>
        <v>OK</v>
      </c>
      <c r="P205" t="str">
        <f t="shared" si="13"/>
        <v>OK</v>
      </c>
      <c r="Q205">
        <f t="shared" si="14"/>
        <v>14</v>
      </c>
      <c r="R205" t="str">
        <f t="shared" si="15"/>
        <v>OK</v>
      </c>
    </row>
    <row r="206" spans="1:18">
      <c r="A206" s="1" t="s">
        <v>845</v>
      </c>
      <c r="B206" s="1" t="s">
        <v>846</v>
      </c>
      <c r="C206" s="5"/>
      <c r="D206" s="5">
        <v>45726</v>
      </c>
      <c r="E206" s="1" t="s">
        <v>249</v>
      </c>
      <c r="F206" s="1" t="s">
        <v>96</v>
      </c>
      <c r="G206" s="1">
        <v>11</v>
      </c>
      <c r="H206" s="1" t="s">
        <v>104</v>
      </c>
      <c r="I206" s="1" t="s">
        <v>153</v>
      </c>
      <c r="J206" s="1" t="s">
        <v>40</v>
      </c>
      <c r="K206" s="1">
        <v>8464</v>
      </c>
      <c r="L206" s="1">
        <v>3</v>
      </c>
      <c r="M206" s="1" t="s">
        <v>52</v>
      </c>
      <c r="N206" s="1" t="s">
        <v>33</v>
      </c>
      <c r="O206" t="str">
        <f t="shared" si="12"/>
        <v>Missing date</v>
      </c>
      <c r="P206" t="str">
        <f t="shared" si="13"/>
        <v>OK</v>
      </c>
      <c r="Q206" t="str">
        <f t="shared" si="14"/>
        <v/>
      </c>
      <c r="R206" t="str">
        <f t="shared" si="15"/>
        <v>Cannot check dates</v>
      </c>
    </row>
    <row r="207" spans="1:18">
      <c r="A207" s="1" t="s">
        <v>848</v>
      </c>
      <c r="B207" s="1" t="s">
        <v>849</v>
      </c>
      <c r="C207" s="5">
        <v>45970</v>
      </c>
      <c r="D207" s="5">
        <v>45981</v>
      </c>
      <c r="E207" s="1" t="s">
        <v>18</v>
      </c>
      <c r="F207" s="1" t="s">
        <v>83</v>
      </c>
      <c r="G207" s="1">
        <v>70</v>
      </c>
      <c r="H207" s="1" t="s">
        <v>48</v>
      </c>
      <c r="I207" s="1" t="s">
        <v>127</v>
      </c>
      <c r="J207" s="1" t="s">
        <v>22</v>
      </c>
      <c r="K207" s="1">
        <v>7880</v>
      </c>
      <c r="L207" s="1">
        <v>11</v>
      </c>
      <c r="M207" s="1" t="s">
        <v>52</v>
      </c>
      <c r="N207" s="1" t="s">
        <v>52</v>
      </c>
      <c r="O207" t="str">
        <f t="shared" si="12"/>
        <v>OK</v>
      </c>
      <c r="P207" t="str">
        <f t="shared" si="13"/>
        <v>OK</v>
      </c>
      <c r="Q207">
        <f t="shared" si="14"/>
        <v>11</v>
      </c>
      <c r="R207" t="str">
        <f t="shared" si="15"/>
        <v>OK</v>
      </c>
    </row>
    <row r="208" spans="1:18">
      <c r="A208" s="1" t="s">
        <v>851</v>
      </c>
      <c r="B208" s="1" t="s">
        <v>129</v>
      </c>
      <c r="C208" s="5">
        <v>45770</v>
      </c>
      <c r="D208" s="5">
        <v>45776</v>
      </c>
      <c r="E208" s="1" t="s">
        <v>125</v>
      </c>
      <c r="F208" s="1" t="s">
        <v>126</v>
      </c>
      <c r="G208" s="1">
        <v>28</v>
      </c>
      <c r="H208" s="1" t="s">
        <v>104</v>
      </c>
      <c r="I208" s="1" t="s">
        <v>65</v>
      </c>
      <c r="J208" s="1" t="s">
        <v>22</v>
      </c>
      <c r="K208" s="1">
        <v>2136</v>
      </c>
      <c r="L208" s="1">
        <v>6</v>
      </c>
      <c r="M208" s="1" t="s">
        <v>52</v>
      </c>
      <c r="N208" s="1" t="s">
        <v>33</v>
      </c>
      <c r="O208" t="str">
        <f t="shared" si="12"/>
        <v>OK</v>
      </c>
      <c r="P208" t="str">
        <f t="shared" si="13"/>
        <v>OK</v>
      </c>
      <c r="Q208">
        <f t="shared" si="14"/>
        <v>6</v>
      </c>
      <c r="R208" t="str">
        <f t="shared" si="15"/>
        <v>OK</v>
      </c>
    </row>
    <row r="209" spans="1:18">
      <c r="A209" s="1" t="s">
        <v>854</v>
      </c>
      <c r="B209" s="1" t="s">
        <v>855</v>
      </c>
      <c r="C209" s="5">
        <v>45849</v>
      </c>
      <c r="D209" s="5">
        <v>45860</v>
      </c>
      <c r="E209" s="1" t="s">
        <v>120</v>
      </c>
      <c r="F209" s="1" t="s">
        <v>39</v>
      </c>
      <c r="G209" s="1"/>
      <c r="H209" s="1" t="s">
        <v>104</v>
      </c>
      <c r="I209" s="1" t="s">
        <v>127</v>
      </c>
      <c r="J209" s="1" t="s">
        <v>40</v>
      </c>
      <c r="K209" s="1">
        <v>5612</v>
      </c>
      <c r="L209" s="1">
        <v>11</v>
      </c>
      <c r="M209" s="1" t="s">
        <v>33</v>
      </c>
      <c r="N209" s="1" t="s">
        <v>33</v>
      </c>
      <c r="O209" t="str">
        <f t="shared" si="12"/>
        <v>OK</v>
      </c>
      <c r="P209" t="str">
        <f t="shared" si="13"/>
        <v>OK</v>
      </c>
      <c r="Q209">
        <f t="shared" si="14"/>
        <v>11</v>
      </c>
      <c r="R209" t="str">
        <f t="shared" si="15"/>
        <v>OK</v>
      </c>
    </row>
    <row r="210" spans="1:18">
      <c r="A210" s="1" t="s">
        <v>857</v>
      </c>
      <c r="B210" s="1" t="s">
        <v>858</v>
      </c>
      <c r="C210" s="5">
        <v>45916</v>
      </c>
      <c r="D210" s="5">
        <v>45930</v>
      </c>
      <c r="E210" s="1" t="s">
        <v>249</v>
      </c>
      <c r="F210" s="1" t="s">
        <v>96</v>
      </c>
      <c r="G210" s="1">
        <v>11</v>
      </c>
      <c r="H210" s="1" t="s">
        <v>84</v>
      </c>
      <c r="I210" s="1" t="s">
        <v>127</v>
      </c>
      <c r="J210" s="1" t="s">
        <v>32</v>
      </c>
      <c r="K210" s="1"/>
      <c r="L210" s="1">
        <v>14</v>
      </c>
      <c r="M210" s="1" t="s">
        <v>52</v>
      </c>
      <c r="N210" s="1" t="s">
        <v>52</v>
      </c>
      <c r="O210" t="str">
        <f t="shared" si="12"/>
        <v>OK</v>
      </c>
      <c r="P210" t="str">
        <f t="shared" si="13"/>
        <v>Missing cost</v>
      </c>
      <c r="Q210">
        <f t="shared" si="14"/>
        <v>14</v>
      </c>
      <c r="R210" t="str">
        <f t="shared" si="15"/>
        <v>OK</v>
      </c>
    </row>
    <row r="211" spans="1:18">
      <c r="A211" s="1" t="s">
        <v>861</v>
      </c>
      <c r="B211" s="1" t="s">
        <v>35</v>
      </c>
      <c r="C211" s="5">
        <v>45980</v>
      </c>
      <c r="D211" s="5">
        <v>45998</v>
      </c>
      <c r="E211" s="1" t="s">
        <v>149</v>
      </c>
      <c r="F211" s="1" t="s">
        <v>109</v>
      </c>
      <c r="G211" s="1">
        <v>38</v>
      </c>
      <c r="H211" s="1" t="s">
        <v>104</v>
      </c>
      <c r="I211" s="1" t="s">
        <v>49</v>
      </c>
      <c r="J211" s="1" t="s">
        <v>22</v>
      </c>
      <c r="K211" s="1">
        <v>4498</v>
      </c>
      <c r="L211" s="1">
        <v>18</v>
      </c>
      <c r="M211" s="1" t="s">
        <v>52</v>
      </c>
      <c r="N211" s="1" t="s">
        <v>33</v>
      </c>
      <c r="O211" t="str">
        <f t="shared" si="12"/>
        <v>OK</v>
      </c>
      <c r="P211" t="str">
        <f t="shared" si="13"/>
        <v>OK</v>
      </c>
      <c r="Q211">
        <f t="shared" si="14"/>
        <v>18</v>
      </c>
      <c r="R211" t="str">
        <f t="shared" si="15"/>
        <v>OK</v>
      </c>
    </row>
    <row r="212" spans="1:18">
      <c r="A212" s="1" t="s">
        <v>865</v>
      </c>
      <c r="B212" s="1" t="s">
        <v>866</v>
      </c>
      <c r="C212" s="5">
        <v>45995</v>
      </c>
      <c r="D212" s="5">
        <v>45996</v>
      </c>
      <c r="E212" s="1" t="s">
        <v>29</v>
      </c>
      <c r="F212" s="1" t="s">
        <v>77</v>
      </c>
      <c r="G212" s="1">
        <v>32</v>
      </c>
      <c r="H212" s="1" t="s">
        <v>104</v>
      </c>
      <c r="I212" s="1" t="s">
        <v>65</v>
      </c>
      <c r="J212" s="1" t="s">
        <v>22</v>
      </c>
      <c r="K212" s="1">
        <v>8225</v>
      </c>
      <c r="L212" s="1"/>
      <c r="M212" s="1" t="s">
        <v>52</v>
      </c>
      <c r="N212" s="1" t="s">
        <v>52</v>
      </c>
      <c r="O212" t="str">
        <f t="shared" si="12"/>
        <v>OK</v>
      </c>
      <c r="P212" t="str">
        <f t="shared" si="13"/>
        <v>OK</v>
      </c>
      <c r="Q212">
        <f t="shared" si="14"/>
        <v>1</v>
      </c>
      <c r="R212" t="str">
        <f t="shared" si="15"/>
        <v>Missing recorded stay</v>
      </c>
    </row>
    <row r="213" spans="1:18">
      <c r="A213" s="1" t="s">
        <v>869</v>
      </c>
      <c r="B213" s="1" t="s">
        <v>612</v>
      </c>
      <c r="C213" s="5">
        <v>45804</v>
      </c>
      <c r="D213" s="5">
        <v>45821</v>
      </c>
      <c r="E213" s="1" t="s">
        <v>149</v>
      </c>
      <c r="F213" s="1" t="s">
        <v>109</v>
      </c>
      <c r="G213" s="1">
        <v>81</v>
      </c>
      <c r="H213" s="1" t="s">
        <v>104</v>
      </c>
      <c r="I213" s="1" t="s">
        <v>127</v>
      </c>
      <c r="J213" s="1" t="s">
        <v>22</v>
      </c>
      <c r="K213" s="1">
        <v>4929</v>
      </c>
      <c r="L213" s="1">
        <v>17</v>
      </c>
      <c r="M213" s="1" t="s">
        <v>52</v>
      </c>
      <c r="N213" s="1" t="s">
        <v>52</v>
      </c>
      <c r="O213" t="str">
        <f t="shared" si="12"/>
        <v>OK</v>
      </c>
      <c r="P213" t="str">
        <f t="shared" si="13"/>
        <v>OK</v>
      </c>
      <c r="Q213">
        <f t="shared" si="14"/>
        <v>17</v>
      </c>
      <c r="R213" t="str">
        <f t="shared" si="15"/>
        <v>OK</v>
      </c>
    </row>
    <row r="214" spans="1:18">
      <c r="A214" s="1" t="s">
        <v>871</v>
      </c>
      <c r="B214" s="1" t="s">
        <v>872</v>
      </c>
      <c r="C214" s="5">
        <v>45926</v>
      </c>
      <c r="D214" s="5">
        <v>45932</v>
      </c>
      <c r="E214" s="1" t="s">
        <v>18</v>
      </c>
      <c r="F214" s="1" t="s">
        <v>83</v>
      </c>
      <c r="G214" s="1">
        <v>81</v>
      </c>
      <c r="H214" s="1" t="s">
        <v>104</v>
      </c>
      <c r="I214" s="1" t="s">
        <v>65</v>
      </c>
      <c r="J214" s="1" t="s">
        <v>40</v>
      </c>
      <c r="K214" s="1">
        <v>4853</v>
      </c>
      <c r="L214" s="1">
        <v>6</v>
      </c>
      <c r="M214" s="1" t="s">
        <v>52</v>
      </c>
      <c r="N214" s="1" t="s">
        <v>33</v>
      </c>
      <c r="O214" t="str">
        <f t="shared" si="12"/>
        <v>OK</v>
      </c>
      <c r="P214" t="str">
        <f t="shared" si="13"/>
        <v>OK</v>
      </c>
      <c r="Q214">
        <f t="shared" si="14"/>
        <v>6</v>
      </c>
      <c r="R214" t="str">
        <f t="shared" si="15"/>
        <v>OK</v>
      </c>
    </row>
    <row r="215" spans="1:18">
      <c r="A215" s="1" t="s">
        <v>874</v>
      </c>
      <c r="B215" s="1" t="s">
        <v>875</v>
      </c>
      <c r="C215" s="5">
        <v>46004</v>
      </c>
      <c r="D215" s="5">
        <v>46022</v>
      </c>
      <c r="E215" s="1" t="s">
        <v>29</v>
      </c>
      <c r="F215" s="1" t="s">
        <v>77</v>
      </c>
      <c r="G215" s="1">
        <v>23</v>
      </c>
      <c r="H215" s="1" t="s">
        <v>84</v>
      </c>
      <c r="I215" s="1" t="s">
        <v>65</v>
      </c>
      <c r="J215" s="1" t="s">
        <v>40</v>
      </c>
      <c r="K215" s="1"/>
      <c r="L215" s="1"/>
      <c r="M215" s="1" t="s">
        <v>52</v>
      </c>
      <c r="N215" s="1" t="s">
        <v>52</v>
      </c>
      <c r="O215" t="str">
        <f t="shared" si="12"/>
        <v>OK</v>
      </c>
      <c r="P215" t="str">
        <f t="shared" si="13"/>
        <v>Missing cost</v>
      </c>
      <c r="Q215">
        <f t="shared" si="14"/>
        <v>18</v>
      </c>
      <c r="R215" t="str">
        <f t="shared" si="15"/>
        <v>Missing recorded stay</v>
      </c>
    </row>
    <row r="216" spans="1:18">
      <c r="A216" s="1" t="s">
        <v>877</v>
      </c>
      <c r="B216" s="1" t="s">
        <v>878</v>
      </c>
      <c r="C216" s="5">
        <v>45870</v>
      </c>
      <c r="D216" s="5"/>
      <c r="E216" s="1" t="s">
        <v>29</v>
      </c>
      <c r="F216" s="1" t="s">
        <v>77</v>
      </c>
      <c r="G216" s="1">
        <v>79</v>
      </c>
      <c r="H216" s="1" t="s">
        <v>48</v>
      </c>
      <c r="I216" s="1" t="s">
        <v>127</v>
      </c>
      <c r="J216" s="1" t="s">
        <v>40</v>
      </c>
      <c r="K216" s="1">
        <v>12175</v>
      </c>
      <c r="L216" s="1">
        <v>11</v>
      </c>
      <c r="M216" s="1" t="s">
        <v>33</v>
      </c>
      <c r="N216" s="1" t="s">
        <v>52</v>
      </c>
      <c r="O216" t="str">
        <f t="shared" si="12"/>
        <v>Missing date</v>
      </c>
      <c r="P216" t="str">
        <f t="shared" si="13"/>
        <v>OK</v>
      </c>
      <c r="Q216" t="str">
        <f t="shared" si="14"/>
        <v/>
      </c>
      <c r="R216" t="str">
        <f t="shared" si="15"/>
        <v>Cannot check dates</v>
      </c>
    </row>
    <row r="217" spans="1:18">
      <c r="A217" s="1" t="s">
        <v>880</v>
      </c>
      <c r="B217" s="1" t="s">
        <v>112</v>
      </c>
      <c r="C217" s="5">
        <v>45686</v>
      </c>
      <c r="D217" s="5">
        <v>45705</v>
      </c>
      <c r="E217" s="1" t="s">
        <v>249</v>
      </c>
      <c r="F217" s="1" t="s">
        <v>96</v>
      </c>
      <c r="G217" s="1">
        <v>8</v>
      </c>
      <c r="H217" s="1" t="s">
        <v>104</v>
      </c>
      <c r="I217" s="1" t="s">
        <v>127</v>
      </c>
      <c r="J217" s="1" t="s">
        <v>22</v>
      </c>
      <c r="K217" s="1">
        <v>3145</v>
      </c>
      <c r="L217" s="1">
        <v>19</v>
      </c>
      <c r="M217" s="1" t="s">
        <v>52</v>
      </c>
      <c r="N217" s="1" t="s">
        <v>52</v>
      </c>
      <c r="O217" t="str">
        <f t="shared" si="12"/>
        <v>OK</v>
      </c>
      <c r="P217" t="str">
        <f t="shared" si="13"/>
        <v>OK</v>
      </c>
      <c r="Q217">
        <f t="shared" si="14"/>
        <v>19</v>
      </c>
      <c r="R217" t="str">
        <f t="shared" si="15"/>
        <v>OK</v>
      </c>
    </row>
    <row r="218" spans="1:18">
      <c r="A218" s="1" t="s">
        <v>883</v>
      </c>
      <c r="B218" s="1" t="s">
        <v>481</v>
      </c>
      <c r="C218" s="5">
        <v>45699</v>
      </c>
      <c r="D218" s="5">
        <v>45714</v>
      </c>
      <c r="E218" s="1" t="s">
        <v>29</v>
      </c>
      <c r="F218" s="1" t="s">
        <v>77</v>
      </c>
      <c r="G218" s="1">
        <v>48</v>
      </c>
      <c r="H218" s="1" t="s">
        <v>84</v>
      </c>
      <c r="I218" s="1" t="s">
        <v>65</v>
      </c>
      <c r="J218" s="1" t="s">
        <v>40</v>
      </c>
      <c r="K218" s="1">
        <v>1176</v>
      </c>
      <c r="L218" s="1">
        <v>15</v>
      </c>
      <c r="M218" s="1" t="s">
        <v>52</v>
      </c>
      <c r="N218" s="1" t="s">
        <v>33</v>
      </c>
      <c r="O218" t="str">
        <f t="shared" si="12"/>
        <v>OK</v>
      </c>
      <c r="P218" t="str">
        <f t="shared" si="13"/>
        <v>OK</v>
      </c>
      <c r="Q218">
        <f t="shared" si="14"/>
        <v>15</v>
      </c>
      <c r="R218" t="str">
        <f t="shared" si="15"/>
        <v>OK</v>
      </c>
    </row>
    <row r="219" spans="1:18">
      <c r="A219" s="1" t="s">
        <v>886</v>
      </c>
      <c r="B219" s="1" t="s">
        <v>887</v>
      </c>
      <c r="C219" s="5">
        <v>45715</v>
      </c>
      <c r="D219" s="5">
        <v>45735</v>
      </c>
      <c r="E219" s="1" t="s">
        <v>29</v>
      </c>
      <c r="F219" s="1" t="s">
        <v>77</v>
      </c>
      <c r="G219" s="1">
        <v>34</v>
      </c>
      <c r="H219" s="1" t="s">
        <v>84</v>
      </c>
      <c r="I219" s="1" t="s">
        <v>153</v>
      </c>
      <c r="J219" s="1" t="s">
        <v>32</v>
      </c>
      <c r="K219" s="1">
        <v>8494</v>
      </c>
      <c r="L219" s="1">
        <v>20</v>
      </c>
      <c r="M219" s="1" t="s">
        <v>33</v>
      </c>
      <c r="N219" s="1" t="s">
        <v>33</v>
      </c>
      <c r="O219" t="str">
        <f t="shared" si="12"/>
        <v>OK</v>
      </c>
      <c r="P219" t="str">
        <f t="shared" si="13"/>
        <v>OK</v>
      </c>
      <c r="Q219">
        <f t="shared" si="14"/>
        <v>20</v>
      </c>
      <c r="R219" t="str">
        <f t="shared" si="15"/>
        <v>OK</v>
      </c>
    </row>
    <row r="220" spans="1:18">
      <c r="A220" s="1" t="s">
        <v>889</v>
      </c>
      <c r="B220" s="1" t="s">
        <v>61</v>
      </c>
      <c r="C220" s="5">
        <v>45723</v>
      </c>
      <c r="D220" s="5">
        <v>45727</v>
      </c>
      <c r="E220" s="1" t="s">
        <v>125</v>
      </c>
      <c r="F220" s="1" t="s">
        <v>126</v>
      </c>
      <c r="G220" s="1">
        <v>38</v>
      </c>
      <c r="H220" s="1" t="s">
        <v>84</v>
      </c>
      <c r="I220" s="1" t="s">
        <v>49</v>
      </c>
      <c r="J220" s="1" t="s">
        <v>32</v>
      </c>
      <c r="K220" s="1">
        <v>10341</v>
      </c>
      <c r="L220" s="1">
        <v>4</v>
      </c>
      <c r="M220" s="1" t="s">
        <v>52</v>
      </c>
      <c r="N220" s="1" t="s">
        <v>33</v>
      </c>
      <c r="O220" t="str">
        <f t="shared" si="12"/>
        <v>OK</v>
      </c>
      <c r="P220" t="str">
        <f t="shared" si="13"/>
        <v>OK</v>
      </c>
      <c r="Q220">
        <f t="shared" si="14"/>
        <v>4</v>
      </c>
      <c r="R220" t="str">
        <f t="shared" si="15"/>
        <v>OK</v>
      </c>
    </row>
    <row r="221" spans="1:18">
      <c r="A221" s="1" t="s">
        <v>891</v>
      </c>
      <c r="B221" s="1" t="s">
        <v>180</v>
      </c>
      <c r="C221" s="5">
        <v>45829</v>
      </c>
      <c r="D221" s="5">
        <v>45840</v>
      </c>
      <c r="E221" s="1" t="s">
        <v>18</v>
      </c>
      <c r="F221" s="1" t="s">
        <v>83</v>
      </c>
      <c r="G221" s="1">
        <v>22</v>
      </c>
      <c r="H221" s="1" t="s">
        <v>84</v>
      </c>
      <c r="I221" s="1"/>
      <c r="J221" s="1" t="s">
        <v>40</v>
      </c>
      <c r="K221" s="1">
        <v>11030</v>
      </c>
      <c r="L221" s="1">
        <v>11</v>
      </c>
      <c r="M221" s="1" t="s">
        <v>52</v>
      </c>
      <c r="N221" s="1" t="s">
        <v>52</v>
      </c>
      <c r="O221" t="str">
        <f t="shared" si="12"/>
        <v>OK</v>
      </c>
      <c r="P221" t="str">
        <f t="shared" si="13"/>
        <v>OK</v>
      </c>
      <c r="Q221">
        <f t="shared" si="14"/>
        <v>11</v>
      </c>
      <c r="R221" t="str">
        <f t="shared" si="15"/>
        <v>OK</v>
      </c>
    </row>
    <row r="222" spans="1:18">
      <c r="A222" s="1" t="s">
        <v>893</v>
      </c>
      <c r="B222" s="1" t="s">
        <v>727</v>
      </c>
      <c r="C222" s="5"/>
      <c r="D222" s="5">
        <v>45721</v>
      </c>
      <c r="E222" s="1" t="s">
        <v>29</v>
      </c>
      <c r="F222" s="1" t="s">
        <v>77</v>
      </c>
      <c r="G222" s="1">
        <v>24</v>
      </c>
      <c r="H222" s="1" t="s">
        <v>104</v>
      </c>
      <c r="I222" s="1" t="s">
        <v>153</v>
      </c>
      <c r="J222" s="1" t="s">
        <v>22</v>
      </c>
      <c r="K222" s="1">
        <v>11139</v>
      </c>
      <c r="L222" s="1">
        <v>19</v>
      </c>
      <c r="M222" s="1" t="s">
        <v>33</v>
      </c>
      <c r="N222" s="1" t="s">
        <v>33</v>
      </c>
      <c r="O222" t="str">
        <f t="shared" si="12"/>
        <v>Missing date</v>
      </c>
      <c r="P222" t="str">
        <f t="shared" si="13"/>
        <v>OK</v>
      </c>
      <c r="Q222" t="str">
        <f t="shared" si="14"/>
        <v/>
      </c>
      <c r="R222" t="str">
        <f t="shared" si="15"/>
        <v>Cannot check dates</v>
      </c>
    </row>
    <row r="223" spans="1:18">
      <c r="A223" s="1" t="s">
        <v>895</v>
      </c>
      <c r="B223" s="1" t="s">
        <v>896</v>
      </c>
      <c r="C223" s="5">
        <v>45687</v>
      </c>
      <c r="D223" s="5">
        <v>45696</v>
      </c>
      <c r="E223" s="1" t="s">
        <v>120</v>
      </c>
      <c r="F223" s="1" t="s">
        <v>39</v>
      </c>
      <c r="G223" s="1">
        <v>58</v>
      </c>
      <c r="H223" s="1" t="s">
        <v>104</v>
      </c>
      <c r="I223" s="1" t="s">
        <v>65</v>
      </c>
      <c r="J223" s="1" t="s">
        <v>32</v>
      </c>
      <c r="K223" s="1">
        <v>2350</v>
      </c>
      <c r="L223" s="1">
        <v>9</v>
      </c>
      <c r="M223" s="1" t="s">
        <v>52</v>
      </c>
      <c r="N223" s="1" t="s">
        <v>33</v>
      </c>
      <c r="O223" t="str">
        <f t="shared" si="12"/>
        <v>OK</v>
      </c>
      <c r="P223" t="str">
        <f t="shared" si="13"/>
        <v>OK</v>
      </c>
      <c r="Q223">
        <f t="shared" si="14"/>
        <v>9</v>
      </c>
      <c r="R223" t="str">
        <f t="shared" si="15"/>
        <v>OK</v>
      </c>
    </row>
    <row r="224" spans="1:18">
      <c r="A224" s="1" t="s">
        <v>899</v>
      </c>
      <c r="B224" s="1" t="s">
        <v>254</v>
      </c>
      <c r="C224" s="5">
        <v>45781</v>
      </c>
      <c r="D224" s="5">
        <v>45789</v>
      </c>
      <c r="E224" s="1" t="s">
        <v>120</v>
      </c>
      <c r="F224" s="1" t="s">
        <v>39</v>
      </c>
      <c r="G224" s="1">
        <v>30</v>
      </c>
      <c r="H224" s="1" t="s">
        <v>84</v>
      </c>
      <c r="I224" s="1" t="s">
        <v>127</v>
      </c>
      <c r="J224" s="1" t="s">
        <v>22</v>
      </c>
      <c r="K224" s="1">
        <v>9802</v>
      </c>
      <c r="L224" s="1">
        <v>8</v>
      </c>
      <c r="M224" s="1" t="s">
        <v>52</v>
      </c>
      <c r="N224" s="1" t="s">
        <v>52</v>
      </c>
      <c r="O224" t="str">
        <f t="shared" si="12"/>
        <v>OK</v>
      </c>
      <c r="P224" t="str">
        <f t="shared" si="13"/>
        <v>OK</v>
      </c>
      <c r="Q224">
        <f t="shared" si="14"/>
        <v>8</v>
      </c>
      <c r="R224" t="str">
        <f t="shared" si="15"/>
        <v>OK</v>
      </c>
    </row>
    <row r="225" spans="1:18">
      <c r="A225" s="1" t="s">
        <v>902</v>
      </c>
      <c r="B225" s="1" t="s">
        <v>364</v>
      </c>
      <c r="C225" s="5">
        <v>45920</v>
      </c>
      <c r="D225" s="5">
        <v>45927</v>
      </c>
      <c r="E225" s="1" t="s">
        <v>120</v>
      </c>
      <c r="F225" s="1" t="s">
        <v>39</v>
      </c>
      <c r="G225" s="1">
        <v>31</v>
      </c>
      <c r="H225" s="1" t="s">
        <v>104</v>
      </c>
      <c r="I225" s="1" t="s">
        <v>65</v>
      </c>
      <c r="J225" s="1" t="s">
        <v>22</v>
      </c>
      <c r="K225" s="1">
        <v>14370</v>
      </c>
      <c r="L225" s="1">
        <v>7</v>
      </c>
      <c r="M225" s="1" t="s">
        <v>52</v>
      </c>
      <c r="N225" s="1" t="s">
        <v>33</v>
      </c>
      <c r="O225" t="str">
        <f t="shared" si="12"/>
        <v>OK</v>
      </c>
      <c r="P225" t="str">
        <f t="shared" si="13"/>
        <v>OK</v>
      </c>
      <c r="Q225">
        <f t="shared" si="14"/>
        <v>7</v>
      </c>
      <c r="R225" t="str">
        <f t="shared" si="15"/>
        <v>OK</v>
      </c>
    </row>
    <row r="226" spans="1:18">
      <c r="A226" s="1" t="s">
        <v>905</v>
      </c>
      <c r="B226" s="1" t="s">
        <v>906</v>
      </c>
      <c r="C226" s="5">
        <v>45999</v>
      </c>
      <c r="D226" s="5">
        <v>46008</v>
      </c>
      <c r="E226" s="1" t="s">
        <v>149</v>
      </c>
      <c r="F226" s="1" t="s">
        <v>109</v>
      </c>
      <c r="G226" s="1">
        <v>47</v>
      </c>
      <c r="H226" s="1" t="s">
        <v>48</v>
      </c>
      <c r="I226" s="1" t="s">
        <v>153</v>
      </c>
      <c r="J226" s="1" t="s">
        <v>40</v>
      </c>
      <c r="K226" s="1">
        <v>11185</v>
      </c>
      <c r="L226" s="1">
        <v>9</v>
      </c>
      <c r="M226" s="1" t="s">
        <v>52</v>
      </c>
      <c r="N226" s="1" t="s">
        <v>33</v>
      </c>
      <c r="O226" t="str">
        <f t="shared" si="12"/>
        <v>OK</v>
      </c>
      <c r="P226" t="str">
        <f t="shared" si="13"/>
        <v>OK</v>
      </c>
      <c r="Q226">
        <f t="shared" si="14"/>
        <v>9</v>
      </c>
      <c r="R226" t="str">
        <f t="shared" si="15"/>
        <v>OK</v>
      </c>
    </row>
    <row r="227" spans="1:18">
      <c r="A227" s="1" t="s">
        <v>909</v>
      </c>
      <c r="B227" s="1" t="s">
        <v>910</v>
      </c>
      <c r="C227" s="5">
        <v>45933</v>
      </c>
      <c r="D227" s="5">
        <v>45935</v>
      </c>
      <c r="E227" s="1" t="s">
        <v>125</v>
      </c>
      <c r="F227" s="1" t="s">
        <v>126</v>
      </c>
      <c r="G227" s="1">
        <v>89</v>
      </c>
      <c r="H227" s="1" t="s">
        <v>84</v>
      </c>
      <c r="I227" s="1" t="s">
        <v>153</v>
      </c>
      <c r="J227" s="1" t="s">
        <v>22</v>
      </c>
      <c r="K227" s="1">
        <v>14128</v>
      </c>
      <c r="L227" s="1">
        <v>2</v>
      </c>
      <c r="M227" s="1" t="s">
        <v>52</v>
      </c>
      <c r="N227" s="1" t="s">
        <v>33</v>
      </c>
      <c r="O227" t="str">
        <f t="shared" si="12"/>
        <v>OK</v>
      </c>
      <c r="P227" t="str">
        <f t="shared" si="13"/>
        <v>OK</v>
      </c>
      <c r="Q227">
        <f t="shared" si="14"/>
        <v>2</v>
      </c>
      <c r="R227" t="str">
        <f t="shared" si="15"/>
        <v>OK</v>
      </c>
    </row>
    <row r="228" spans="1:18">
      <c r="A228" s="1" t="s">
        <v>913</v>
      </c>
      <c r="B228" s="1" t="s">
        <v>392</v>
      </c>
      <c r="C228" s="5">
        <v>45735</v>
      </c>
      <c r="D228" s="5">
        <v>45743</v>
      </c>
      <c r="E228" s="1" t="s">
        <v>125</v>
      </c>
      <c r="F228" s="1" t="s">
        <v>126</v>
      </c>
      <c r="G228" s="1">
        <v>73</v>
      </c>
      <c r="H228" s="1" t="s">
        <v>104</v>
      </c>
      <c r="I228" s="1" t="s">
        <v>49</v>
      </c>
      <c r="J228" s="1" t="s">
        <v>22</v>
      </c>
      <c r="K228" s="1">
        <v>2696</v>
      </c>
      <c r="L228" s="1">
        <v>8</v>
      </c>
      <c r="M228" s="1" t="s">
        <v>33</v>
      </c>
      <c r="N228" s="1" t="s">
        <v>52</v>
      </c>
      <c r="O228" t="str">
        <f t="shared" si="12"/>
        <v>OK</v>
      </c>
      <c r="P228" t="str">
        <f t="shared" si="13"/>
        <v>OK</v>
      </c>
      <c r="Q228">
        <f t="shared" si="14"/>
        <v>8</v>
      </c>
      <c r="R228" t="str">
        <f t="shared" si="15"/>
        <v>OK</v>
      </c>
    </row>
    <row r="229" spans="1:18">
      <c r="A229" s="1" t="s">
        <v>914</v>
      </c>
      <c r="B229" s="1" t="s">
        <v>915</v>
      </c>
      <c r="C229" s="5">
        <v>45755</v>
      </c>
      <c r="D229" s="5">
        <v>45766</v>
      </c>
      <c r="E229" s="1" t="s">
        <v>29</v>
      </c>
      <c r="F229" s="1" t="s">
        <v>77</v>
      </c>
      <c r="G229" s="1">
        <v>33</v>
      </c>
      <c r="H229" s="1"/>
      <c r="I229" s="1" t="s">
        <v>127</v>
      </c>
      <c r="J229" s="1" t="s">
        <v>40</v>
      </c>
      <c r="K229" s="1">
        <v>8507</v>
      </c>
      <c r="L229" s="1">
        <v>11</v>
      </c>
      <c r="M229" s="1" t="s">
        <v>33</v>
      </c>
      <c r="N229" s="1" t="s">
        <v>33</v>
      </c>
      <c r="O229" t="str">
        <f t="shared" si="12"/>
        <v>OK</v>
      </c>
      <c r="P229" t="str">
        <f t="shared" si="13"/>
        <v>OK</v>
      </c>
      <c r="Q229">
        <f t="shared" si="14"/>
        <v>11</v>
      </c>
      <c r="R229" t="str">
        <f t="shared" si="15"/>
        <v>OK</v>
      </c>
    </row>
    <row r="230" spans="1:18">
      <c r="A230" s="1" t="s">
        <v>917</v>
      </c>
      <c r="B230" s="1" t="s">
        <v>918</v>
      </c>
      <c r="C230" s="5">
        <v>45942</v>
      </c>
      <c r="D230" s="5">
        <v>45945</v>
      </c>
      <c r="E230" s="1" t="s">
        <v>149</v>
      </c>
      <c r="F230" s="1" t="s">
        <v>109</v>
      </c>
      <c r="G230" s="1">
        <v>59</v>
      </c>
      <c r="H230" s="1" t="s">
        <v>84</v>
      </c>
      <c r="I230" s="1" t="s">
        <v>127</v>
      </c>
      <c r="J230" s="1" t="s">
        <v>32</v>
      </c>
      <c r="K230" s="1">
        <v>12539</v>
      </c>
      <c r="L230" s="1">
        <v>3</v>
      </c>
      <c r="M230" s="1" t="s">
        <v>52</v>
      </c>
      <c r="N230" s="1" t="s">
        <v>33</v>
      </c>
      <c r="O230" t="str">
        <f t="shared" si="12"/>
        <v>OK</v>
      </c>
      <c r="P230" t="str">
        <f t="shared" si="13"/>
        <v>OK</v>
      </c>
      <c r="Q230">
        <f t="shared" si="14"/>
        <v>3</v>
      </c>
      <c r="R230" t="str">
        <f t="shared" si="15"/>
        <v>OK</v>
      </c>
    </row>
    <row r="231" spans="1:18">
      <c r="A231" s="1" t="s">
        <v>920</v>
      </c>
      <c r="B231" s="1" t="s">
        <v>921</v>
      </c>
      <c r="C231" s="5">
        <v>45694</v>
      </c>
      <c r="D231" s="5">
        <v>45700</v>
      </c>
      <c r="E231" s="1" t="s">
        <v>149</v>
      </c>
      <c r="F231" s="1" t="s">
        <v>109</v>
      </c>
      <c r="G231" s="1">
        <v>84</v>
      </c>
      <c r="H231" s="1" t="s">
        <v>84</v>
      </c>
      <c r="I231" s="1" t="s">
        <v>127</v>
      </c>
      <c r="J231" s="1" t="s">
        <v>40</v>
      </c>
      <c r="K231" s="1">
        <v>9756</v>
      </c>
      <c r="L231" s="1">
        <v>90</v>
      </c>
      <c r="M231" s="1" t="s">
        <v>33</v>
      </c>
      <c r="N231" s="1" t="s">
        <v>33</v>
      </c>
      <c r="O231" t="str">
        <f t="shared" si="12"/>
        <v>OK</v>
      </c>
      <c r="P231" t="str">
        <f t="shared" si="13"/>
        <v>OK</v>
      </c>
      <c r="Q231">
        <f t="shared" si="14"/>
        <v>6</v>
      </c>
      <c r="R231" t="str">
        <f t="shared" si="15"/>
        <v>Mismatch</v>
      </c>
    </row>
    <row r="232" spans="1:18">
      <c r="A232" s="1" t="s">
        <v>924</v>
      </c>
      <c r="B232" s="1" t="s">
        <v>925</v>
      </c>
      <c r="C232" s="5"/>
      <c r="D232" s="5">
        <v>45821</v>
      </c>
      <c r="E232" s="1" t="s">
        <v>29</v>
      </c>
      <c r="F232" s="1" t="s">
        <v>77</v>
      </c>
      <c r="G232" s="1">
        <v>65</v>
      </c>
      <c r="H232" s="1" t="s">
        <v>84</v>
      </c>
      <c r="I232" s="1" t="s">
        <v>127</v>
      </c>
      <c r="J232" s="1" t="s">
        <v>22</v>
      </c>
      <c r="K232" s="1">
        <v>7102</v>
      </c>
      <c r="L232" s="1">
        <v>5</v>
      </c>
      <c r="M232" s="1" t="s">
        <v>52</v>
      </c>
      <c r="N232" s="1" t="s">
        <v>52</v>
      </c>
      <c r="O232" t="str">
        <f t="shared" si="12"/>
        <v>Missing date</v>
      </c>
      <c r="P232" t="str">
        <f t="shared" si="13"/>
        <v>OK</v>
      </c>
      <c r="Q232" t="str">
        <f t="shared" si="14"/>
        <v/>
      </c>
      <c r="R232" t="str">
        <f t="shared" si="15"/>
        <v>Cannot check dates</v>
      </c>
    </row>
    <row r="233" spans="1:18">
      <c r="A233" s="1" t="s">
        <v>927</v>
      </c>
      <c r="B233" s="1" t="s">
        <v>161</v>
      </c>
      <c r="C233" s="5"/>
      <c r="D233" s="5">
        <v>45903</v>
      </c>
      <c r="E233" s="1" t="s">
        <v>149</v>
      </c>
      <c r="F233" s="1" t="s">
        <v>109</v>
      </c>
      <c r="G233" s="1">
        <v>89</v>
      </c>
      <c r="H233" s="1" t="s">
        <v>84</v>
      </c>
      <c r="I233" s="1" t="s">
        <v>49</v>
      </c>
      <c r="J233" s="1" t="s">
        <v>40</v>
      </c>
      <c r="K233" s="1">
        <v>11320</v>
      </c>
      <c r="L233" s="1">
        <v>17</v>
      </c>
      <c r="M233" s="1" t="s">
        <v>52</v>
      </c>
      <c r="N233" s="1" t="s">
        <v>52</v>
      </c>
      <c r="O233" t="str">
        <f t="shared" si="12"/>
        <v>Missing date</v>
      </c>
      <c r="P233" t="str">
        <f t="shared" si="13"/>
        <v>OK</v>
      </c>
      <c r="Q233" t="str">
        <f t="shared" si="14"/>
        <v/>
      </c>
      <c r="R233" t="str">
        <f t="shared" si="15"/>
        <v>Cannot check dates</v>
      </c>
    </row>
    <row r="234" spans="1:18">
      <c r="A234" s="1" t="s">
        <v>929</v>
      </c>
      <c r="B234" s="1" t="s">
        <v>652</v>
      </c>
      <c r="C234" s="5">
        <v>45939</v>
      </c>
      <c r="D234" s="5">
        <v>45941</v>
      </c>
      <c r="E234" s="1" t="s">
        <v>18</v>
      </c>
      <c r="F234" s="1" t="s">
        <v>83</v>
      </c>
      <c r="G234" s="1">
        <v>64</v>
      </c>
      <c r="H234" s="1" t="s">
        <v>84</v>
      </c>
      <c r="I234" s="1" t="s">
        <v>153</v>
      </c>
      <c r="J234" s="1" t="s">
        <v>40</v>
      </c>
      <c r="K234" s="1">
        <v>3889</v>
      </c>
      <c r="L234" s="1">
        <v>2</v>
      </c>
      <c r="M234" s="1" t="s">
        <v>52</v>
      </c>
      <c r="N234" s="1" t="s">
        <v>33</v>
      </c>
      <c r="O234" t="str">
        <f t="shared" si="12"/>
        <v>OK</v>
      </c>
      <c r="P234" t="str">
        <f t="shared" si="13"/>
        <v>OK</v>
      </c>
      <c r="Q234">
        <f t="shared" si="14"/>
        <v>2</v>
      </c>
      <c r="R234" t="str">
        <f t="shared" si="15"/>
        <v>OK</v>
      </c>
    </row>
    <row r="235" spans="1:18">
      <c r="A235" s="1" t="s">
        <v>932</v>
      </c>
      <c r="B235" s="1" t="s">
        <v>933</v>
      </c>
      <c r="C235" s="5"/>
      <c r="D235" s="5">
        <v>45770</v>
      </c>
      <c r="E235" s="1" t="s">
        <v>18</v>
      </c>
      <c r="F235" s="1" t="s">
        <v>83</v>
      </c>
      <c r="G235" s="1">
        <v>89</v>
      </c>
      <c r="H235" s="1" t="s">
        <v>104</v>
      </c>
      <c r="I235" s="1" t="s">
        <v>127</v>
      </c>
      <c r="J235" s="1" t="s">
        <v>32</v>
      </c>
      <c r="K235" s="1">
        <v>2919</v>
      </c>
      <c r="L235" s="1">
        <v>20</v>
      </c>
      <c r="M235" s="1" t="s">
        <v>33</v>
      </c>
      <c r="N235" s="1" t="s">
        <v>52</v>
      </c>
      <c r="O235" t="str">
        <f t="shared" si="12"/>
        <v>Missing date</v>
      </c>
      <c r="P235" t="str">
        <f t="shared" si="13"/>
        <v>OK</v>
      </c>
      <c r="Q235" t="str">
        <f t="shared" si="14"/>
        <v/>
      </c>
      <c r="R235" t="str">
        <f t="shared" si="15"/>
        <v>Cannot check dates</v>
      </c>
    </row>
    <row r="236" spans="1:18">
      <c r="A236" s="1" t="s">
        <v>934</v>
      </c>
      <c r="B236" s="1" t="s">
        <v>935</v>
      </c>
      <c r="C236" s="5">
        <v>45999</v>
      </c>
      <c r="D236" s="5">
        <v>46008</v>
      </c>
      <c r="E236" s="1" t="s">
        <v>149</v>
      </c>
      <c r="F236" s="1" t="s">
        <v>109</v>
      </c>
      <c r="G236" s="1">
        <v>34</v>
      </c>
      <c r="H236" s="1" t="s">
        <v>104</v>
      </c>
      <c r="I236" s="1" t="s">
        <v>49</v>
      </c>
      <c r="J236" s="1" t="s">
        <v>32</v>
      </c>
      <c r="K236" s="1">
        <v>6726</v>
      </c>
      <c r="L236" s="1">
        <v>9</v>
      </c>
      <c r="M236" s="1" t="s">
        <v>33</v>
      </c>
      <c r="N236" s="1" t="s">
        <v>33</v>
      </c>
      <c r="O236" t="str">
        <f t="shared" si="12"/>
        <v>OK</v>
      </c>
      <c r="P236" t="str">
        <f t="shared" si="13"/>
        <v>OK</v>
      </c>
      <c r="Q236">
        <f t="shared" si="14"/>
        <v>9</v>
      </c>
      <c r="R236" t="str">
        <f t="shared" si="15"/>
        <v>OK</v>
      </c>
    </row>
    <row r="237" spans="1:18">
      <c r="A237" s="1" t="s">
        <v>936</v>
      </c>
      <c r="B237" s="1" t="s">
        <v>659</v>
      </c>
      <c r="C237" s="5">
        <v>45762</v>
      </c>
      <c r="D237" s="5">
        <v>45771</v>
      </c>
      <c r="E237" s="1" t="s">
        <v>29</v>
      </c>
      <c r="F237" s="1" t="s">
        <v>77</v>
      </c>
      <c r="G237" s="1">
        <v>28</v>
      </c>
      <c r="H237" s="1" t="s">
        <v>84</v>
      </c>
      <c r="I237" s="1" t="s">
        <v>49</v>
      </c>
      <c r="J237" s="1" t="s">
        <v>22</v>
      </c>
      <c r="K237" s="1">
        <v>4737</v>
      </c>
      <c r="L237" s="1">
        <v>9</v>
      </c>
      <c r="M237" s="1" t="s">
        <v>52</v>
      </c>
      <c r="N237" s="1" t="s">
        <v>52</v>
      </c>
      <c r="O237" t="str">
        <f t="shared" si="12"/>
        <v>OK</v>
      </c>
      <c r="P237" t="str">
        <f t="shared" si="13"/>
        <v>OK</v>
      </c>
      <c r="Q237">
        <f t="shared" si="14"/>
        <v>9</v>
      </c>
      <c r="R237" t="str">
        <f t="shared" si="15"/>
        <v>OK</v>
      </c>
    </row>
    <row r="238" spans="1:18">
      <c r="A238" s="1" t="s">
        <v>938</v>
      </c>
      <c r="B238" s="1" t="s">
        <v>939</v>
      </c>
      <c r="C238" s="5">
        <v>45792</v>
      </c>
      <c r="D238" s="5">
        <v>45805</v>
      </c>
      <c r="E238" s="1" t="s">
        <v>18</v>
      </c>
      <c r="F238" s="1" t="s">
        <v>83</v>
      </c>
      <c r="G238" s="1">
        <v>39</v>
      </c>
      <c r="H238" s="1" t="s">
        <v>84</v>
      </c>
      <c r="I238" s="1" t="s">
        <v>65</v>
      </c>
      <c r="J238" s="1" t="s">
        <v>22</v>
      </c>
      <c r="K238" s="1">
        <v>3521</v>
      </c>
      <c r="L238" s="1">
        <v>13</v>
      </c>
      <c r="M238" s="1" t="s">
        <v>33</v>
      </c>
      <c r="N238" s="1" t="s">
        <v>52</v>
      </c>
      <c r="O238" t="str">
        <f t="shared" si="12"/>
        <v>OK</v>
      </c>
      <c r="P238" t="str">
        <f t="shared" si="13"/>
        <v>OK</v>
      </c>
      <c r="Q238">
        <f t="shared" si="14"/>
        <v>13</v>
      </c>
      <c r="R238" t="str">
        <f t="shared" si="15"/>
        <v>OK</v>
      </c>
    </row>
    <row r="239" spans="1:18">
      <c r="A239" s="1" t="s">
        <v>942</v>
      </c>
      <c r="B239" s="1" t="s">
        <v>337</v>
      </c>
      <c r="C239" s="5">
        <v>45906</v>
      </c>
      <c r="D239" s="5">
        <v>45908</v>
      </c>
      <c r="E239" s="1" t="s">
        <v>149</v>
      </c>
      <c r="F239" s="1" t="s">
        <v>109</v>
      </c>
      <c r="G239" s="1">
        <v>33</v>
      </c>
      <c r="H239" s="1" t="s">
        <v>84</v>
      </c>
      <c r="I239" s="1" t="s">
        <v>49</v>
      </c>
      <c r="J239" s="1" t="s">
        <v>22</v>
      </c>
      <c r="K239" s="1">
        <v>3232</v>
      </c>
      <c r="L239" s="1">
        <v>2</v>
      </c>
      <c r="M239" s="1" t="s">
        <v>33</v>
      </c>
      <c r="N239" s="1" t="s">
        <v>33</v>
      </c>
      <c r="O239" t="str">
        <f t="shared" si="12"/>
        <v>OK</v>
      </c>
      <c r="P239" t="str">
        <f t="shared" si="13"/>
        <v>OK</v>
      </c>
      <c r="Q239">
        <f t="shared" si="14"/>
        <v>2</v>
      </c>
      <c r="R239" t="str">
        <f t="shared" si="15"/>
        <v>OK</v>
      </c>
    </row>
    <row r="240" spans="1:18">
      <c r="A240" s="1" t="s">
        <v>945</v>
      </c>
      <c r="B240" s="1" t="s">
        <v>872</v>
      </c>
      <c r="C240" s="5">
        <v>45718</v>
      </c>
      <c r="D240" s="5">
        <v>45729</v>
      </c>
      <c r="E240" s="1" t="s">
        <v>120</v>
      </c>
      <c r="F240" s="1" t="s">
        <v>39</v>
      </c>
      <c r="G240" s="1">
        <v>37</v>
      </c>
      <c r="H240" s="1" t="s">
        <v>48</v>
      </c>
      <c r="I240" s="1" t="s">
        <v>65</v>
      </c>
      <c r="J240" s="1" t="s">
        <v>22</v>
      </c>
      <c r="K240" s="1">
        <v>6522</v>
      </c>
      <c r="L240" s="1">
        <v>90</v>
      </c>
      <c r="M240" s="1" t="s">
        <v>52</v>
      </c>
      <c r="N240" s="1" t="s">
        <v>33</v>
      </c>
      <c r="O240" t="str">
        <f t="shared" si="12"/>
        <v>OK</v>
      </c>
      <c r="P240" t="str">
        <f t="shared" si="13"/>
        <v>OK</v>
      </c>
      <c r="Q240">
        <f t="shared" si="14"/>
        <v>11</v>
      </c>
      <c r="R240" t="str">
        <f t="shared" si="15"/>
        <v>Mismatch</v>
      </c>
    </row>
    <row r="241" spans="1:18">
      <c r="A241" s="1" t="s">
        <v>948</v>
      </c>
      <c r="B241" s="1" t="s">
        <v>431</v>
      </c>
      <c r="C241" s="5">
        <v>45949</v>
      </c>
      <c r="D241" s="5">
        <v>45958</v>
      </c>
      <c r="E241" s="1" t="s">
        <v>29</v>
      </c>
      <c r="F241" s="1" t="s">
        <v>77</v>
      </c>
      <c r="G241" s="1">
        <v>19</v>
      </c>
      <c r="H241" s="1" t="s">
        <v>104</v>
      </c>
      <c r="I241" s="1" t="s">
        <v>65</v>
      </c>
      <c r="J241" s="1" t="s">
        <v>40</v>
      </c>
      <c r="K241" s="1">
        <v>884</v>
      </c>
      <c r="L241" s="1">
        <v>90</v>
      </c>
      <c r="M241" s="1" t="s">
        <v>52</v>
      </c>
      <c r="N241" s="1" t="s">
        <v>52</v>
      </c>
      <c r="O241" t="str">
        <f t="shared" si="12"/>
        <v>OK</v>
      </c>
      <c r="P241" t="str">
        <f t="shared" si="13"/>
        <v>OK</v>
      </c>
      <c r="Q241">
        <f t="shared" si="14"/>
        <v>9</v>
      </c>
      <c r="R241" t="str">
        <f t="shared" si="15"/>
        <v>Mismatch</v>
      </c>
    </row>
    <row r="242" spans="1:18">
      <c r="A242" s="1" t="s">
        <v>952</v>
      </c>
      <c r="B242" s="1" t="s">
        <v>953</v>
      </c>
      <c r="C242" s="5">
        <v>45761</v>
      </c>
      <c r="D242" s="5">
        <v>45765</v>
      </c>
      <c r="E242" s="1" t="s">
        <v>29</v>
      </c>
      <c r="F242" s="1" t="s">
        <v>77</v>
      </c>
      <c r="G242" s="1">
        <v>68</v>
      </c>
      <c r="H242" s="1" t="s">
        <v>84</v>
      </c>
      <c r="I242" s="1" t="s">
        <v>153</v>
      </c>
      <c r="J242" s="1" t="s">
        <v>32</v>
      </c>
      <c r="K242" s="1">
        <v>7460</v>
      </c>
      <c r="L242" s="1">
        <v>4</v>
      </c>
      <c r="M242" s="1" t="s">
        <v>52</v>
      </c>
      <c r="N242" s="1" t="s">
        <v>33</v>
      </c>
      <c r="O242" t="str">
        <f t="shared" si="12"/>
        <v>OK</v>
      </c>
      <c r="P242" t="str">
        <f t="shared" si="13"/>
        <v>OK</v>
      </c>
      <c r="Q242">
        <f t="shared" si="14"/>
        <v>4</v>
      </c>
      <c r="R242" t="str">
        <f t="shared" si="15"/>
        <v>OK</v>
      </c>
    </row>
    <row r="243" spans="1:18">
      <c r="A243" s="1" t="s">
        <v>956</v>
      </c>
      <c r="B243" s="1" t="s">
        <v>360</v>
      </c>
      <c r="C243" s="5">
        <v>45803</v>
      </c>
      <c r="D243" s="5">
        <v>45818</v>
      </c>
      <c r="E243" s="1" t="s">
        <v>249</v>
      </c>
      <c r="F243" s="1" t="s">
        <v>96</v>
      </c>
      <c r="G243" s="1">
        <v>8</v>
      </c>
      <c r="H243" s="1" t="s">
        <v>48</v>
      </c>
      <c r="I243" s="1" t="s">
        <v>49</v>
      </c>
      <c r="J243" s="1" t="s">
        <v>40</v>
      </c>
      <c r="K243" s="1">
        <v>4472</v>
      </c>
      <c r="L243" s="1">
        <v>15</v>
      </c>
      <c r="M243" s="1" t="s">
        <v>52</v>
      </c>
      <c r="N243" s="1"/>
      <c r="O243" t="str">
        <f t="shared" si="12"/>
        <v>OK</v>
      </c>
      <c r="P243" t="str">
        <f t="shared" si="13"/>
        <v>OK</v>
      </c>
      <c r="Q243">
        <f t="shared" si="14"/>
        <v>15</v>
      </c>
      <c r="R243" t="str">
        <f t="shared" si="15"/>
        <v>OK</v>
      </c>
    </row>
    <row r="244" spans="1:18">
      <c r="A244" s="1" t="s">
        <v>959</v>
      </c>
      <c r="B244" s="1" t="s">
        <v>896</v>
      </c>
      <c r="C244" s="5">
        <v>45745</v>
      </c>
      <c r="D244" s="5">
        <v>45756</v>
      </c>
      <c r="E244" s="1"/>
      <c r="F244" s="1" t="s">
        <v>109</v>
      </c>
      <c r="G244" s="1">
        <v>40</v>
      </c>
      <c r="H244" s="1" t="s">
        <v>84</v>
      </c>
      <c r="I244" s="1" t="s">
        <v>49</v>
      </c>
      <c r="J244" s="1" t="s">
        <v>32</v>
      </c>
      <c r="K244" s="1">
        <v>1306</v>
      </c>
      <c r="L244" s="1">
        <v>11</v>
      </c>
      <c r="M244" s="1" t="s">
        <v>33</v>
      </c>
      <c r="N244" s="1" t="s">
        <v>52</v>
      </c>
      <c r="O244" t="str">
        <f t="shared" si="12"/>
        <v>OK</v>
      </c>
      <c r="P244" t="str">
        <f t="shared" si="13"/>
        <v>OK</v>
      </c>
      <c r="Q244">
        <f t="shared" si="14"/>
        <v>11</v>
      </c>
      <c r="R244" t="str">
        <f t="shared" si="15"/>
        <v>OK</v>
      </c>
    </row>
    <row r="245" spans="1:18">
      <c r="A245" s="1" t="s">
        <v>961</v>
      </c>
      <c r="B245" s="1" t="s">
        <v>112</v>
      </c>
      <c r="C245" s="5">
        <v>45808</v>
      </c>
      <c r="D245" s="5">
        <v>45816</v>
      </c>
      <c r="E245" s="1" t="s">
        <v>29</v>
      </c>
      <c r="F245" s="1" t="s">
        <v>77</v>
      </c>
      <c r="G245" s="1">
        <v>84</v>
      </c>
      <c r="H245" s="1" t="s">
        <v>104</v>
      </c>
      <c r="I245" s="1" t="s">
        <v>127</v>
      </c>
      <c r="J245" s="1" t="s">
        <v>32</v>
      </c>
      <c r="K245" s="1">
        <v>13571</v>
      </c>
      <c r="L245" s="1"/>
      <c r="M245" s="1" t="s">
        <v>33</v>
      </c>
      <c r="N245" s="1" t="s">
        <v>33</v>
      </c>
      <c r="O245" t="str">
        <f t="shared" si="12"/>
        <v>OK</v>
      </c>
      <c r="P245" t="str">
        <f t="shared" si="13"/>
        <v>OK</v>
      </c>
      <c r="Q245">
        <f t="shared" si="14"/>
        <v>8</v>
      </c>
      <c r="R245" t="str">
        <f t="shared" si="15"/>
        <v>Missing recorded stay</v>
      </c>
    </row>
    <row r="246" spans="1:18">
      <c r="A246" s="1" t="s">
        <v>964</v>
      </c>
      <c r="B246" s="1" t="s">
        <v>939</v>
      </c>
      <c r="C246" s="5">
        <v>45827</v>
      </c>
      <c r="D246" s="5">
        <v>45834</v>
      </c>
      <c r="E246" s="1" t="s">
        <v>18</v>
      </c>
      <c r="F246" s="1" t="s">
        <v>83</v>
      </c>
      <c r="G246" s="1">
        <v>25</v>
      </c>
      <c r="H246" s="1" t="s">
        <v>84</v>
      </c>
      <c r="I246" s="1" t="s">
        <v>49</v>
      </c>
      <c r="J246" s="1" t="s">
        <v>40</v>
      </c>
      <c r="K246" s="1">
        <v>13526</v>
      </c>
      <c r="L246" s="1">
        <v>90</v>
      </c>
      <c r="M246" s="1" t="s">
        <v>33</v>
      </c>
      <c r="N246" s="1" t="s">
        <v>33</v>
      </c>
      <c r="O246" t="str">
        <f t="shared" si="12"/>
        <v>OK</v>
      </c>
      <c r="P246" t="str">
        <f t="shared" si="13"/>
        <v>OK</v>
      </c>
      <c r="Q246">
        <f t="shared" si="14"/>
        <v>7</v>
      </c>
      <c r="R246" t="str">
        <f t="shared" si="15"/>
        <v>Mismatch</v>
      </c>
    </row>
    <row r="247" spans="1:18">
      <c r="A247" s="1" t="s">
        <v>967</v>
      </c>
      <c r="B247" s="1" t="s">
        <v>788</v>
      </c>
      <c r="C247" s="5">
        <v>45800</v>
      </c>
      <c r="D247" s="5">
        <v>45812</v>
      </c>
      <c r="E247" s="1" t="s">
        <v>249</v>
      </c>
      <c r="F247" s="1" t="s">
        <v>96</v>
      </c>
      <c r="G247" s="1">
        <v>6</v>
      </c>
      <c r="H247" s="1" t="s">
        <v>84</v>
      </c>
      <c r="I247" s="1" t="s">
        <v>65</v>
      </c>
      <c r="J247" s="1" t="s">
        <v>22</v>
      </c>
      <c r="K247" s="1">
        <v>10608</v>
      </c>
      <c r="L247" s="1">
        <v>12</v>
      </c>
      <c r="M247" s="1" t="s">
        <v>33</v>
      </c>
      <c r="N247" s="1" t="s">
        <v>52</v>
      </c>
      <c r="O247" t="str">
        <f t="shared" si="12"/>
        <v>OK</v>
      </c>
      <c r="P247" t="str">
        <f t="shared" si="13"/>
        <v>OK</v>
      </c>
      <c r="Q247">
        <f t="shared" si="14"/>
        <v>12</v>
      </c>
      <c r="R247" t="str">
        <f t="shared" si="15"/>
        <v>OK</v>
      </c>
    </row>
    <row r="248" spans="1:18">
      <c r="A248" s="1" t="s">
        <v>970</v>
      </c>
      <c r="B248" s="1" t="s">
        <v>971</v>
      </c>
      <c r="C248" s="5">
        <v>45831</v>
      </c>
      <c r="D248" s="5">
        <v>45845</v>
      </c>
      <c r="E248" s="1" t="s">
        <v>249</v>
      </c>
      <c r="F248" s="1" t="s">
        <v>96</v>
      </c>
      <c r="G248" s="1">
        <v>2</v>
      </c>
      <c r="H248" s="1" t="s">
        <v>104</v>
      </c>
      <c r="I248" s="1" t="s">
        <v>49</v>
      </c>
      <c r="J248" s="1" t="s">
        <v>32</v>
      </c>
      <c r="K248" s="1">
        <v>3464</v>
      </c>
      <c r="L248" s="1">
        <v>14</v>
      </c>
      <c r="M248" s="1" t="s">
        <v>33</v>
      </c>
      <c r="N248" s="1" t="s">
        <v>33</v>
      </c>
      <c r="O248" t="str">
        <f t="shared" si="12"/>
        <v>OK</v>
      </c>
      <c r="P248" t="str">
        <f t="shared" si="13"/>
        <v>OK</v>
      </c>
      <c r="Q248">
        <f t="shared" si="14"/>
        <v>14</v>
      </c>
      <c r="R248" t="str">
        <f t="shared" si="15"/>
        <v>OK</v>
      </c>
    </row>
    <row r="249" spans="1:18">
      <c r="A249" s="1" t="s">
        <v>973</v>
      </c>
      <c r="B249" s="1" t="s">
        <v>974</v>
      </c>
      <c r="C249" s="5">
        <v>45778</v>
      </c>
      <c r="D249" s="5">
        <v>45791</v>
      </c>
      <c r="E249" s="1" t="s">
        <v>120</v>
      </c>
      <c r="F249" s="1" t="s">
        <v>39</v>
      </c>
      <c r="G249" s="1">
        <v>26</v>
      </c>
      <c r="H249" s="1" t="s">
        <v>104</v>
      </c>
      <c r="I249" s="1" t="s">
        <v>49</v>
      </c>
      <c r="J249" s="1" t="s">
        <v>40</v>
      </c>
      <c r="K249" s="1">
        <v>9385</v>
      </c>
      <c r="L249" s="1">
        <v>13</v>
      </c>
      <c r="M249" s="1" t="s">
        <v>52</v>
      </c>
      <c r="N249" s="1" t="s">
        <v>33</v>
      </c>
      <c r="O249" t="str">
        <f t="shared" si="12"/>
        <v>OK</v>
      </c>
      <c r="P249" t="str">
        <f t="shared" si="13"/>
        <v>OK</v>
      </c>
      <c r="Q249">
        <f t="shared" si="14"/>
        <v>13</v>
      </c>
      <c r="R249" t="str">
        <f t="shared" si="15"/>
        <v>OK</v>
      </c>
    </row>
    <row r="250" spans="1:18">
      <c r="A250" s="1" t="s">
        <v>976</v>
      </c>
      <c r="B250" s="1" t="s">
        <v>977</v>
      </c>
      <c r="C250" s="5">
        <v>45916</v>
      </c>
      <c r="D250" s="5">
        <v>45917</v>
      </c>
      <c r="E250" s="1" t="s">
        <v>18</v>
      </c>
      <c r="F250" s="1" t="s">
        <v>83</v>
      </c>
      <c r="G250" s="1">
        <v>93</v>
      </c>
      <c r="H250" s="1" t="s">
        <v>48</v>
      </c>
      <c r="I250" s="1"/>
      <c r="J250" s="1" t="s">
        <v>22</v>
      </c>
      <c r="K250" s="1"/>
      <c r="L250" s="1">
        <v>1</v>
      </c>
      <c r="M250" s="1" t="s">
        <v>33</v>
      </c>
      <c r="N250" s="1" t="s">
        <v>52</v>
      </c>
      <c r="O250" t="str">
        <f t="shared" si="12"/>
        <v>OK</v>
      </c>
      <c r="P250" t="str">
        <f t="shared" si="13"/>
        <v>Missing cost</v>
      </c>
      <c r="Q250">
        <f t="shared" si="14"/>
        <v>1</v>
      </c>
      <c r="R250" t="str">
        <f t="shared" si="15"/>
        <v>OK</v>
      </c>
    </row>
    <row r="251" spans="1:18">
      <c r="A251" s="1" t="s">
        <v>980</v>
      </c>
      <c r="B251" s="1" t="s">
        <v>188</v>
      </c>
      <c r="C251" s="5">
        <v>45919</v>
      </c>
      <c r="D251" s="5"/>
      <c r="E251" s="1" t="s">
        <v>149</v>
      </c>
      <c r="F251" s="1" t="s">
        <v>109</v>
      </c>
      <c r="G251" s="1">
        <v>29</v>
      </c>
      <c r="H251" s="1" t="s">
        <v>104</v>
      </c>
      <c r="I251" s="1" t="s">
        <v>127</v>
      </c>
      <c r="J251" s="1" t="s">
        <v>22</v>
      </c>
      <c r="K251" s="1">
        <v>1220</v>
      </c>
      <c r="L251" s="1">
        <v>2</v>
      </c>
      <c r="M251" s="1" t="s">
        <v>33</v>
      </c>
      <c r="N251" s="1" t="s">
        <v>33</v>
      </c>
      <c r="O251" t="str">
        <f t="shared" si="12"/>
        <v>Missing date</v>
      </c>
      <c r="P251" t="str">
        <f t="shared" si="13"/>
        <v>OK</v>
      </c>
      <c r="Q251" t="str">
        <f t="shared" si="14"/>
        <v/>
      </c>
      <c r="R251" t="str">
        <f t="shared" si="15"/>
        <v>Cannot check dates</v>
      </c>
    </row>
    <row r="252" spans="1:18">
      <c r="A252" s="1" t="s">
        <v>983</v>
      </c>
      <c r="B252" s="1" t="s">
        <v>177</v>
      </c>
      <c r="C252" s="5">
        <v>45781</v>
      </c>
      <c r="D252" s="5">
        <v>45793</v>
      </c>
      <c r="E252" s="1"/>
      <c r="F252" s="1" t="s">
        <v>96</v>
      </c>
      <c r="G252" s="1">
        <v>1</v>
      </c>
      <c r="H252" s="1" t="s">
        <v>104</v>
      </c>
      <c r="I252" s="1" t="s">
        <v>49</v>
      </c>
      <c r="J252" s="1" t="s">
        <v>32</v>
      </c>
      <c r="K252" s="1">
        <v>14126</v>
      </c>
      <c r="L252" s="1">
        <v>12</v>
      </c>
      <c r="M252" s="1" t="s">
        <v>52</v>
      </c>
      <c r="N252" s="1" t="s">
        <v>52</v>
      </c>
      <c r="O252" t="str">
        <f t="shared" si="12"/>
        <v>OK</v>
      </c>
      <c r="P252" t="str">
        <f t="shared" si="13"/>
        <v>OK</v>
      </c>
      <c r="Q252">
        <f t="shared" si="14"/>
        <v>12</v>
      </c>
      <c r="R252" t="str">
        <f t="shared" si="15"/>
        <v>OK</v>
      </c>
    </row>
    <row r="253" spans="1:18">
      <c r="A253" s="1" t="s">
        <v>986</v>
      </c>
      <c r="B253" s="1" t="s">
        <v>987</v>
      </c>
      <c r="C253" s="5">
        <v>45723</v>
      </c>
      <c r="D253" s="5">
        <v>45734</v>
      </c>
      <c r="E253" s="1" t="s">
        <v>18</v>
      </c>
      <c r="F253" s="1" t="s">
        <v>83</v>
      </c>
      <c r="G253" s="1">
        <v>94</v>
      </c>
      <c r="H253" s="1" t="s">
        <v>104</v>
      </c>
      <c r="I253" s="1" t="s">
        <v>127</v>
      </c>
      <c r="J253" s="1" t="s">
        <v>22</v>
      </c>
      <c r="K253" s="1">
        <v>6550</v>
      </c>
      <c r="L253" s="1">
        <v>11</v>
      </c>
      <c r="M253" s="1" t="s">
        <v>33</v>
      </c>
      <c r="N253" s="1" t="s">
        <v>33</v>
      </c>
      <c r="O253" t="str">
        <f t="shared" si="12"/>
        <v>OK</v>
      </c>
      <c r="P253" t="str">
        <f t="shared" si="13"/>
        <v>OK</v>
      </c>
      <c r="Q253">
        <f t="shared" si="14"/>
        <v>11</v>
      </c>
      <c r="R253" t="str">
        <f t="shared" si="15"/>
        <v>OK</v>
      </c>
    </row>
    <row r="254" spans="1:18">
      <c r="A254" s="1" t="s">
        <v>989</v>
      </c>
      <c r="B254" s="1" t="s">
        <v>990</v>
      </c>
      <c r="C254" s="5">
        <v>45807</v>
      </c>
      <c r="D254" s="5">
        <v>45818</v>
      </c>
      <c r="E254" s="1" t="s">
        <v>249</v>
      </c>
      <c r="F254" s="1" t="s">
        <v>96</v>
      </c>
      <c r="G254" s="1">
        <v>14</v>
      </c>
      <c r="H254" s="1" t="s">
        <v>84</v>
      </c>
      <c r="I254" s="1" t="s">
        <v>153</v>
      </c>
      <c r="J254" s="1" t="s">
        <v>40</v>
      </c>
      <c r="K254" s="1">
        <v>11359</v>
      </c>
      <c r="L254" s="1">
        <v>11</v>
      </c>
      <c r="M254" s="1" t="s">
        <v>33</v>
      </c>
      <c r="N254" s="1" t="s">
        <v>52</v>
      </c>
      <c r="O254" t="str">
        <f t="shared" si="12"/>
        <v>OK</v>
      </c>
      <c r="P254" t="str">
        <f t="shared" si="13"/>
        <v>OK</v>
      </c>
      <c r="Q254">
        <f t="shared" si="14"/>
        <v>11</v>
      </c>
      <c r="R254" t="str">
        <f t="shared" si="15"/>
        <v>OK</v>
      </c>
    </row>
    <row r="255" spans="1:18">
      <c r="A255" s="1" t="s">
        <v>992</v>
      </c>
      <c r="B255" s="1" t="s">
        <v>993</v>
      </c>
      <c r="C255" s="5">
        <v>45706</v>
      </c>
      <c r="D255" s="5">
        <v>45718</v>
      </c>
      <c r="E255" s="1" t="s">
        <v>125</v>
      </c>
      <c r="F255" s="1" t="s">
        <v>126</v>
      </c>
      <c r="G255" s="1">
        <v>31</v>
      </c>
      <c r="H255" s="1" t="s">
        <v>84</v>
      </c>
      <c r="I255" s="1" t="s">
        <v>127</v>
      </c>
      <c r="J255" s="1" t="s">
        <v>40</v>
      </c>
      <c r="K255" s="1">
        <v>2390</v>
      </c>
      <c r="L255" s="1">
        <v>12</v>
      </c>
      <c r="M255" s="1" t="s">
        <v>33</v>
      </c>
      <c r="N255" s="1" t="s">
        <v>52</v>
      </c>
      <c r="O255" t="str">
        <f t="shared" si="12"/>
        <v>OK</v>
      </c>
      <c r="P255" t="str">
        <f t="shared" si="13"/>
        <v>OK</v>
      </c>
      <c r="Q255">
        <f t="shared" si="14"/>
        <v>12</v>
      </c>
      <c r="R255" t="str">
        <f t="shared" si="15"/>
        <v>OK</v>
      </c>
    </row>
    <row r="256" spans="1:18">
      <c r="A256" s="1" t="s">
        <v>995</v>
      </c>
      <c r="B256" s="1" t="s">
        <v>996</v>
      </c>
      <c r="C256" s="5">
        <v>45697</v>
      </c>
      <c r="D256" s="5">
        <v>45699</v>
      </c>
      <c r="E256" s="1" t="s">
        <v>149</v>
      </c>
      <c r="F256" s="1" t="s">
        <v>109</v>
      </c>
      <c r="G256" s="1">
        <v>37</v>
      </c>
      <c r="H256" s="1" t="s">
        <v>104</v>
      </c>
      <c r="I256" s="1" t="s">
        <v>49</v>
      </c>
      <c r="J256" s="1" t="s">
        <v>40</v>
      </c>
      <c r="K256" s="1">
        <v>1499</v>
      </c>
      <c r="L256" s="1">
        <v>2</v>
      </c>
      <c r="M256" s="1" t="s">
        <v>52</v>
      </c>
      <c r="N256" s="1" t="s">
        <v>52</v>
      </c>
      <c r="O256" t="str">
        <f t="shared" si="12"/>
        <v>OK</v>
      </c>
      <c r="P256" t="str">
        <f t="shared" si="13"/>
        <v>OK</v>
      </c>
      <c r="Q256">
        <f t="shared" si="14"/>
        <v>2</v>
      </c>
      <c r="R256" t="str">
        <f t="shared" si="15"/>
        <v>OK</v>
      </c>
    </row>
    <row r="257" spans="1:18">
      <c r="A257" s="1" t="s">
        <v>999</v>
      </c>
      <c r="B257" s="1" t="s">
        <v>1000</v>
      </c>
      <c r="C257" s="5">
        <v>45826</v>
      </c>
      <c r="D257" s="5">
        <v>45842</v>
      </c>
      <c r="E257" s="1" t="s">
        <v>18</v>
      </c>
      <c r="F257" s="1" t="s">
        <v>83</v>
      </c>
      <c r="G257" s="1">
        <v>30</v>
      </c>
      <c r="H257" s="1" t="s">
        <v>84</v>
      </c>
      <c r="I257" s="1" t="s">
        <v>65</v>
      </c>
      <c r="J257" s="1" t="s">
        <v>22</v>
      </c>
      <c r="K257" s="1">
        <v>3730</v>
      </c>
      <c r="L257" s="1">
        <v>16</v>
      </c>
      <c r="M257" s="1" t="s">
        <v>52</v>
      </c>
      <c r="N257" s="1" t="s">
        <v>33</v>
      </c>
      <c r="O257" t="str">
        <f t="shared" si="12"/>
        <v>OK</v>
      </c>
      <c r="P257" t="str">
        <f t="shared" si="13"/>
        <v>OK</v>
      </c>
      <c r="Q257">
        <f t="shared" si="14"/>
        <v>16</v>
      </c>
      <c r="R257" t="str">
        <f t="shared" si="15"/>
        <v>OK</v>
      </c>
    </row>
    <row r="258" spans="1:18">
      <c r="A258" s="1" t="s">
        <v>1003</v>
      </c>
      <c r="B258" s="1" t="s">
        <v>1004</v>
      </c>
      <c r="C258" s="5"/>
      <c r="D258" s="5">
        <v>45796</v>
      </c>
      <c r="E258" s="1" t="s">
        <v>149</v>
      </c>
      <c r="F258" s="1" t="s">
        <v>109</v>
      </c>
      <c r="G258" s="1">
        <v>68</v>
      </c>
      <c r="H258" s="1" t="s">
        <v>104</v>
      </c>
      <c r="I258" s="1" t="s">
        <v>65</v>
      </c>
      <c r="J258" s="1" t="s">
        <v>22</v>
      </c>
      <c r="K258" s="1">
        <v>8133</v>
      </c>
      <c r="L258" s="1">
        <v>10</v>
      </c>
      <c r="M258" s="1" t="s">
        <v>52</v>
      </c>
      <c r="N258" s="1" t="s">
        <v>33</v>
      </c>
      <c r="O258" t="str">
        <f t="shared" si="12"/>
        <v>Missing date</v>
      </c>
      <c r="P258" t="str">
        <f t="shared" si="13"/>
        <v>OK</v>
      </c>
      <c r="Q258" t="str">
        <f t="shared" si="14"/>
        <v/>
      </c>
      <c r="R258" t="str">
        <f t="shared" si="15"/>
        <v>Cannot check dates</v>
      </c>
    </row>
    <row r="259" spans="1:18">
      <c r="A259" s="1" t="s">
        <v>1007</v>
      </c>
      <c r="B259" s="1" t="s">
        <v>1008</v>
      </c>
      <c r="C259" s="5">
        <v>45696</v>
      </c>
      <c r="D259" s="5">
        <v>45706</v>
      </c>
      <c r="E259" s="1" t="s">
        <v>18</v>
      </c>
      <c r="F259" s="1" t="s">
        <v>83</v>
      </c>
      <c r="G259" s="1">
        <v>36</v>
      </c>
      <c r="H259" s="1" t="s">
        <v>104</v>
      </c>
      <c r="I259" s="1" t="s">
        <v>49</v>
      </c>
      <c r="J259" s="1" t="s">
        <v>40</v>
      </c>
      <c r="K259" s="1">
        <v>4743</v>
      </c>
      <c r="L259" s="1">
        <v>10</v>
      </c>
      <c r="M259" s="1" t="s">
        <v>33</v>
      </c>
      <c r="N259" s="1" t="s">
        <v>33</v>
      </c>
      <c r="O259" t="str">
        <f t="shared" ref="O259:O322" si="16">IF(OR(C259="",D259=""),"Missing date",IF(D259&lt;C259,"Check dates","OK"))</f>
        <v>OK</v>
      </c>
      <c r="P259" t="str">
        <f t="shared" ref="P259:P322" si="17">IF(K259="","Missing cost",IF(ISNUMBER(K259),IF(K259&lt;0,"Negative cost",IF(K259&gt;100000,"Review high cost","OK")),"Check format"))</f>
        <v>OK</v>
      </c>
      <c r="Q259">
        <f t="shared" ref="Q259:Q322" si="18">IF(AND(ISNUMBER(C259),ISNUMBER(D259)),IF(D259&gt;=C259,D259-C259,""),"")</f>
        <v>10</v>
      </c>
      <c r="R259" t="str">
        <f t="shared" ref="R259:R322" si="19">IF(Q259="","Cannot check dates",IF(L259="","Missing recorded stay",IF(ISNUMBER(L259),IF(L259=Q259,"OK","Mismatch"),"Check format")))</f>
        <v>OK</v>
      </c>
    </row>
    <row r="260" spans="1:18">
      <c r="A260" s="1" t="s">
        <v>1011</v>
      </c>
      <c r="B260" s="1" t="s">
        <v>1012</v>
      </c>
      <c r="C260" s="5">
        <v>45690</v>
      </c>
      <c r="D260" s="5">
        <v>45706</v>
      </c>
      <c r="E260" s="1" t="s">
        <v>125</v>
      </c>
      <c r="F260" s="1" t="s">
        <v>126</v>
      </c>
      <c r="G260" s="1">
        <v>47</v>
      </c>
      <c r="H260" s="1" t="s">
        <v>84</v>
      </c>
      <c r="I260" s="1" t="s">
        <v>65</v>
      </c>
      <c r="J260" s="1" t="s">
        <v>22</v>
      </c>
      <c r="K260" s="1">
        <v>13115</v>
      </c>
      <c r="L260" s="1">
        <v>16</v>
      </c>
      <c r="M260" s="1" t="s">
        <v>33</v>
      </c>
      <c r="N260" s="1" t="s">
        <v>52</v>
      </c>
      <c r="O260" t="str">
        <f t="shared" si="16"/>
        <v>OK</v>
      </c>
      <c r="P260" t="str">
        <f t="shared" si="17"/>
        <v>OK</v>
      </c>
      <c r="Q260">
        <f t="shared" si="18"/>
        <v>16</v>
      </c>
      <c r="R260" t="str">
        <f t="shared" si="19"/>
        <v>OK</v>
      </c>
    </row>
    <row r="261" spans="1:18">
      <c r="A261" s="1" t="s">
        <v>1014</v>
      </c>
      <c r="B261" s="1" t="s">
        <v>833</v>
      </c>
      <c r="C261" s="5">
        <v>45975</v>
      </c>
      <c r="D261" s="5">
        <v>45981</v>
      </c>
      <c r="E261" s="1" t="s">
        <v>249</v>
      </c>
      <c r="F261" s="1" t="s">
        <v>96</v>
      </c>
      <c r="G261" s="1">
        <v>13</v>
      </c>
      <c r="H261" s="1" t="s">
        <v>104</v>
      </c>
      <c r="I261" s="1" t="s">
        <v>65</v>
      </c>
      <c r="J261" s="1" t="s">
        <v>40</v>
      </c>
      <c r="K261" s="1">
        <v>11725</v>
      </c>
      <c r="L261" s="1">
        <v>6</v>
      </c>
      <c r="M261" s="1" t="s">
        <v>52</v>
      </c>
      <c r="N261" s="1" t="s">
        <v>52</v>
      </c>
      <c r="O261" t="str">
        <f t="shared" si="16"/>
        <v>OK</v>
      </c>
      <c r="P261" t="str">
        <f t="shared" si="17"/>
        <v>OK</v>
      </c>
      <c r="Q261">
        <f t="shared" si="18"/>
        <v>6</v>
      </c>
      <c r="R261" t="str">
        <f t="shared" si="19"/>
        <v>OK</v>
      </c>
    </row>
    <row r="262" spans="1:18">
      <c r="A262" s="1" t="s">
        <v>1016</v>
      </c>
      <c r="B262" s="1" t="s">
        <v>1017</v>
      </c>
      <c r="C262" s="5">
        <v>45747</v>
      </c>
      <c r="D262" s="5">
        <v>45757</v>
      </c>
      <c r="E262" s="1" t="s">
        <v>125</v>
      </c>
      <c r="F262" s="1" t="s">
        <v>126</v>
      </c>
      <c r="G262" s="1">
        <v>40</v>
      </c>
      <c r="H262" s="1" t="s">
        <v>84</v>
      </c>
      <c r="I262" s="1" t="s">
        <v>65</v>
      </c>
      <c r="J262" s="1" t="s">
        <v>32</v>
      </c>
      <c r="K262" s="1">
        <v>8396</v>
      </c>
      <c r="L262" s="1">
        <v>10</v>
      </c>
      <c r="M262" s="1" t="s">
        <v>33</v>
      </c>
      <c r="N262" s="1" t="s">
        <v>33</v>
      </c>
      <c r="O262" t="str">
        <f t="shared" si="16"/>
        <v>OK</v>
      </c>
      <c r="P262" t="str">
        <f t="shared" si="17"/>
        <v>OK</v>
      </c>
      <c r="Q262">
        <f t="shared" si="18"/>
        <v>10</v>
      </c>
      <c r="R262" t="str">
        <f t="shared" si="19"/>
        <v>OK</v>
      </c>
    </row>
    <row r="263" spans="1:18">
      <c r="A263" s="1" t="s">
        <v>1019</v>
      </c>
      <c r="B263" s="1" t="s">
        <v>628</v>
      </c>
      <c r="C263" s="5">
        <v>45732</v>
      </c>
      <c r="D263" s="5">
        <v>45733</v>
      </c>
      <c r="E263" s="1" t="s">
        <v>149</v>
      </c>
      <c r="F263" s="1" t="s">
        <v>109</v>
      </c>
      <c r="G263" s="1">
        <v>27</v>
      </c>
      <c r="H263" s="1" t="s">
        <v>84</v>
      </c>
      <c r="I263" s="1" t="s">
        <v>49</v>
      </c>
      <c r="J263" s="1" t="s">
        <v>22</v>
      </c>
      <c r="K263" s="1">
        <v>2527</v>
      </c>
      <c r="L263" s="1">
        <v>1</v>
      </c>
      <c r="M263" s="1" t="s">
        <v>33</v>
      </c>
      <c r="N263" s="1" t="s">
        <v>52</v>
      </c>
      <c r="O263" t="str">
        <f t="shared" si="16"/>
        <v>OK</v>
      </c>
      <c r="P263" t="str">
        <f t="shared" si="17"/>
        <v>OK</v>
      </c>
      <c r="Q263">
        <f t="shared" si="18"/>
        <v>1</v>
      </c>
      <c r="R263" t="str">
        <f t="shared" si="19"/>
        <v>OK</v>
      </c>
    </row>
    <row r="264" spans="1:18">
      <c r="A264" s="1" t="s">
        <v>1022</v>
      </c>
      <c r="B264" s="1" t="s">
        <v>838</v>
      </c>
      <c r="C264" s="5">
        <v>45673</v>
      </c>
      <c r="D264" s="5"/>
      <c r="E264" s="1" t="s">
        <v>29</v>
      </c>
      <c r="F264" s="1" t="s">
        <v>77</v>
      </c>
      <c r="G264" s="1">
        <v>21</v>
      </c>
      <c r="H264" s="1" t="s">
        <v>48</v>
      </c>
      <c r="I264" s="1" t="s">
        <v>65</v>
      </c>
      <c r="J264" s="1" t="s">
        <v>32</v>
      </c>
      <c r="K264" s="1">
        <v>9649</v>
      </c>
      <c r="L264" s="1">
        <v>16</v>
      </c>
      <c r="M264" s="1" t="s">
        <v>52</v>
      </c>
      <c r="N264" s="1" t="s">
        <v>52</v>
      </c>
      <c r="O264" t="str">
        <f t="shared" si="16"/>
        <v>Missing date</v>
      </c>
      <c r="P264" t="str">
        <f t="shared" si="17"/>
        <v>OK</v>
      </c>
      <c r="Q264" t="str">
        <f t="shared" si="18"/>
        <v/>
      </c>
      <c r="R264" t="str">
        <f t="shared" si="19"/>
        <v>Cannot check dates</v>
      </c>
    </row>
    <row r="265" spans="1:18">
      <c r="A265" s="1" t="s">
        <v>1024</v>
      </c>
      <c r="B265" s="1" t="s">
        <v>1025</v>
      </c>
      <c r="C265" s="5">
        <v>45899</v>
      </c>
      <c r="D265" s="5">
        <v>45900</v>
      </c>
      <c r="E265" s="1" t="s">
        <v>18</v>
      </c>
      <c r="F265" s="1" t="s">
        <v>83</v>
      </c>
      <c r="G265" s="1">
        <v>66</v>
      </c>
      <c r="H265" s="1" t="s">
        <v>104</v>
      </c>
      <c r="I265" s="1" t="s">
        <v>127</v>
      </c>
      <c r="J265" s="1" t="s">
        <v>32</v>
      </c>
      <c r="K265" s="1">
        <v>9711</v>
      </c>
      <c r="L265" s="1">
        <v>1</v>
      </c>
      <c r="M265" s="1" t="s">
        <v>33</v>
      </c>
      <c r="N265" s="1" t="s">
        <v>52</v>
      </c>
      <c r="O265" t="str">
        <f t="shared" si="16"/>
        <v>OK</v>
      </c>
      <c r="P265" t="str">
        <f t="shared" si="17"/>
        <v>OK</v>
      </c>
      <c r="Q265">
        <f t="shared" si="18"/>
        <v>1</v>
      </c>
      <c r="R265" t="str">
        <f t="shared" si="19"/>
        <v>OK</v>
      </c>
    </row>
    <row r="266" spans="1:18">
      <c r="A266" s="1" t="s">
        <v>1029</v>
      </c>
      <c r="B266" s="1" t="s">
        <v>1030</v>
      </c>
      <c r="C266" s="5">
        <v>45749</v>
      </c>
      <c r="D266" s="5"/>
      <c r="E266" s="1" t="s">
        <v>29</v>
      </c>
      <c r="F266" s="1" t="s">
        <v>77</v>
      </c>
      <c r="G266" s="1">
        <v>87</v>
      </c>
      <c r="H266" s="1" t="s">
        <v>104</v>
      </c>
      <c r="I266" s="1" t="s">
        <v>65</v>
      </c>
      <c r="J266" s="1" t="s">
        <v>22</v>
      </c>
      <c r="K266" s="1">
        <v>3002</v>
      </c>
      <c r="L266" s="1">
        <v>3</v>
      </c>
      <c r="M266" s="1" t="s">
        <v>33</v>
      </c>
      <c r="N266" s="1" t="s">
        <v>52</v>
      </c>
      <c r="O266" t="str">
        <f t="shared" si="16"/>
        <v>Missing date</v>
      </c>
      <c r="P266" t="str">
        <f t="shared" si="17"/>
        <v>OK</v>
      </c>
      <c r="Q266" t="str">
        <f t="shared" si="18"/>
        <v/>
      </c>
      <c r="R266" t="str">
        <f t="shared" si="19"/>
        <v>Cannot check dates</v>
      </c>
    </row>
    <row r="267" spans="1:18">
      <c r="A267" s="1" t="s">
        <v>1031</v>
      </c>
      <c r="B267" s="1" t="s">
        <v>188</v>
      </c>
      <c r="C267" s="5">
        <v>45972</v>
      </c>
      <c r="D267" s="5">
        <v>45983</v>
      </c>
      <c r="E267" s="1" t="s">
        <v>249</v>
      </c>
      <c r="F267" s="1" t="s">
        <v>96</v>
      </c>
      <c r="G267" s="1"/>
      <c r="H267" s="1" t="s">
        <v>104</v>
      </c>
      <c r="I267" s="1" t="s">
        <v>65</v>
      </c>
      <c r="J267" s="1" t="s">
        <v>22</v>
      </c>
      <c r="K267" s="1">
        <v>8134</v>
      </c>
      <c r="L267" s="1">
        <v>11</v>
      </c>
      <c r="M267" s="1" t="s">
        <v>33</v>
      </c>
      <c r="N267" s="1" t="s">
        <v>52</v>
      </c>
      <c r="O267" t="str">
        <f t="shared" si="16"/>
        <v>OK</v>
      </c>
      <c r="P267" t="str">
        <f t="shared" si="17"/>
        <v>OK</v>
      </c>
      <c r="Q267">
        <f t="shared" si="18"/>
        <v>11</v>
      </c>
      <c r="R267" t="str">
        <f t="shared" si="19"/>
        <v>OK</v>
      </c>
    </row>
    <row r="268" spans="1:18">
      <c r="A268" s="1" t="s">
        <v>1034</v>
      </c>
      <c r="B268" s="1" t="s">
        <v>722</v>
      </c>
      <c r="C268" s="5">
        <v>45715</v>
      </c>
      <c r="D268" s="5">
        <v>45734</v>
      </c>
      <c r="E268" s="1" t="s">
        <v>249</v>
      </c>
      <c r="F268" s="1" t="s">
        <v>96</v>
      </c>
      <c r="G268" s="1">
        <v>10</v>
      </c>
      <c r="H268" s="1" t="s">
        <v>104</v>
      </c>
      <c r="I268" s="1" t="s">
        <v>127</v>
      </c>
      <c r="J268" s="1" t="s">
        <v>32</v>
      </c>
      <c r="K268" s="1">
        <v>872</v>
      </c>
      <c r="L268" s="1">
        <v>19</v>
      </c>
      <c r="M268" s="1" t="s">
        <v>52</v>
      </c>
      <c r="N268" s="1" t="s">
        <v>33</v>
      </c>
      <c r="O268" t="str">
        <f t="shared" si="16"/>
        <v>OK</v>
      </c>
      <c r="P268" t="str">
        <f t="shared" si="17"/>
        <v>OK</v>
      </c>
      <c r="Q268">
        <f t="shared" si="18"/>
        <v>19</v>
      </c>
      <c r="R268" t="str">
        <f t="shared" si="19"/>
        <v>OK</v>
      </c>
    </row>
    <row r="269" spans="1:18">
      <c r="A269" s="1" t="s">
        <v>1035</v>
      </c>
      <c r="B269" s="1" t="s">
        <v>690</v>
      </c>
      <c r="C269" s="5">
        <v>45709</v>
      </c>
      <c r="D269" s="5">
        <v>45728</v>
      </c>
      <c r="E269" s="1" t="s">
        <v>149</v>
      </c>
      <c r="F269" s="1" t="s">
        <v>109</v>
      </c>
      <c r="G269" s="1">
        <v>76</v>
      </c>
      <c r="H269" s="1" t="s">
        <v>104</v>
      </c>
      <c r="I269" s="1" t="s">
        <v>127</v>
      </c>
      <c r="J269" s="1" t="s">
        <v>22</v>
      </c>
      <c r="K269" s="1">
        <v>6381</v>
      </c>
      <c r="L269" s="1">
        <v>19</v>
      </c>
      <c r="M269" s="1" t="s">
        <v>33</v>
      </c>
      <c r="N269" s="1" t="s">
        <v>52</v>
      </c>
      <c r="O269" t="str">
        <f t="shared" si="16"/>
        <v>OK</v>
      </c>
      <c r="P269" t="str">
        <f t="shared" si="17"/>
        <v>OK</v>
      </c>
      <c r="Q269">
        <f t="shared" si="18"/>
        <v>19</v>
      </c>
      <c r="R269" t="str">
        <f t="shared" si="19"/>
        <v>OK</v>
      </c>
    </row>
    <row r="270" spans="1:18">
      <c r="A270" s="1" t="s">
        <v>1037</v>
      </c>
      <c r="B270" s="1" t="s">
        <v>1038</v>
      </c>
      <c r="C270" s="5">
        <v>45988</v>
      </c>
      <c r="D270" s="5">
        <v>45994</v>
      </c>
      <c r="E270" s="1" t="s">
        <v>120</v>
      </c>
      <c r="F270" s="1" t="s">
        <v>39</v>
      </c>
      <c r="G270" s="1">
        <v>72</v>
      </c>
      <c r="H270" s="1" t="s">
        <v>104</v>
      </c>
      <c r="I270" s="1" t="s">
        <v>127</v>
      </c>
      <c r="J270" s="1" t="s">
        <v>32</v>
      </c>
      <c r="K270" s="1">
        <v>3982</v>
      </c>
      <c r="L270" s="1">
        <v>6</v>
      </c>
      <c r="M270" s="1" t="s">
        <v>52</v>
      </c>
      <c r="N270" s="1" t="s">
        <v>33</v>
      </c>
      <c r="O270" t="str">
        <f t="shared" si="16"/>
        <v>OK</v>
      </c>
      <c r="P270" t="str">
        <f t="shared" si="17"/>
        <v>OK</v>
      </c>
      <c r="Q270">
        <f t="shared" si="18"/>
        <v>6</v>
      </c>
      <c r="R270" t="str">
        <f t="shared" si="19"/>
        <v>OK</v>
      </c>
    </row>
    <row r="271" spans="1:18">
      <c r="A271" s="1" t="s">
        <v>1041</v>
      </c>
      <c r="B271" s="1" t="s">
        <v>1042</v>
      </c>
      <c r="C271" s="5">
        <v>45962</v>
      </c>
      <c r="D271" s="5">
        <v>45967</v>
      </c>
      <c r="E271" s="1" t="s">
        <v>125</v>
      </c>
      <c r="F271" s="1" t="s">
        <v>126</v>
      </c>
      <c r="G271" s="1">
        <v>25</v>
      </c>
      <c r="H271" s="1" t="s">
        <v>84</v>
      </c>
      <c r="I271" s="1" t="s">
        <v>65</v>
      </c>
      <c r="J271" s="1" t="s">
        <v>40</v>
      </c>
      <c r="K271" s="1">
        <v>1458</v>
      </c>
      <c r="L271" s="1"/>
      <c r="M271" s="1" t="s">
        <v>33</v>
      </c>
      <c r="N271" s="1" t="s">
        <v>52</v>
      </c>
      <c r="O271" t="str">
        <f t="shared" si="16"/>
        <v>OK</v>
      </c>
      <c r="P271" t="str">
        <f t="shared" si="17"/>
        <v>OK</v>
      </c>
      <c r="Q271">
        <f t="shared" si="18"/>
        <v>5</v>
      </c>
      <c r="R271" t="str">
        <f t="shared" si="19"/>
        <v>Missing recorded stay</v>
      </c>
    </row>
    <row r="272" spans="1:18">
      <c r="A272" s="1" t="s">
        <v>1044</v>
      </c>
      <c r="B272" s="1" t="s">
        <v>734</v>
      </c>
      <c r="C272" s="5">
        <v>45676</v>
      </c>
      <c r="D272" s="5"/>
      <c r="E272" s="1" t="s">
        <v>249</v>
      </c>
      <c r="F272" s="1" t="s">
        <v>96</v>
      </c>
      <c r="G272" s="1">
        <v>10</v>
      </c>
      <c r="H272" s="1" t="s">
        <v>48</v>
      </c>
      <c r="I272" s="1" t="s">
        <v>65</v>
      </c>
      <c r="J272" s="1" t="s">
        <v>40</v>
      </c>
      <c r="K272" s="1">
        <v>8628</v>
      </c>
      <c r="L272" s="1">
        <v>13</v>
      </c>
      <c r="M272" s="1" t="s">
        <v>33</v>
      </c>
      <c r="N272" s="1" t="s">
        <v>33</v>
      </c>
      <c r="O272" t="str">
        <f t="shared" si="16"/>
        <v>Missing date</v>
      </c>
      <c r="P272" t="str">
        <f t="shared" si="17"/>
        <v>OK</v>
      </c>
      <c r="Q272" t="str">
        <f t="shared" si="18"/>
        <v/>
      </c>
      <c r="R272" t="str">
        <f t="shared" si="19"/>
        <v>Cannot check dates</v>
      </c>
    </row>
    <row r="273" spans="1:18">
      <c r="A273" s="1" t="s">
        <v>1045</v>
      </c>
      <c r="B273" s="1" t="s">
        <v>1046</v>
      </c>
      <c r="C273" s="5">
        <v>45730</v>
      </c>
      <c r="D273" s="5">
        <v>45735</v>
      </c>
      <c r="E273" s="1" t="s">
        <v>120</v>
      </c>
      <c r="F273" s="1" t="s">
        <v>39</v>
      </c>
      <c r="G273" s="1">
        <v>79</v>
      </c>
      <c r="H273" s="1" t="s">
        <v>84</v>
      </c>
      <c r="I273" s="1" t="s">
        <v>65</v>
      </c>
      <c r="J273" s="1" t="s">
        <v>22</v>
      </c>
      <c r="K273" s="1">
        <v>3598</v>
      </c>
      <c r="L273" s="1">
        <v>5</v>
      </c>
      <c r="M273" s="1" t="s">
        <v>33</v>
      </c>
      <c r="N273" s="1" t="s">
        <v>52</v>
      </c>
      <c r="O273" t="str">
        <f t="shared" si="16"/>
        <v>OK</v>
      </c>
      <c r="P273" t="str">
        <f t="shared" si="17"/>
        <v>OK</v>
      </c>
      <c r="Q273">
        <f t="shared" si="18"/>
        <v>5</v>
      </c>
      <c r="R273" t="str">
        <f t="shared" si="19"/>
        <v>OK</v>
      </c>
    </row>
    <row r="274" spans="1:18">
      <c r="A274" s="1" t="s">
        <v>1048</v>
      </c>
      <c r="B274" s="1" t="s">
        <v>625</v>
      </c>
      <c r="C274" s="5">
        <v>45715</v>
      </c>
      <c r="D274" s="5">
        <v>45728</v>
      </c>
      <c r="E274" s="1" t="s">
        <v>249</v>
      </c>
      <c r="F274" s="1" t="s">
        <v>96</v>
      </c>
      <c r="G274" s="1">
        <v>17</v>
      </c>
      <c r="H274" s="1" t="s">
        <v>104</v>
      </c>
      <c r="I274" s="1" t="s">
        <v>49</v>
      </c>
      <c r="J274" s="1" t="s">
        <v>40</v>
      </c>
      <c r="K274" s="1"/>
      <c r="L274" s="1">
        <v>13</v>
      </c>
      <c r="M274" s="1" t="s">
        <v>33</v>
      </c>
      <c r="N274" s="1" t="s">
        <v>52</v>
      </c>
      <c r="O274" t="str">
        <f t="shared" si="16"/>
        <v>OK</v>
      </c>
      <c r="P274" t="str">
        <f t="shared" si="17"/>
        <v>Missing cost</v>
      </c>
      <c r="Q274">
        <f t="shared" si="18"/>
        <v>13</v>
      </c>
      <c r="R274" t="str">
        <f t="shared" si="19"/>
        <v>OK</v>
      </c>
    </row>
    <row r="275" spans="1:18">
      <c r="A275" s="1" t="s">
        <v>1050</v>
      </c>
      <c r="B275" s="1" t="s">
        <v>1051</v>
      </c>
      <c r="C275" s="5">
        <v>45967</v>
      </c>
      <c r="D275" s="5">
        <v>45969</v>
      </c>
      <c r="E275" s="1" t="s">
        <v>29</v>
      </c>
      <c r="F275" s="1" t="s">
        <v>77</v>
      </c>
      <c r="G275" s="1">
        <v>34</v>
      </c>
      <c r="H275" s="1" t="s">
        <v>84</v>
      </c>
      <c r="I275" s="1" t="s">
        <v>127</v>
      </c>
      <c r="J275" s="1" t="s">
        <v>40</v>
      </c>
      <c r="K275" s="1"/>
      <c r="L275" s="1">
        <v>2</v>
      </c>
      <c r="M275" s="1" t="s">
        <v>52</v>
      </c>
      <c r="N275" s="1" t="s">
        <v>33</v>
      </c>
      <c r="O275" t="str">
        <f t="shared" si="16"/>
        <v>OK</v>
      </c>
      <c r="P275" t="str">
        <f t="shared" si="17"/>
        <v>Missing cost</v>
      </c>
      <c r="Q275">
        <f t="shared" si="18"/>
        <v>2</v>
      </c>
      <c r="R275" t="str">
        <f t="shared" si="19"/>
        <v>OK</v>
      </c>
    </row>
    <row r="276" spans="1:18">
      <c r="A276" s="1" t="s">
        <v>85</v>
      </c>
      <c r="B276" s="1" t="s">
        <v>86</v>
      </c>
      <c r="C276" s="5">
        <v>45747</v>
      </c>
      <c r="D276" s="5">
        <v>45750</v>
      </c>
      <c r="E276" s="1" t="s">
        <v>120</v>
      </c>
      <c r="F276" s="1" t="s">
        <v>39</v>
      </c>
      <c r="G276" s="1">
        <v>78</v>
      </c>
      <c r="H276" s="1" t="s">
        <v>84</v>
      </c>
      <c r="I276" s="1" t="s">
        <v>65</v>
      </c>
      <c r="J276" s="1" t="s">
        <v>22</v>
      </c>
      <c r="K276" s="1">
        <v>9999</v>
      </c>
      <c r="L276" s="1">
        <v>3</v>
      </c>
      <c r="M276" s="1" t="s">
        <v>33</v>
      </c>
      <c r="N276" s="1" t="s">
        <v>33</v>
      </c>
      <c r="O276" t="str">
        <f t="shared" si="16"/>
        <v>OK</v>
      </c>
      <c r="P276" t="str">
        <f t="shared" si="17"/>
        <v>OK</v>
      </c>
      <c r="Q276">
        <f t="shared" si="18"/>
        <v>3</v>
      </c>
      <c r="R276" t="str">
        <f t="shared" si="19"/>
        <v>OK</v>
      </c>
    </row>
    <row r="277" spans="1:18">
      <c r="A277" s="1" t="s">
        <v>1054</v>
      </c>
      <c r="B277" s="1" t="s">
        <v>1055</v>
      </c>
      <c r="C277" s="5">
        <v>45742</v>
      </c>
      <c r="D277" s="5">
        <v>45759</v>
      </c>
      <c r="E277" s="1" t="s">
        <v>120</v>
      </c>
      <c r="F277" s="1" t="s">
        <v>39</v>
      </c>
      <c r="G277" s="1">
        <v>25</v>
      </c>
      <c r="H277" s="1" t="s">
        <v>84</v>
      </c>
      <c r="I277" s="1" t="s">
        <v>65</v>
      </c>
      <c r="J277" s="1" t="s">
        <v>40</v>
      </c>
      <c r="K277" s="1">
        <v>856</v>
      </c>
      <c r="L277" s="1">
        <v>17</v>
      </c>
      <c r="M277" s="1" t="s">
        <v>33</v>
      </c>
      <c r="N277" s="1" t="s">
        <v>33</v>
      </c>
      <c r="O277" t="str">
        <f t="shared" si="16"/>
        <v>OK</v>
      </c>
      <c r="P277" t="str">
        <f t="shared" si="17"/>
        <v>OK</v>
      </c>
      <c r="Q277">
        <f t="shared" si="18"/>
        <v>17</v>
      </c>
      <c r="R277" t="str">
        <f t="shared" si="19"/>
        <v>OK</v>
      </c>
    </row>
    <row r="278" spans="1:18">
      <c r="A278" s="1" t="s">
        <v>1057</v>
      </c>
      <c r="B278" s="1" t="s">
        <v>1058</v>
      </c>
      <c r="C278" s="5">
        <v>45900</v>
      </c>
      <c r="D278" s="5">
        <v>45920</v>
      </c>
      <c r="E278" s="1" t="s">
        <v>120</v>
      </c>
      <c r="F278" s="1" t="s">
        <v>39</v>
      </c>
      <c r="G278" s="1">
        <v>78</v>
      </c>
      <c r="H278" s="1" t="s">
        <v>84</v>
      </c>
      <c r="I278" s="1" t="s">
        <v>127</v>
      </c>
      <c r="J278" s="1" t="s">
        <v>40</v>
      </c>
      <c r="K278" s="1">
        <v>4606</v>
      </c>
      <c r="L278" s="1"/>
      <c r="M278" s="1" t="s">
        <v>52</v>
      </c>
      <c r="N278" s="1" t="s">
        <v>52</v>
      </c>
      <c r="O278" t="str">
        <f t="shared" si="16"/>
        <v>OK</v>
      </c>
      <c r="P278" t="str">
        <f t="shared" si="17"/>
        <v>OK</v>
      </c>
      <c r="Q278">
        <f t="shared" si="18"/>
        <v>20</v>
      </c>
      <c r="R278" t="str">
        <f t="shared" si="19"/>
        <v>Missing recorded stay</v>
      </c>
    </row>
    <row r="279" spans="1:18">
      <c r="A279" s="1" t="s">
        <v>1060</v>
      </c>
      <c r="B279" s="1" t="s">
        <v>337</v>
      </c>
      <c r="C279" s="5">
        <v>45716</v>
      </c>
      <c r="D279" s="5">
        <v>45730</v>
      </c>
      <c r="E279" s="1" t="s">
        <v>120</v>
      </c>
      <c r="F279" s="1" t="s">
        <v>39</v>
      </c>
      <c r="G279" s="1">
        <v>67</v>
      </c>
      <c r="H279" s="1" t="s">
        <v>84</v>
      </c>
      <c r="I279" s="1" t="s">
        <v>65</v>
      </c>
      <c r="J279" s="1" t="s">
        <v>32</v>
      </c>
      <c r="K279" s="1">
        <v>7266</v>
      </c>
      <c r="L279" s="1">
        <v>14</v>
      </c>
      <c r="M279" s="1" t="s">
        <v>33</v>
      </c>
      <c r="N279" s="1" t="s">
        <v>33</v>
      </c>
      <c r="O279" t="str">
        <f t="shared" si="16"/>
        <v>OK</v>
      </c>
      <c r="P279" t="str">
        <f t="shared" si="17"/>
        <v>OK</v>
      </c>
      <c r="Q279">
        <f t="shared" si="18"/>
        <v>14</v>
      </c>
      <c r="R279" t="str">
        <f t="shared" si="19"/>
        <v>OK</v>
      </c>
    </row>
    <row r="280" spans="1:18">
      <c r="A280" s="1" t="s">
        <v>1063</v>
      </c>
      <c r="B280" s="1" t="s">
        <v>604</v>
      </c>
      <c r="C280" s="5">
        <v>45874</v>
      </c>
      <c r="D280" s="5">
        <v>45882</v>
      </c>
      <c r="E280" s="1" t="s">
        <v>149</v>
      </c>
      <c r="F280" s="1" t="s">
        <v>109</v>
      </c>
      <c r="G280" s="1">
        <v>59</v>
      </c>
      <c r="H280" s="1" t="s">
        <v>84</v>
      </c>
      <c r="I280" s="1" t="s">
        <v>49</v>
      </c>
      <c r="J280" s="1" t="s">
        <v>40</v>
      </c>
      <c r="K280" s="1">
        <v>5867</v>
      </c>
      <c r="L280" s="1"/>
      <c r="M280" s="1" t="s">
        <v>33</v>
      </c>
      <c r="N280" s="1" t="s">
        <v>52</v>
      </c>
      <c r="O280" t="str">
        <f t="shared" si="16"/>
        <v>OK</v>
      </c>
      <c r="P280" t="str">
        <f t="shared" si="17"/>
        <v>OK</v>
      </c>
      <c r="Q280">
        <f t="shared" si="18"/>
        <v>8</v>
      </c>
      <c r="R280" t="str">
        <f t="shared" si="19"/>
        <v>Missing recorded stay</v>
      </c>
    </row>
    <row r="281" spans="1:18">
      <c r="A281" s="1" t="s">
        <v>1067</v>
      </c>
      <c r="B281" s="1" t="s">
        <v>1068</v>
      </c>
      <c r="C281" s="5"/>
      <c r="D281" s="5">
        <v>45819</v>
      </c>
      <c r="E281" s="1" t="s">
        <v>29</v>
      </c>
      <c r="F281" s="1" t="s">
        <v>77</v>
      </c>
      <c r="G281" s="1">
        <v>24</v>
      </c>
      <c r="H281" s="1" t="s">
        <v>48</v>
      </c>
      <c r="I281" s="1" t="s">
        <v>65</v>
      </c>
      <c r="J281" s="1" t="s">
        <v>32</v>
      </c>
      <c r="K281" s="1">
        <v>8284</v>
      </c>
      <c r="L281" s="1">
        <v>4</v>
      </c>
      <c r="M281" s="1" t="s">
        <v>33</v>
      </c>
      <c r="N281" s="1" t="s">
        <v>33</v>
      </c>
      <c r="O281" t="str">
        <f t="shared" si="16"/>
        <v>Missing date</v>
      </c>
      <c r="P281" t="str">
        <f t="shared" si="17"/>
        <v>OK</v>
      </c>
      <c r="Q281" t="str">
        <f t="shared" si="18"/>
        <v/>
      </c>
      <c r="R281" t="str">
        <f t="shared" si="19"/>
        <v>Cannot check dates</v>
      </c>
    </row>
    <row r="282" spans="1:18">
      <c r="A282" s="1" t="s">
        <v>1069</v>
      </c>
      <c r="B282" s="1" t="s">
        <v>1070</v>
      </c>
      <c r="C282" s="5">
        <v>45660</v>
      </c>
      <c r="D282" s="5">
        <v>45666</v>
      </c>
      <c r="E282" s="1" t="s">
        <v>249</v>
      </c>
      <c r="F282" s="1" t="s">
        <v>96</v>
      </c>
      <c r="G282" s="1">
        <v>7</v>
      </c>
      <c r="H282" s="1" t="s">
        <v>84</v>
      </c>
      <c r="I282" s="1" t="s">
        <v>49</v>
      </c>
      <c r="J282" s="1" t="s">
        <v>40</v>
      </c>
      <c r="K282" s="1">
        <v>3725</v>
      </c>
      <c r="L282" s="1">
        <v>6</v>
      </c>
      <c r="M282" s="1" t="s">
        <v>52</v>
      </c>
      <c r="N282" s="1" t="s">
        <v>33</v>
      </c>
      <c r="O282" t="str">
        <f t="shared" si="16"/>
        <v>OK</v>
      </c>
      <c r="P282" t="str">
        <f t="shared" si="17"/>
        <v>OK</v>
      </c>
      <c r="Q282">
        <f t="shared" si="18"/>
        <v>6</v>
      </c>
      <c r="R282" t="str">
        <f t="shared" si="19"/>
        <v>OK</v>
      </c>
    </row>
    <row r="283" spans="1:18">
      <c r="A283" s="1" t="s">
        <v>1072</v>
      </c>
      <c r="B283" s="1" t="s">
        <v>502</v>
      </c>
      <c r="C283" s="5">
        <v>45801</v>
      </c>
      <c r="D283" s="5">
        <v>45806</v>
      </c>
      <c r="E283" s="1" t="s">
        <v>29</v>
      </c>
      <c r="F283" s="1" t="s">
        <v>77</v>
      </c>
      <c r="G283" s="1">
        <v>33</v>
      </c>
      <c r="H283" s="1" t="s">
        <v>104</v>
      </c>
      <c r="I283" s="1" t="s">
        <v>49</v>
      </c>
      <c r="J283" s="1" t="s">
        <v>40</v>
      </c>
      <c r="K283" s="1">
        <v>425</v>
      </c>
      <c r="L283" s="1">
        <v>5</v>
      </c>
      <c r="M283" s="1" t="s">
        <v>33</v>
      </c>
      <c r="N283" s="1" t="s">
        <v>33</v>
      </c>
      <c r="O283" t="str">
        <f t="shared" si="16"/>
        <v>OK</v>
      </c>
      <c r="P283" t="str">
        <f t="shared" si="17"/>
        <v>OK</v>
      </c>
      <c r="Q283">
        <f t="shared" si="18"/>
        <v>5</v>
      </c>
      <c r="R283" t="str">
        <f t="shared" si="19"/>
        <v>OK</v>
      </c>
    </row>
    <row r="284" spans="1:18">
      <c r="A284" s="1" t="s">
        <v>1075</v>
      </c>
      <c r="B284" s="1" t="s">
        <v>1000</v>
      </c>
      <c r="C284" s="5">
        <v>45766</v>
      </c>
      <c r="D284" s="5">
        <v>45782</v>
      </c>
      <c r="E284" s="1" t="s">
        <v>120</v>
      </c>
      <c r="F284" s="1" t="s">
        <v>39</v>
      </c>
      <c r="G284" s="1">
        <v>36</v>
      </c>
      <c r="H284" s="1" t="s">
        <v>104</v>
      </c>
      <c r="I284" s="1" t="s">
        <v>65</v>
      </c>
      <c r="J284" s="1" t="s">
        <v>40</v>
      </c>
      <c r="K284" s="1">
        <v>14056</v>
      </c>
      <c r="L284" s="1">
        <v>16</v>
      </c>
      <c r="M284" s="1" t="s">
        <v>33</v>
      </c>
      <c r="N284" s="1" t="s">
        <v>52</v>
      </c>
      <c r="O284" t="str">
        <f t="shared" si="16"/>
        <v>OK</v>
      </c>
      <c r="P284" t="str">
        <f t="shared" si="17"/>
        <v>OK</v>
      </c>
      <c r="Q284">
        <f t="shared" si="18"/>
        <v>16</v>
      </c>
      <c r="R284" t="str">
        <f t="shared" si="19"/>
        <v>OK</v>
      </c>
    </row>
    <row r="285" spans="1:18">
      <c r="A285" s="1" t="s">
        <v>1079</v>
      </c>
      <c r="B285" s="1" t="s">
        <v>1080</v>
      </c>
      <c r="C285" s="5">
        <v>45754</v>
      </c>
      <c r="D285" s="5">
        <v>45774</v>
      </c>
      <c r="E285" s="1" t="s">
        <v>18</v>
      </c>
      <c r="F285" s="1" t="s">
        <v>83</v>
      </c>
      <c r="G285" s="1">
        <v>81</v>
      </c>
      <c r="H285" s="1" t="s">
        <v>84</v>
      </c>
      <c r="I285" s="1" t="s">
        <v>127</v>
      </c>
      <c r="J285" s="1" t="s">
        <v>32</v>
      </c>
      <c r="K285" s="1">
        <v>584</v>
      </c>
      <c r="L285" s="1">
        <v>20</v>
      </c>
      <c r="M285" s="1" t="s">
        <v>33</v>
      </c>
      <c r="N285" s="1" t="s">
        <v>33</v>
      </c>
      <c r="O285" t="str">
        <f t="shared" si="16"/>
        <v>OK</v>
      </c>
      <c r="P285" t="str">
        <f t="shared" si="17"/>
        <v>OK</v>
      </c>
      <c r="Q285">
        <f t="shared" si="18"/>
        <v>20</v>
      </c>
      <c r="R285" t="str">
        <f t="shared" si="19"/>
        <v>OK</v>
      </c>
    </row>
    <row r="286" spans="1:18">
      <c r="A286" s="1" t="s">
        <v>1082</v>
      </c>
      <c r="B286" s="1" t="s">
        <v>1083</v>
      </c>
      <c r="C286" s="5">
        <v>45960</v>
      </c>
      <c r="D286" s="5">
        <v>45973</v>
      </c>
      <c r="E286" s="1" t="s">
        <v>125</v>
      </c>
      <c r="F286" s="1" t="s">
        <v>126</v>
      </c>
      <c r="G286" s="1">
        <v>80</v>
      </c>
      <c r="H286" s="1" t="s">
        <v>48</v>
      </c>
      <c r="I286" s="1" t="s">
        <v>153</v>
      </c>
      <c r="J286" s="1" t="s">
        <v>22</v>
      </c>
      <c r="K286" s="1">
        <v>9906</v>
      </c>
      <c r="L286" s="1">
        <v>13</v>
      </c>
      <c r="M286" s="1" t="s">
        <v>33</v>
      </c>
      <c r="N286" s="1" t="s">
        <v>52</v>
      </c>
      <c r="O286" t="str">
        <f t="shared" si="16"/>
        <v>OK</v>
      </c>
      <c r="P286" t="str">
        <f t="shared" si="17"/>
        <v>OK</v>
      </c>
      <c r="Q286">
        <f t="shared" si="18"/>
        <v>13</v>
      </c>
      <c r="R286" t="str">
        <f t="shared" si="19"/>
        <v>OK</v>
      </c>
    </row>
    <row r="287" spans="1:18">
      <c r="A287" s="1" t="s">
        <v>1086</v>
      </c>
      <c r="B287" s="1" t="s">
        <v>1087</v>
      </c>
      <c r="C287" s="5">
        <v>45921</v>
      </c>
      <c r="D287" s="5">
        <v>45923</v>
      </c>
      <c r="E287" s="1" t="s">
        <v>249</v>
      </c>
      <c r="F287" s="1" t="s">
        <v>96</v>
      </c>
      <c r="G287" s="1">
        <v>10</v>
      </c>
      <c r="H287" s="1" t="s">
        <v>104</v>
      </c>
      <c r="I287" s="1" t="s">
        <v>127</v>
      </c>
      <c r="J287" s="1" t="s">
        <v>40</v>
      </c>
      <c r="K287" s="8">
        <v>8584</v>
      </c>
      <c r="L287" s="1">
        <v>2</v>
      </c>
      <c r="M287" s="1" t="s">
        <v>52</v>
      </c>
      <c r="N287" s="1" t="s">
        <v>52</v>
      </c>
      <c r="O287" t="str">
        <f t="shared" si="16"/>
        <v>OK</v>
      </c>
      <c r="P287" t="str">
        <f t="shared" si="17"/>
        <v>OK</v>
      </c>
      <c r="Q287">
        <f t="shared" si="18"/>
        <v>2</v>
      </c>
      <c r="R287" t="str">
        <f t="shared" si="19"/>
        <v>OK</v>
      </c>
    </row>
    <row r="288" spans="1:18">
      <c r="A288" s="1" t="s">
        <v>1091</v>
      </c>
      <c r="B288" s="1" t="s">
        <v>422</v>
      </c>
      <c r="C288" s="5">
        <v>45710</v>
      </c>
      <c r="D288" s="5">
        <v>45724</v>
      </c>
      <c r="E288" s="1" t="s">
        <v>149</v>
      </c>
      <c r="F288" s="1" t="s">
        <v>109</v>
      </c>
      <c r="G288" s="1"/>
      <c r="H288" s="1" t="s">
        <v>84</v>
      </c>
      <c r="I288" s="1" t="s">
        <v>49</v>
      </c>
      <c r="J288" s="1" t="s">
        <v>22</v>
      </c>
      <c r="K288" s="1"/>
      <c r="L288" s="1">
        <v>14</v>
      </c>
      <c r="M288" s="1" t="s">
        <v>52</v>
      </c>
      <c r="N288" s="1" t="s">
        <v>33</v>
      </c>
      <c r="O288" t="str">
        <f t="shared" si="16"/>
        <v>OK</v>
      </c>
      <c r="P288" t="str">
        <f t="shared" si="17"/>
        <v>Missing cost</v>
      </c>
      <c r="Q288">
        <f t="shared" si="18"/>
        <v>14</v>
      </c>
      <c r="R288" t="str">
        <f t="shared" si="19"/>
        <v>OK</v>
      </c>
    </row>
    <row r="289" spans="1:18">
      <c r="A289" s="1" t="s">
        <v>1094</v>
      </c>
      <c r="B289" s="1" t="s">
        <v>1095</v>
      </c>
      <c r="C289" s="5">
        <v>45994</v>
      </c>
      <c r="D289" s="5">
        <v>46002</v>
      </c>
      <c r="E289" s="1" t="s">
        <v>249</v>
      </c>
      <c r="F289" s="1" t="s">
        <v>96</v>
      </c>
      <c r="G289" s="1">
        <v>2</v>
      </c>
      <c r="H289" s="1" t="s">
        <v>84</v>
      </c>
      <c r="I289" s="1" t="s">
        <v>127</v>
      </c>
      <c r="J289" s="1" t="s">
        <v>40</v>
      </c>
      <c r="K289" s="1">
        <v>8316</v>
      </c>
      <c r="L289" s="1">
        <v>8</v>
      </c>
      <c r="M289" s="1" t="s">
        <v>52</v>
      </c>
      <c r="N289" s="1" t="s">
        <v>33</v>
      </c>
      <c r="O289" t="str">
        <f t="shared" si="16"/>
        <v>OK</v>
      </c>
      <c r="P289" t="str">
        <f t="shared" si="17"/>
        <v>OK</v>
      </c>
      <c r="Q289">
        <f t="shared" si="18"/>
        <v>8</v>
      </c>
      <c r="R289" t="str">
        <f t="shared" si="19"/>
        <v>OK</v>
      </c>
    </row>
    <row r="290" spans="1:18">
      <c r="A290" s="1" t="s">
        <v>1097</v>
      </c>
      <c r="B290" s="1" t="s">
        <v>838</v>
      </c>
      <c r="C290" s="5">
        <v>45667</v>
      </c>
      <c r="D290" s="5">
        <v>45670</v>
      </c>
      <c r="E290" s="1" t="s">
        <v>120</v>
      </c>
      <c r="F290" s="1" t="s">
        <v>39</v>
      </c>
      <c r="G290" s="1">
        <v>92</v>
      </c>
      <c r="H290" s="1" t="s">
        <v>104</v>
      </c>
      <c r="I290" s="1" t="s">
        <v>49</v>
      </c>
      <c r="J290" s="1" t="s">
        <v>32</v>
      </c>
      <c r="K290" s="1">
        <v>7488</v>
      </c>
      <c r="L290" s="1">
        <v>3</v>
      </c>
      <c r="M290" s="1" t="s">
        <v>33</v>
      </c>
      <c r="N290" s="1" t="s">
        <v>33</v>
      </c>
      <c r="O290" t="str">
        <f t="shared" si="16"/>
        <v>OK</v>
      </c>
      <c r="P290" t="str">
        <f t="shared" si="17"/>
        <v>OK</v>
      </c>
      <c r="Q290">
        <f t="shared" si="18"/>
        <v>3</v>
      </c>
      <c r="R290" t="str">
        <f t="shared" si="19"/>
        <v>OK</v>
      </c>
    </row>
    <row r="291" spans="1:18">
      <c r="A291" s="1" t="s">
        <v>1099</v>
      </c>
      <c r="B291" s="1" t="s">
        <v>1017</v>
      </c>
      <c r="C291" s="5">
        <v>45860</v>
      </c>
      <c r="D291" s="5">
        <v>45865</v>
      </c>
      <c r="E291" s="1" t="s">
        <v>120</v>
      </c>
      <c r="F291" s="1" t="s">
        <v>39</v>
      </c>
      <c r="G291" s="1">
        <v>19</v>
      </c>
      <c r="H291" s="1" t="s">
        <v>104</v>
      </c>
      <c r="I291" s="1" t="s">
        <v>153</v>
      </c>
      <c r="J291" s="1" t="s">
        <v>22</v>
      </c>
      <c r="K291" s="1">
        <v>1576</v>
      </c>
      <c r="L291" s="1">
        <v>5</v>
      </c>
      <c r="M291" s="1" t="s">
        <v>52</v>
      </c>
      <c r="N291" s="1" t="s">
        <v>52</v>
      </c>
      <c r="O291" t="str">
        <f t="shared" si="16"/>
        <v>OK</v>
      </c>
      <c r="P291" t="str">
        <f t="shared" si="17"/>
        <v>OK</v>
      </c>
      <c r="Q291">
        <f t="shared" si="18"/>
        <v>5</v>
      </c>
      <c r="R291" t="str">
        <f t="shared" si="19"/>
        <v>OK</v>
      </c>
    </row>
    <row r="292" spans="1:18">
      <c r="A292" s="1" t="s">
        <v>1100</v>
      </c>
      <c r="B292" s="1" t="s">
        <v>783</v>
      </c>
      <c r="C292" s="5">
        <v>45889</v>
      </c>
      <c r="D292" s="5">
        <v>45909</v>
      </c>
      <c r="E292" s="1" t="s">
        <v>18</v>
      </c>
      <c r="F292" s="1" t="s">
        <v>83</v>
      </c>
      <c r="G292" s="1">
        <v>69</v>
      </c>
      <c r="H292" s="1" t="s">
        <v>104</v>
      </c>
      <c r="I292" s="1"/>
      <c r="J292" s="1" t="s">
        <v>22</v>
      </c>
      <c r="K292" s="1">
        <v>4330</v>
      </c>
      <c r="L292" s="1">
        <v>20</v>
      </c>
      <c r="M292" s="1" t="s">
        <v>33</v>
      </c>
      <c r="N292" s="1" t="s">
        <v>52</v>
      </c>
      <c r="O292" t="str">
        <f t="shared" si="16"/>
        <v>OK</v>
      </c>
      <c r="P292" t="str">
        <f t="shared" si="17"/>
        <v>OK</v>
      </c>
      <c r="Q292">
        <f t="shared" si="18"/>
        <v>20</v>
      </c>
      <c r="R292" t="str">
        <f t="shared" si="19"/>
        <v>OK</v>
      </c>
    </row>
    <row r="293" spans="1:18">
      <c r="A293" s="1" t="s">
        <v>1103</v>
      </c>
      <c r="B293" s="1" t="s">
        <v>826</v>
      </c>
      <c r="C293" s="5">
        <v>45970</v>
      </c>
      <c r="D293" s="5">
        <v>45983</v>
      </c>
      <c r="E293" s="1" t="s">
        <v>120</v>
      </c>
      <c r="F293" s="1" t="s">
        <v>39</v>
      </c>
      <c r="G293" s="1">
        <v>34</v>
      </c>
      <c r="H293" s="1" t="s">
        <v>84</v>
      </c>
      <c r="I293" s="1" t="s">
        <v>65</v>
      </c>
      <c r="J293" s="1" t="s">
        <v>40</v>
      </c>
      <c r="K293" s="1">
        <v>10596</v>
      </c>
      <c r="L293" s="1">
        <v>13</v>
      </c>
      <c r="M293" s="1" t="s">
        <v>52</v>
      </c>
      <c r="N293" s="1" t="s">
        <v>33</v>
      </c>
      <c r="O293" t="str">
        <f t="shared" si="16"/>
        <v>OK</v>
      </c>
      <c r="P293" t="str">
        <f t="shared" si="17"/>
        <v>OK</v>
      </c>
      <c r="Q293">
        <f t="shared" si="18"/>
        <v>13</v>
      </c>
      <c r="R293" t="str">
        <f t="shared" si="19"/>
        <v>OK</v>
      </c>
    </row>
    <row r="294" spans="1:18">
      <c r="A294" s="1" t="s">
        <v>1104</v>
      </c>
      <c r="B294" s="1" t="s">
        <v>993</v>
      </c>
      <c r="C294" s="5">
        <v>45945</v>
      </c>
      <c r="D294" s="5">
        <v>45953</v>
      </c>
      <c r="E294" s="1" t="s">
        <v>149</v>
      </c>
      <c r="F294" s="1" t="s">
        <v>109</v>
      </c>
      <c r="G294" s="1">
        <v>89</v>
      </c>
      <c r="H294" s="1" t="s">
        <v>84</v>
      </c>
      <c r="I294" s="1" t="s">
        <v>65</v>
      </c>
      <c r="J294" s="1" t="s">
        <v>22</v>
      </c>
      <c r="K294" s="1">
        <v>12437</v>
      </c>
      <c r="L294" s="1">
        <v>8</v>
      </c>
      <c r="M294" s="1" t="s">
        <v>33</v>
      </c>
      <c r="N294" s="1" t="s">
        <v>33</v>
      </c>
      <c r="O294" t="str">
        <f t="shared" si="16"/>
        <v>OK</v>
      </c>
      <c r="P294" t="str">
        <f t="shared" si="17"/>
        <v>OK</v>
      </c>
      <c r="Q294">
        <f t="shared" si="18"/>
        <v>8</v>
      </c>
      <c r="R294" t="str">
        <f t="shared" si="19"/>
        <v>OK</v>
      </c>
    </row>
    <row r="295" spans="1:18">
      <c r="A295" s="1" t="s">
        <v>1106</v>
      </c>
      <c r="B295" s="1" t="s">
        <v>1107</v>
      </c>
      <c r="C295" s="5">
        <v>45930</v>
      </c>
      <c r="D295" s="5">
        <v>45938</v>
      </c>
      <c r="E295" s="1" t="s">
        <v>249</v>
      </c>
      <c r="F295" s="1" t="s">
        <v>96</v>
      </c>
      <c r="G295" s="1">
        <v>8</v>
      </c>
      <c r="H295" s="1" t="s">
        <v>104</v>
      </c>
      <c r="I295" s="1" t="s">
        <v>49</v>
      </c>
      <c r="J295" s="1" t="s">
        <v>32</v>
      </c>
      <c r="K295" s="1">
        <v>9171</v>
      </c>
      <c r="L295" s="1">
        <v>8</v>
      </c>
      <c r="M295" s="1" t="s">
        <v>52</v>
      </c>
      <c r="N295" s="1" t="s">
        <v>33</v>
      </c>
      <c r="O295" t="str">
        <f t="shared" si="16"/>
        <v>OK</v>
      </c>
      <c r="P295" t="str">
        <f t="shared" si="17"/>
        <v>OK</v>
      </c>
      <c r="Q295">
        <f t="shared" si="18"/>
        <v>8</v>
      </c>
      <c r="R295" t="str">
        <f t="shared" si="19"/>
        <v>OK</v>
      </c>
    </row>
    <row r="296" spans="1:18">
      <c r="A296" s="1" t="s">
        <v>1109</v>
      </c>
      <c r="B296" s="1" t="s">
        <v>1110</v>
      </c>
      <c r="C296" s="5"/>
      <c r="D296" s="5">
        <v>45907</v>
      </c>
      <c r="E296" s="1" t="s">
        <v>125</v>
      </c>
      <c r="F296" s="1" t="s">
        <v>126</v>
      </c>
      <c r="G296" s="1">
        <v>77</v>
      </c>
      <c r="H296" s="1" t="s">
        <v>84</v>
      </c>
      <c r="I296" s="1" t="s">
        <v>153</v>
      </c>
      <c r="J296" s="1" t="s">
        <v>32</v>
      </c>
      <c r="K296" s="1">
        <v>11939</v>
      </c>
      <c r="L296" s="1">
        <v>18</v>
      </c>
      <c r="M296" s="1" t="s">
        <v>52</v>
      </c>
      <c r="N296" s="1" t="s">
        <v>33</v>
      </c>
      <c r="O296" t="str">
        <f t="shared" si="16"/>
        <v>Missing date</v>
      </c>
      <c r="P296" t="str">
        <f t="shared" si="17"/>
        <v>OK</v>
      </c>
      <c r="Q296" t="str">
        <f t="shared" si="18"/>
        <v/>
      </c>
      <c r="R296" t="str">
        <f t="shared" si="19"/>
        <v>Cannot check dates</v>
      </c>
    </row>
    <row r="297" spans="1:18">
      <c r="A297" s="1" t="s">
        <v>1112</v>
      </c>
      <c r="B297" s="1" t="s">
        <v>648</v>
      </c>
      <c r="C297" s="5">
        <v>45981</v>
      </c>
      <c r="D297" s="5">
        <v>46001</v>
      </c>
      <c r="E297" s="1" t="s">
        <v>120</v>
      </c>
      <c r="F297" s="1" t="s">
        <v>39</v>
      </c>
      <c r="G297" s="1">
        <v>87</v>
      </c>
      <c r="H297" s="1" t="s">
        <v>104</v>
      </c>
      <c r="I297" s="1" t="s">
        <v>65</v>
      </c>
      <c r="J297" s="1" t="s">
        <v>22</v>
      </c>
      <c r="K297" s="1">
        <v>5111</v>
      </c>
      <c r="L297" s="1">
        <v>20</v>
      </c>
      <c r="M297" s="1" t="s">
        <v>52</v>
      </c>
      <c r="N297" s="1" t="s">
        <v>52</v>
      </c>
      <c r="O297" t="str">
        <f t="shared" si="16"/>
        <v>OK</v>
      </c>
      <c r="P297" t="str">
        <f t="shared" si="17"/>
        <v>OK</v>
      </c>
      <c r="Q297">
        <f t="shared" si="18"/>
        <v>20</v>
      </c>
      <c r="R297" t="str">
        <f t="shared" si="19"/>
        <v>OK</v>
      </c>
    </row>
    <row r="298" spans="1:18">
      <c r="A298" s="1" t="s">
        <v>1115</v>
      </c>
      <c r="B298" s="1" t="s">
        <v>1116</v>
      </c>
      <c r="C298" s="5">
        <v>45741</v>
      </c>
      <c r="D298" s="5">
        <v>45743</v>
      </c>
      <c r="E298" s="1" t="s">
        <v>29</v>
      </c>
      <c r="F298" s="1" t="s">
        <v>77</v>
      </c>
      <c r="G298" s="1">
        <v>88</v>
      </c>
      <c r="H298" s="1" t="s">
        <v>84</v>
      </c>
      <c r="I298" s="1" t="s">
        <v>49</v>
      </c>
      <c r="J298" s="1" t="s">
        <v>40</v>
      </c>
      <c r="K298" s="1">
        <v>12855</v>
      </c>
      <c r="L298" s="1">
        <v>2</v>
      </c>
      <c r="M298" s="1" t="s">
        <v>33</v>
      </c>
      <c r="N298" s="1" t="s">
        <v>33</v>
      </c>
      <c r="O298" t="str">
        <f t="shared" si="16"/>
        <v>OK</v>
      </c>
      <c r="P298" t="str">
        <f t="shared" si="17"/>
        <v>OK</v>
      </c>
      <c r="Q298">
        <f t="shared" si="18"/>
        <v>2</v>
      </c>
      <c r="R298" t="str">
        <f t="shared" si="19"/>
        <v>OK</v>
      </c>
    </row>
    <row r="299" spans="1:18">
      <c r="A299" s="1" t="s">
        <v>1119</v>
      </c>
      <c r="B299" s="1" t="s">
        <v>368</v>
      </c>
      <c r="C299" s="5">
        <v>45934</v>
      </c>
      <c r="D299" s="5">
        <v>45951</v>
      </c>
      <c r="E299" s="1" t="s">
        <v>29</v>
      </c>
      <c r="F299" s="1" t="s">
        <v>77</v>
      </c>
      <c r="G299" s="1">
        <v>23</v>
      </c>
      <c r="H299" s="1" t="s">
        <v>104</v>
      </c>
      <c r="I299" s="1" t="s">
        <v>127</v>
      </c>
      <c r="J299" s="1" t="s">
        <v>40</v>
      </c>
      <c r="K299" s="1">
        <v>13403</v>
      </c>
      <c r="L299" s="1"/>
      <c r="M299" s="1" t="s">
        <v>52</v>
      </c>
      <c r="N299" s="1" t="s">
        <v>33</v>
      </c>
      <c r="O299" t="str">
        <f t="shared" si="16"/>
        <v>OK</v>
      </c>
      <c r="P299" t="str">
        <f t="shared" si="17"/>
        <v>OK</v>
      </c>
      <c r="Q299">
        <f t="shared" si="18"/>
        <v>17</v>
      </c>
      <c r="R299" t="str">
        <f t="shared" si="19"/>
        <v>Missing recorded stay</v>
      </c>
    </row>
    <row r="300" spans="1:18">
      <c r="A300" s="1" t="s">
        <v>1121</v>
      </c>
      <c r="B300" s="1" t="s">
        <v>1122</v>
      </c>
      <c r="C300" s="5">
        <v>45901</v>
      </c>
      <c r="D300" s="5">
        <v>45921</v>
      </c>
      <c r="E300" s="1" t="s">
        <v>29</v>
      </c>
      <c r="F300" s="1" t="s">
        <v>77</v>
      </c>
      <c r="G300" s="1">
        <v>76</v>
      </c>
      <c r="H300" s="1"/>
      <c r="I300" s="1" t="s">
        <v>65</v>
      </c>
      <c r="J300" s="1" t="s">
        <v>32</v>
      </c>
      <c r="K300" s="1">
        <v>11334</v>
      </c>
      <c r="L300" s="1">
        <v>20</v>
      </c>
      <c r="M300" s="1" t="s">
        <v>52</v>
      </c>
      <c r="N300" s="1" t="s">
        <v>33</v>
      </c>
      <c r="O300" t="str">
        <f t="shared" si="16"/>
        <v>OK</v>
      </c>
      <c r="P300" t="str">
        <f t="shared" si="17"/>
        <v>OK</v>
      </c>
      <c r="Q300">
        <f t="shared" si="18"/>
        <v>20</v>
      </c>
      <c r="R300" t="str">
        <f t="shared" si="19"/>
        <v>OK</v>
      </c>
    </row>
    <row r="301" spans="1:18">
      <c r="A301" s="1" t="s">
        <v>1124</v>
      </c>
      <c r="B301" s="1" t="s">
        <v>1017</v>
      </c>
      <c r="C301" s="5">
        <v>45701</v>
      </c>
      <c r="D301" s="5">
        <v>45721</v>
      </c>
      <c r="E301" s="1" t="s">
        <v>29</v>
      </c>
      <c r="F301" s="1" t="s">
        <v>77</v>
      </c>
      <c r="G301" s="1">
        <v>81</v>
      </c>
      <c r="H301" s="1" t="s">
        <v>104</v>
      </c>
      <c r="I301" s="1" t="s">
        <v>153</v>
      </c>
      <c r="J301" s="1" t="s">
        <v>32</v>
      </c>
      <c r="K301" s="1">
        <v>13243</v>
      </c>
      <c r="L301" s="1">
        <v>20</v>
      </c>
      <c r="M301" s="1" t="s">
        <v>33</v>
      </c>
      <c r="N301" s="1" t="s">
        <v>33</v>
      </c>
      <c r="O301" t="str">
        <f t="shared" si="16"/>
        <v>OK</v>
      </c>
      <c r="P301" t="str">
        <f t="shared" si="17"/>
        <v>OK</v>
      </c>
      <c r="Q301">
        <f t="shared" si="18"/>
        <v>20</v>
      </c>
      <c r="R301" t="str">
        <f t="shared" si="19"/>
        <v>OK</v>
      </c>
    </row>
    <row r="302" spans="1:18">
      <c r="A302" s="1" t="s">
        <v>1127</v>
      </c>
      <c r="B302" s="1" t="s">
        <v>1128</v>
      </c>
      <c r="C302" s="5">
        <v>45925</v>
      </c>
      <c r="D302" s="5">
        <v>45940</v>
      </c>
      <c r="E302" s="1" t="s">
        <v>149</v>
      </c>
      <c r="F302" s="1" t="s">
        <v>109</v>
      </c>
      <c r="G302" s="1">
        <v>54</v>
      </c>
      <c r="H302" s="1" t="s">
        <v>104</v>
      </c>
      <c r="I302" s="1" t="s">
        <v>127</v>
      </c>
      <c r="J302" s="1" t="s">
        <v>32</v>
      </c>
      <c r="K302" s="1">
        <v>12623</v>
      </c>
      <c r="L302" s="1">
        <v>15</v>
      </c>
      <c r="M302" s="1" t="s">
        <v>33</v>
      </c>
      <c r="N302" s="1" t="s">
        <v>52</v>
      </c>
      <c r="O302" t="str">
        <f t="shared" si="16"/>
        <v>OK</v>
      </c>
      <c r="P302" t="str">
        <f t="shared" si="17"/>
        <v>OK</v>
      </c>
      <c r="Q302">
        <f t="shared" si="18"/>
        <v>15</v>
      </c>
      <c r="R302" t="str">
        <f t="shared" si="19"/>
        <v>OK</v>
      </c>
    </row>
    <row r="303" spans="1:18">
      <c r="A303" s="1" t="s">
        <v>1131</v>
      </c>
      <c r="B303" s="1" t="s">
        <v>1132</v>
      </c>
      <c r="C303" s="5"/>
      <c r="D303" s="5">
        <v>45859</v>
      </c>
      <c r="E303" s="1" t="s">
        <v>29</v>
      </c>
      <c r="F303" s="1" t="s">
        <v>77</v>
      </c>
      <c r="G303" s="1">
        <v>18</v>
      </c>
      <c r="H303" s="1" t="s">
        <v>104</v>
      </c>
      <c r="I303" s="1" t="s">
        <v>49</v>
      </c>
      <c r="J303" s="1" t="s">
        <v>32</v>
      </c>
      <c r="K303" s="1">
        <v>5126</v>
      </c>
      <c r="L303" s="1"/>
      <c r="M303" s="1" t="s">
        <v>52</v>
      </c>
      <c r="N303" s="1" t="s">
        <v>52</v>
      </c>
      <c r="O303" t="str">
        <f t="shared" si="16"/>
        <v>Missing date</v>
      </c>
      <c r="P303" t="str">
        <f t="shared" si="17"/>
        <v>OK</v>
      </c>
      <c r="Q303" t="str">
        <f t="shared" si="18"/>
        <v/>
      </c>
      <c r="R303" t="str">
        <f t="shared" si="19"/>
        <v>Cannot check dates</v>
      </c>
    </row>
    <row r="304" spans="1:18">
      <c r="A304" s="1" t="s">
        <v>1133</v>
      </c>
      <c r="B304" s="1" t="s">
        <v>1134</v>
      </c>
      <c r="C304" s="5">
        <v>45987</v>
      </c>
      <c r="D304" s="5">
        <v>45990</v>
      </c>
      <c r="E304" s="1" t="s">
        <v>125</v>
      </c>
      <c r="F304" s="1" t="s">
        <v>126</v>
      </c>
      <c r="G304" s="1">
        <v>50</v>
      </c>
      <c r="H304" s="1" t="s">
        <v>104</v>
      </c>
      <c r="I304" s="1" t="s">
        <v>127</v>
      </c>
      <c r="J304" s="1" t="s">
        <v>32</v>
      </c>
      <c r="K304" s="8">
        <v>4145</v>
      </c>
      <c r="L304" s="1"/>
      <c r="M304" s="1" t="s">
        <v>52</v>
      </c>
      <c r="N304" s="1" t="s">
        <v>33</v>
      </c>
      <c r="O304" t="str">
        <f t="shared" si="16"/>
        <v>OK</v>
      </c>
      <c r="P304" t="str">
        <f t="shared" si="17"/>
        <v>OK</v>
      </c>
      <c r="Q304">
        <f t="shared" si="18"/>
        <v>3</v>
      </c>
      <c r="R304" t="str">
        <f t="shared" si="19"/>
        <v>Missing recorded stay</v>
      </c>
    </row>
    <row r="305" spans="1:18">
      <c r="A305" s="1" t="s">
        <v>1138</v>
      </c>
      <c r="B305" s="1" t="s">
        <v>1139</v>
      </c>
      <c r="C305" s="5">
        <v>45728</v>
      </c>
      <c r="D305" s="5">
        <v>45732</v>
      </c>
      <c r="E305" s="1" t="s">
        <v>18</v>
      </c>
      <c r="F305" s="1" t="s">
        <v>83</v>
      </c>
      <c r="G305" s="1">
        <v>43</v>
      </c>
      <c r="H305" s="1" t="s">
        <v>84</v>
      </c>
      <c r="I305" s="1" t="s">
        <v>65</v>
      </c>
      <c r="J305" s="1" t="s">
        <v>40</v>
      </c>
      <c r="K305" s="1">
        <v>5596</v>
      </c>
      <c r="L305" s="1">
        <v>4</v>
      </c>
      <c r="M305" s="1" t="s">
        <v>52</v>
      </c>
      <c r="N305" s="1"/>
      <c r="O305" t="str">
        <f t="shared" si="16"/>
        <v>OK</v>
      </c>
      <c r="P305" t="str">
        <f t="shared" si="17"/>
        <v>OK</v>
      </c>
      <c r="Q305">
        <f t="shared" si="18"/>
        <v>4</v>
      </c>
      <c r="R305" t="str">
        <f t="shared" si="19"/>
        <v>OK</v>
      </c>
    </row>
    <row r="306" spans="1:18">
      <c r="A306" s="1" t="s">
        <v>1140</v>
      </c>
      <c r="B306" s="1" t="s">
        <v>600</v>
      </c>
      <c r="C306" s="5">
        <v>45671</v>
      </c>
      <c r="D306" s="5">
        <v>45676</v>
      </c>
      <c r="E306" s="1" t="s">
        <v>249</v>
      </c>
      <c r="F306" s="1" t="s">
        <v>96</v>
      </c>
      <c r="G306" s="1">
        <v>9</v>
      </c>
      <c r="H306" s="1" t="s">
        <v>84</v>
      </c>
      <c r="I306" s="1" t="s">
        <v>49</v>
      </c>
      <c r="J306" s="1" t="s">
        <v>40</v>
      </c>
      <c r="K306" s="1">
        <v>1844</v>
      </c>
      <c r="L306" s="1"/>
      <c r="M306" s="1" t="s">
        <v>52</v>
      </c>
      <c r="N306" s="1" t="s">
        <v>52</v>
      </c>
      <c r="O306" t="str">
        <f t="shared" si="16"/>
        <v>OK</v>
      </c>
      <c r="P306" t="str">
        <f t="shared" si="17"/>
        <v>OK</v>
      </c>
      <c r="Q306">
        <f t="shared" si="18"/>
        <v>5</v>
      </c>
      <c r="R306" t="str">
        <f t="shared" si="19"/>
        <v>Missing recorded stay</v>
      </c>
    </row>
    <row r="307" spans="1:18">
      <c r="A307" s="1" t="s">
        <v>1144</v>
      </c>
      <c r="B307" s="1" t="s">
        <v>1145</v>
      </c>
      <c r="C307" s="5">
        <v>45883</v>
      </c>
      <c r="D307" s="5">
        <v>45903</v>
      </c>
      <c r="E307" s="1" t="s">
        <v>249</v>
      </c>
      <c r="F307" s="1" t="s">
        <v>96</v>
      </c>
      <c r="G307" s="1">
        <v>4</v>
      </c>
      <c r="H307" s="1" t="s">
        <v>104</v>
      </c>
      <c r="I307" s="1" t="s">
        <v>49</v>
      </c>
      <c r="J307" s="1" t="s">
        <v>40</v>
      </c>
      <c r="K307" s="1">
        <v>9757</v>
      </c>
      <c r="L307" s="1">
        <v>20</v>
      </c>
      <c r="M307" s="1" t="s">
        <v>52</v>
      </c>
      <c r="N307" s="1" t="s">
        <v>33</v>
      </c>
      <c r="O307" t="str">
        <f t="shared" si="16"/>
        <v>OK</v>
      </c>
      <c r="P307" t="str">
        <f t="shared" si="17"/>
        <v>OK</v>
      </c>
      <c r="Q307">
        <f t="shared" si="18"/>
        <v>20</v>
      </c>
      <c r="R307" t="str">
        <f t="shared" si="19"/>
        <v>OK</v>
      </c>
    </row>
    <row r="308" spans="1:18">
      <c r="A308" s="1" t="s">
        <v>1147</v>
      </c>
      <c r="B308" s="1" t="s">
        <v>1148</v>
      </c>
      <c r="C308" s="5">
        <v>45776</v>
      </c>
      <c r="D308" s="5">
        <v>45787</v>
      </c>
      <c r="E308" s="1" t="s">
        <v>18</v>
      </c>
      <c r="F308" s="1" t="s">
        <v>83</v>
      </c>
      <c r="G308" s="1">
        <v>82</v>
      </c>
      <c r="H308" s="1" t="s">
        <v>104</v>
      </c>
      <c r="I308" s="1" t="s">
        <v>127</v>
      </c>
      <c r="J308" s="1" t="s">
        <v>32</v>
      </c>
      <c r="K308" s="1">
        <v>6969</v>
      </c>
      <c r="L308" s="1">
        <v>11</v>
      </c>
      <c r="M308" s="1" t="s">
        <v>33</v>
      </c>
      <c r="N308" s="1" t="s">
        <v>52</v>
      </c>
      <c r="O308" t="str">
        <f t="shared" si="16"/>
        <v>OK</v>
      </c>
      <c r="P308" t="str">
        <f t="shared" si="17"/>
        <v>OK</v>
      </c>
      <c r="Q308">
        <f t="shared" si="18"/>
        <v>11</v>
      </c>
      <c r="R308" t="str">
        <f t="shared" si="19"/>
        <v>OK</v>
      </c>
    </row>
    <row r="309" spans="1:18">
      <c r="A309" s="1" t="s">
        <v>1152</v>
      </c>
      <c r="B309" s="1" t="s">
        <v>1153</v>
      </c>
      <c r="C309" s="5">
        <v>46004</v>
      </c>
      <c r="D309" s="5">
        <v>46024</v>
      </c>
      <c r="E309" s="1" t="s">
        <v>249</v>
      </c>
      <c r="F309" s="1" t="s">
        <v>96</v>
      </c>
      <c r="G309" s="1">
        <v>9</v>
      </c>
      <c r="H309" s="1" t="s">
        <v>104</v>
      </c>
      <c r="I309" s="1" t="s">
        <v>65</v>
      </c>
      <c r="J309" s="1" t="s">
        <v>22</v>
      </c>
      <c r="K309" s="1">
        <v>4924</v>
      </c>
      <c r="L309" s="1">
        <v>20</v>
      </c>
      <c r="M309" s="1" t="s">
        <v>52</v>
      </c>
      <c r="N309" s="1"/>
      <c r="O309" t="str">
        <f t="shared" si="16"/>
        <v>OK</v>
      </c>
      <c r="P309" t="str">
        <f t="shared" si="17"/>
        <v>OK</v>
      </c>
      <c r="Q309">
        <f t="shared" si="18"/>
        <v>20</v>
      </c>
      <c r="R309" t="str">
        <f t="shared" si="19"/>
        <v>OK</v>
      </c>
    </row>
    <row r="310" spans="1:18">
      <c r="A310" s="1" t="s">
        <v>1157</v>
      </c>
      <c r="B310" s="1" t="s">
        <v>1158</v>
      </c>
      <c r="C310" s="5">
        <v>45738</v>
      </c>
      <c r="D310" s="5">
        <v>45754</v>
      </c>
      <c r="E310" s="1" t="s">
        <v>125</v>
      </c>
      <c r="F310" s="1" t="s">
        <v>126</v>
      </c>
      <c r="G310" s="1">
        <v>71</v>
      </c>
      <c r="H310" s="1" t="s">
        <v>84</v>
      </c>
      <c r="I310" s="1" t="s">
        <v>65</v>
      </c>
      <c r="J310" s="1" t="s">
        <v>22</v>
      </c>
      <c r="K310" s="1">
        <v>13990</v>
      </c>
      <c r="L310" s="1">
        <v>16</v>
      </c>
      <c r="M310" s="1" t="s">
        <v>33</v>
      </c>
      <c r="N310" s="1" t="s">
        <v>33</v>
      </c>
      <c r="O310" t="str">
        <f t="shared" si="16"/>
        <v>OK</v>
      </c>
      <c r="P310" t="str">
        <f t="shared" si="17"/>
        <v>OK</v>
      </c>
      <c r="Q310">
        <f t="shared" si="18"/>
        <v>16</v>
      </c>
      <c r="R310" t="str">
        <f t="shared" si="19"/>
        <v>OK</v>
      </c>
    </row>
    <row r="311" spans="1:18">
      <c r="A311" s="1" t="s">
        <v>1160</v>
      </c>
      <c r="B311" s="1" t="s">
        <v>1161</v>
      </c>
      <c r="C311" s="5"/>
      <c r="D311" s="5">
        <v>45883</v>
      </c>
      <c r="E311" s="1" t="s">
        <v>125</v>
      </c>
      <c r="F311" s="1" t="s">
        <v>126</v>
      </c>
      <c r="G311" s="1">
        <v>55</v>
      </c>
      <c r="H311" s="1" t="s">
        <v>104</v>
      </c>
      <c r="I311" s="1" t="s">
        <v>49</v>
      </c>
      <c r="J311" s="1" t="s">
        <v>40</v>
      </c>
      <c r="K311" s="1">
        <v>9267</v>
      </c>
      <c r="L311" s="1">
        <v>16</v>
      </c>
      <c r="M311" s="1" t="s">
        <v>33</v>
      </c>
      <c r="N311" s="1" t="s">
        <v>52</v>
      </c>
      <c r="O311" t="str">
        <f t="shared" si="16"/>
        <v>Missing date</v>
      </c>
      <c r="P311" t="str">
        <f t="shared" si="17"/>
        <v>OK</v>
      </c>
      <c r="Q311" t="str">
        <f t="shared" si="18"/>
        <v/>
      </c>
      <c r="R311" t="str">
        <f t="shared" si="19"/>
        <v>Cannot check dates</v>
      </c>
    </row>
    <row r="312" spans="1:18">
      <c r="A312" s="1" t="s">
        <v>1164</v>
      </c>
      <c r="B312" s="1" t="s">
        <v>289</v>
      </c>
      <c r="C312" s="5">
        <v>45811</v>
      </c>
      <c r="D312" s="5">
        <v>45819</v>
      </c>
      <c r="E312" s="1" t="s">
        <v>29</v>
      </c>
      <c r="F312" s="1" t="s">
        <v>77</v>
      </c>
      <c r="G312" s="1">
        <v>89</v>
      </c>
      <c r="H312" s="1" t="s">
        <v>84</v>
      </c>
      <c r="I312" s="1" t="s">
        <v>127</v>
      </c>
      <c r="J312" s="1" t="s">
        <v>32</v>
      </c>
      <c r="K312" s="1">
        <v>570</v>
      </c>
      <c r="L312" s="1">
        <v>8</v>
      </c>
      <c r="M312" s="1" t="s">
        <v>33</v>
      </c>
      <c r="N312" s="1" t="s">
        <v>33</v>
      </c>
      <c r="O312" t="str">
        <f t="shared" si="16"/>
        <v>OK</v>
      </c>
      <c r="P312" t="str">
        <f t="shared" si="17"/>
        <v>OK</v>
      </c>
      <c r="Q312">
        <f t="shared" si="18"/>
        <v>8</v>
      </c>
      <c r="R312" t="str">
        <f t="shared" si="19"/>
        <v>OK</v>
      </c>
    </row>
    <row r="313" spans="1:18">
      <c r="A313" s="1" t="s">
        <v>1165</v>
      </c>
      <c r="B313" s="1" t="s">
        <v>360</v>
      </c>
      <c r="C313" s="5">
        <v>45811</v>
      </c>
      <c r="D313" s="5">
        <v>45825</v>
      </c>
      <c r="E313" s="1" t="s">
        <v>29</v>
      </c>
      <c r="F313" s="1" t="s">
        <v>77</v>
      </c>
      <c r="G313" s="1">
        <v>79</v>
      </c>
      <c r="H313" s="1" t="s">
        <v>84</v>
      </c>
      <c r="I313" s="1" t="s">
        <v>153</v>
      </c>
      <c r="J313" s="1" t="s">
        <v>40</v>
      </c>
      <c r="K313" s="1">
        <v>12956</v>
      </c>
      <c r="L313" s="1">
        <v>14</v>
      </c>
      <c r="M313" s="1" t="s">
        <v>52</v>
      </c>
      <c r="N313" s="1" t="s">
        <v>52</v>
      </c>
      <c r="O313" t="str">
        <f t="shared" si="16"/>
        <v>OK</v>
      </c>
      <c r="P313" t="str">
        <f t="shared" si="17"/>
        <v>OK</v>
      </c>
      <c r="Q313">
        <f t="shared" si="18"/>
        <v>14</v>
      </c>
      <c r="R313" t="str">
        <f t="shared" si="19"/>
        <v>OK</v>
      </c>
    </row>
    <row r="314" spans="1:18">
      <c r="A314" s="1" t="s">
        <v>1167</v>
      </c>
      <c r="B314" s="1" t="s">
        <v>146</v>
      </c>
      <c r="C314" s="5">
        <v>45871</v>
      </c>
      <c r="D314" s="5">
        <v>45875</v>
      </c>
      <c r="E314" s="1" t="s">
        <v>18</v>
      </c>
      <c r="F314" s="1" t="s">
        <v>83</v>
      </c>
      <c r="G314" s="1">
        <v>82</v>
      </c>
      <c r="H314" s="1" t="s">
        <v>84</v>
      </c>
      <c r="I314" s="1" t="s">
        <v>153</v>
      </c>
      <c r="J314" s="1" t="s">
        <v>32</v>
      </c>
      <c r="K314" s="1">
        <v>10288</v>
      </c>
      <c r="L314" s="1">
        <v>4</v>
      </c>
      <c r="M314" s="1" t="s">
        <v>33</v>
      </c>
      <c r="N314" s="1" t="s">
        <v>33</v>
      </c>
      <c r="O314" t="str">
        <f t="shared" si="16"/>
        <v>OK</v>
      </c>
      <c r="P314" t="str">
        <f t="shared" si="17"/>
        <v>OK</v>
      </c>
      <c r="Q314">
        <f t="shared" si="18"/>
        <v>4</v>
      </c>
      <c r="R314" t="str">
        <f t="shared" si="19"/>
        <v>OK</v>
      </c>
    </row>
    <row r="315" spans="1:18">
      <c r="A315" s="1" t="s">
        <v>1169</v>
      </c>
      <c r="B315" s="1" t="s">
        <v>1170</v>
      </c>
      <c r="C315" s="5">
        <v>45878</v>
      </c>
      <c r="D315" s="5">
        <v>45896</v>
      </c>
      <c r="E315" s="1" t="s">
        <v>120</v>
      </c>
      <c r="F315" s="1" t="s">
        <v>39</v>
      </c>
      <c r="G315" s="1">
        <v>77</v>
      </c>
      <c r="H315" s="1" t="s">
        <v>104</v>
      </c>
      <c r="I315" s="1" t="s">
        <v>49</v>
      </c>
      <c r="J315" s="1" t="s">
        <v>32</v>
      </c>
      <c r="K315" s="8">
        <v>14138</v>
      </c>
      <c r="L315" s="1">
        <v>18</v>
      </c>
      <c r="M315" s="1" t="s">
        <v>52</v>
      </c>
      <c r="N315" s="1" t="s">
        <v>33</v>
      </c>
      <c r="O315" t="str">
        <f t="shared" si="16"/>
        <v>OK</v>
      </c>
      <c r="P315" t="str">
        <f t="shared" si="17"/>
        <v>OK</v>
      </c>
      <c r="Q315">
        <f t="shared" si="18"/>
        <v>18</v>
      </c>
      <c r="R315" t="str">
        <f t="shared" si="19"/>
        <v>OK</v>
      </c>
    </row>
    <row r="316" spans="1:18">
      <c r="A316" s="1" t="s">
        <v>1174</v>
      </c>
      <c r="B316" s="1" t="s">
        <v>1055</v>
      </c>
      <c r="C316" s="5">
        <v>45796</v>
      </c>
      <c r="D316" s="5"/>
      <c r="E316" s="1" t="s">
        <v>149</v>
      </c>
      <c r="F316" s="1" t="s">
        <v>109</v>
      </c>
      <c r="G316" s="1">
        <v>46</v>
      </c>
      <c r="H316" s="1" t="s">
        <v>104</v>
      </c>
      <c r="I316" s="1" t="s">
        <v>127</v>
      </c>
      <c r="J316" s="1" t="s">
        <v>22</v>
      </c>
      <c r="K316" s="1">
        <v>8105</v>
      </c>
      <c r="L316" s="1">
        <v>1</v>
      </c>
      <c r="M316" s="1" t="s">
        <v>33</v>
      </c>
      <c r="N316" s="1" t="s">
        <v>33</v>
      </c>
      <c r="O316" t="str">
        <f t="shared" si="16"/>
        <v>Missing date</v>
      </c>
      <c r="P316" t="str">
        <f t="shared" si="17"/>
        <v>OK</v>
      </c>
      <c r="Q316" t="str">
        <f t="shared" si="18"/>
        <v/>
      </c>
      <c r="R316" t="str">
        <f t="shared" si="19"/>
        <v>Cannot check dates</v>
      </c>
    </row>
    <row r="317" spans="1:18">
      <c r="A317" s="1" t="s">
        <v>1176</v>
      </c>
      <c r="B317" s="1" t="s">
        <v>993</v>
      </c>
      <c r="C317" s="5">
        <v>45707</v>
      </c>
      <c r="D317" s="5">
        <v>45726</v>
      </c>
      <c r="E317" s="1" t="s">
        <v>29</v>
      </c>
      <c r="F317" s="1" t="s">
        <v>77</v>
      </c>
      <c r="G317" s="1">
        <v>18</v>
      </c>
      <c r="H317" s="1" t="s">
        <v>104</v>
      </c>
      <c r="I317" s="1" t="s">
        <v>49</v>
      </c>
      <c r="J317" s="1" t="s">
        <v>32</v>
      </c>
      <c r="K317" s="1">
        <v>13398</v>
      </c>
      <c r="L317" s="1">
        <v>19</v>
      </c>
      <c r="M317" s="1" t="s">
        <v>33</v>
      </c>
      <c r="N317" s="1" t="s">
        <v>52</v>
      </c>
      <c r="O317" t="str">
        <f t="shared" si="16"/>
        <v>OK</v>
      </c>
      <c r="P317" t="str">
        <f t="shared" si="17"/>
        <v>OK</v>
      </c>
      <c r="Q317">
        <f t="shared" si="18"/>
        <v>19</v>
      </c>
      <c r="R317" t="str">
        <f t="shared" si="19"/>
        <v>OK</v>
      </c>
    </row>
    <row r="318" spans="1:18">
      <c r="A318" s="1" t="s">
        <v>1178</v>
      </c>
      <c r="B318" s="1" t="s">
        <v>392</v>
      </c>
      <c r="C318" s="5">
        <v>45921</v>
      </c>
      <c r="D318" s="5">
        <v>45922</v>
      </c>
      <c r="E318" s="1" t="s">
        <v>18</v>
      </c>
      <c r="F318" s="1" t="s">
        <v>83</v>
      </c>
      <c r="G318" s="1">
        <v>90</v>
      </c>
      <c r="H318" s="1" t="s">
        <v>48</v>
      </c>
      <c r="I318" s="1" t="s">
        <v>153</v>
      </c>
      <c r="J318" s="1" t="s">
        <v>22</v>
      </c>
      <c r="K318" s="1"/>
      <c r="L318" s="1">
        <v>1</v>
      </c>
      <c r="M318" s="1" t="s">
        <v>52</v>
      </c>
      <c r="N318" s="1" t="s">
        <v>33</v>
      </c>
      <c r="O318" t="str">
        <f t="shared" si="16"/>
        <v>OK</v>
      </c>
      <c r="P318" t="str">
        <f t="shared" si="17"/>
        <v>Missing cost</v>
      </c>
      <c r="Q318">
        <f t="shared" si="18"/>
        <v>1</v>
      </c>
      <c r="R318" t="str">
        <f t="shared" si="19"/>
        <v>OK</v>
      </c>
    </row>
    <row r="319" spans="1:18">
      <c r="A319" s="1" t="s">
        <v>1180</v>
      </c>
      <c r="B319" s="1" t="s">
        <v>1170</v>
      </c>
      <c r="C319" s="5"/>
      <c r="D319" s="5">
        <v>45835</v>
      </c>
      <c r="E319" s="1" t="s">
        <v>29</v>
      </c>
      <c r="F319" s="1" t="s">
        <v>77</v>
      </c>
      <c r="G319" s="1">
        <v>43</v>
      </c>
      <c r="H319" s="1" t="s">
        <v>48</v>
      </c>
      <c r="I319" s="1" t="s">
        <v>65</v>
      </c>
      <c r="J319" s="1" t="s">
        <v>40</v>
      </c>
      <c r="K319" s="1">
        <v>13217</v>
      </c>
      <c r="L319" s="1">
        <v>11</v>
      </c>
      <c r="M319" s="1" t="s">
        <v>52</v>
      </c>
      <c r="N319" s="1" t="s">
        <v>33</v>
      </c>
      <c r="O319" t="str">
        <f t="shared" si="16"/>
        <v>Missing date</v>
      </c>
      <c r="P319" t="str">
        <f t="shared" si="17"/>
        <v>OK</v>
      </c>
      <c r="Q319" t="str">
        <f t="shared" si="18"/>
        <v/>
      </c>
      <c r="R319" t="str">
        <f t="shared" si="19"/>
        <v>Cannot check dates</v>
      </c>
    </row>
    <row r="320" spans="1:18">
      <c r="A320" s="1" t="s">
        <v>1182</v>
      </c>
      <c r="B320" s="1" t="s">
        <v>1183</v>
      </c>
      <c r="C320" s="5">
        <v>45859</v>
      </c>
      <c r="D320" s="5">
        <v>45867</v>
      </c>
      <c r="E320" s="1" t="s">
        <v>149</v>
      </c>
      <c r="F320" s="1" t="s">
        <v>109</v>
      </c>
      <c r="G320" s="1">
        <v>26</v>
      </c>
      <c r="H320" s="1" t="s">
        <v>104</v>
      </c>
      <c r="I320" s="1" t="s">
        <v>65</v>
      </c>
      <c r="J320" s="1" t="s">
        <v>22</v>
      </c>
      <c r="K320" s="1">
        <v>5816</v>
      </c>
      <c r="L320" s="1">
        <v>8</v>
      </c>
      <c r="M320" s="1" t="s">
        <v>52</v>
      </c>
      <c r="N320" s="1" t="s">
        <v>52</v>
      </c>
      <c r="O320" t="str">
        <f t="shared" si="16"/>
        <v>OK</v>
      </c>
      <c r="P320" t="str">
        <f t="shared" si="17"/>
        <v>OK</v>
      </c>
      <c r="Q320">
        <f t="shared" si="18"/>
        <v>8</v>
      </c>
      <c r="R320" t="str">
        <f t="shared" si="19"/>
        <v>OK</v>
      </c>
    </row>
    <row r="321" spans="1:18">
      <c r="A321" s="1" t="s">
        <v>1184</v>
      </c>
      <c r="B321" s="1" t="s">
        <v>1185</v>
      </c>
      <c r="C321" s="5">
        <v>45795</v>
      </c>
      <c r="D321" s="5">
        <v>45797</v>
      </c>
      <c r="E321" s="1" t="s">
        <v>29</v>
      </c>
      <c r="F321" s="1" t="s">
        <v>77</v>
      </c>
      <c r="G321" s="1">
        <v>82</v>
      </c>
      <c r="H321" s="1" t="s">
        <v>104</v>
      </c>
      <c r="I321" s="1" t="s">
        <v>127</v>
      </c>
      <c r="J321" s="1" t="s">
        <v>22</v>
      </c>
      <c r="K321" s="1">
        <v>1429</v>
      </c>
      <c r="L321" s="1">
        <v>2</v>
      </c>
      <c r="M321" s="1" t="s">
        <v>33</v>
      </c>
      <c r="N321" s="1"/>
      <c r="O321" t="str">
        <f t="shared" si="16"/>
        <v>OK</v>
      </c>
      <c r="P321" t="str">
        <f t="shared" si="17"/>
        <v>OK</v>
      </c>
      <c r="Q321">
        <f t="shared" si="18"/>
        <v>2</v>
      </c>
      <c r="R321" t="str">
        <f t="shared" si="19"/>
        <v>OK</v>
      </c>
    </row>
    <row r="322" spans="1:18">
      <c r="A322" s="1" t="s">
        <v>1189</v>
      </c>
      <c r="B322" s="1" t="s">
        <v>878</v>
      </c>
      <c r="C322" s="5">
        <v>45833</v>
      </c>
      <c r="D322" s="5"/>
      <c r="E322" s="1" t="s">
        <v>29</v>
      </c>
      <c r="F322" s="1" t="s">
        <v>77</v>
      </c>
      <c r="G322" s="1">
        <v>27</v>
      </c>
      <c r="H322" s="1" t="s">
        <v>84</v>
      </c>
      <c r="I322" s="1" t="s">
        <v>127</v>
      </c>
      <c r="J322" s="1" t="s">
        <v>22</v>
      </c>
      <c r="K322" s="1">
        <v>489</v>
      </c>
      <c r="L322" s="1">
        <v>20</v>
      </c>
      <c r="M322" s="1" t="s">
        <v>33</v>
      </c>
      <c r="N322" s="1" t="s">
        <v>33</v>
      </c>
      <c r="O322" t="str">
        <f t="shared" si="16"/>
        <v>Missing date</v>
      </c>
      <c r="P322" t="str">
        <f t="shared" si="17"/>
        <v>OK</v>
      </c>
      <c r="Q322" t="str">
        <f t="shared" si="18"/>
        <v/>
      </c>
      <c r="R322" t="str">
        <f t="shared" si="19"/>
        <v>Cannot check dates</v>
      </c>
    </row>
    <row r="323" spans="1:18">
      <c r="A323" s="1" t="s">
        <v>1191</v>
      </c>
      <c r="B323" s="1" t="s">
        <v>1192</v>
      </c>
      <c r="C323" s="5">
        <v>45834</v>
      </c>
      <c r="D323" s="5">
        <v>45843</v>
      </c>
      <c r="E323" s="1" t="s">
        <v>29</v>
      </c>
      <c r="F323" s="1" t="s">
        <v>77</v>
      </c>
      <c r="G323" s="1">
        <v>31</v>
      </c>
      <c r="H323" s="1" t="s">
        <v>104</v>
      </c>
      <c r="I323" s="1" t="s">
        <v>153</v>
      </c>
      <c r="J323" s="1" t="s">
        <v>40</v>
      </c>
      <c r="K323" s="1"/>
      <c r="L323" s="1">
        <v>9</v>
      </c>
      <c r="M323" s="1" t="s">
        <v>33</v>
      </c>
      <c r="N323" s="1" t="s">
        <v>33</v>
      </c>
      <c r="O323" t="str">
        <f t="shared" ref="O323:O386" si="20">IF(OR(C323="",D323=""),"Missing date",IF(D323&lt;C323,"Check dates","OK"))</f>
        <v>OK</v>
      </c>
      <c r="P323" t="str">
        <f t="shared" ref="P323:P386" si="21">IF(K323="","Missing cost",IF(ISNUMBER(K323),IF(K323&lt;0,"Negative cost",IF(K323&gt;100000,"Review high cost","OK")),"Check format"))</f>
        <v>Missing cost</v>
      </c>
      <c r="Q323">
        <f t="shared" ref="Q323:Q386" si="22">IF(AND(ISNUMBER(C323),ISNUMBER(D323)),IF(D323&gt;=C323,D323-C323,""),"")</f>
        <v>9</v>
      </c>
      <c r="R323" t="str">
        <f t="shared" ref="R323:R386" si="23">IF(Q323="","Cannot check dates",IF(L323="","Missing recorded stay",IF(ISNUMBER(L323),IF(L323=Q323,"OK","Mismatch"),"Check format")))</f>
        <v>OK</v>
      </c>
    </row>
    <row r="324" spans="1:18">
      <c r="A324" s="1" t="s">
        <v>1195</v>
      </c>
      <c r="B324" s="1" t="s">
        <v>1196</v>
      </c>
      <c r="C324" s="5">
        <v>45737</v>
      </c>
      <c r="D324" s="5">
        <v>45755</v>
      </c>
      <c r="E324" s="1" t="s">
        <v>125</v>
      </c>
      <c r="F324" s="1" t="s">
        <v>126</v>
      </c>
      <c r="G324" s="1">
        <v>24</v>
      </c>
      <c r="H324" s="1" t="s">
        <v>84</v>
      </c>
      <c r="I324" s="1" t="s">
        <v>153</v>
      </c>
      <c r="J324" s="1" t="s">
        <v>22</v>
      </c>
      <c r="K324" s="1">
        <v>2951</v>
      </c>
      <c r="L324" s="1">
        <v>18</v>
      </c>
      <c r="M324" s="1" t="s">
        <v>52</v>
      </c>
      <c r="N324" s="1" t="s">
        <v>52</v>
      </c>
      <c r="O324" t="str">
        <f t="shared" si="20"/>
        <v>OK</v>
      </c>
      <c r="P324" t="str">
        <f t="shared" si="21"/>
        <v>OK</v>
      </c>
      <c r="Q324">
        <f t="shared" si="22"/>
        <v>18</v>
      </c>
      <c r="R324" t="str">
        <f t="shared" si="23"/>
        <v>OK</v>
      </c>
    </row>
    <row r="325" spans="1:18">
      <c r="A325" s="1" t="s">
        <v>1198</v>
      </c>
      <c r="B325" s="1" t="s">
        <v>458</v>
      </c>
      <c r="C325" s="5">
        <v>45772</v>
      </c>
      <c r="D325" s="5">
        <v>45792</v>
      </c>
      <c r="E325" s="1" t="s">
        <v>125</v>
      </c>
      <c r="F325" s="1" t="s">
        <v>126</v>
      </c>
      <c r="G325" s="1">
        <v>31</v>
      </c>
      <c r="H325" s="1" t="s">
        <v>48</v>
      </c>
      <c r="I325" s="1" t="s">
        <v>65</v>
      </c>
      <c r="J325" s="1" t="s">
        <v>32</v>
      </c>
      <c r="K325" s="8">
        <v>13827</v>
      </c>
      <c r="L325" s="1">
        <v>20</v>
      </c>
      <c r="M325" s="1" t="s">
        <v>33</v>
      </c>
      <c r="N325" s="1" t="s">
        <v>52</v>
      </c>
      <c r="O325" t="str">
        <f t="shared" si="20"/>
        <v>OK</v>
      </c>
      <c r="P325" t="str">
        <f t="shared" si="21"/>
        <v>OK</v>
      </c>
      <c r="Q325">
        <f t="shared" si="22"/>
        <v>20</v>
      </c>
      <c r="R325" t="str">
        <f t="shared" si="23"/>
        <v>OK</v>
      </c>
    </row>
    <row r="326" spans="1:18">
      <c r="A326" s="1" t="s">
        <v>1202</v>
      </c>
      <c r="B326" s="1" t="s">
        <v>1203</v>
      </c>
      <c r="C326" s="5">
        <v>45857</v>
      </c>
      <c r="D326" s="5">
        <v>45877</v>
      </c>
      <c r="E326" s="1" t="s">
        <v>18</v>
      </c>
      <c r="F326" s="1" t="s">
        <v>83</v>
      </c>
      <c r="G326" s="1">
        <v>24</v>
      </c>
      <c r="H326" s="1" t="s">
        <v>84</v>
      </c>
      <c r="I326" s="1" t="s">
        <v>65</v>
      </c>
      <c r="J326" s="1" t="s">
        <v>32</v>
      </c>
      <c r="K326" s="1">
        <v>3379</v>
      </c>
      <c r="L326" s="1">
        <v>20</v>
      </c>
      <c r="M326" s="1" t="s">
        <v>52</v>
      </c>
      <c r="N326" s="1" t="s">
        <v>33</v>
      </c>
      <c r="O326" t="str">
        <f t="shared" si="20"/>
        <v>OK</v>
      </c>
      <c r="P326" t="str">
        <f t="shared" si="21"/>
        <v>OK</v>
      </c>
      <c r="Q326">
        <f t="shared" si="22"/>
        <v>20</v>
      </c>
      <c r="R326" t="str">
        <f t="shared" si="23"/>
        <v>OK</v>
      </c>
    </row>
    <row r="327" spans="1:18">
      <c r="A327" s="1" t="s">
        <v>1206</v>
      </c>
      <c r="B327" s="1" t="s">
        <v>759</v>
      </c>
      <c r="C327" s="5">
        <v>45740</v>
      </c>
      <c r="D327" s="5">
        <v>45757</v>
      </c>
      <c r="E327" s="1" t="s">
        <v>149</v>
      </c>
      <c r="F327" s="1" t="s">
        <v>109</v>
      </c>
      <c r="G327" s="1">
        <v>82</v>
      </c>
      <c r="H327" s="1" t="s">
        <v>104</v>
      </c>
      <c r="I327" s="1" t="s">
        <v>65</v>
      </c>
      <c r="J327" s="1" t="s">
        <v>22</v>
      </c>
      <c r="K327" s="1">
        <v>1223</v>
      </c>
      <c r="L327" s="1">
        <v>17</v>
      </c>
      <c r="M327" s="1" t="s">
        <v>52</v>
      </c>
      <c r="N327" s="1" t="s">
        <v>33</v>
      </c>
      <c r="O327" t="str">
        <f t="shared" si="20"/>
        <v>OK</v>
      </c>
      <c r="P327" t="str">
        <f t="shared" si="21"/>
        <v>OK</v>
      </c>
      <c r="Q327">
        <f t="shared" si="22"/>
        <v>17</v>
      </c>
      <c r="R327" t="str">
        <f t="shared" si="23"/>
        <v>OK</v>
      </c>
    </row>
    <row r="328" spans="1:18">
      <c r="A328" s="1" t="s">
        <v>1209</v>
      </c>
      <c r="B328" s="1" t="s">
        <v>1210</v>
      </c>
      <c r="C328" s="5">
        <v>45833</v>
      </c>
      <c r="D328" s="5">
        <v>45847</v>
      </c>
      <c r="E328" s="1" t="s">
        <v>29</v>
      </c>
      <c r="F328" s="1" t="s">
        <v>77</v>
      </c>
      <c r="G328" s="1">
        <v>32</v>
      </c>
      <c r="H328" s="1" t="s">
        <v>104</v>
      </c>
      <c r="I328" s="1" t="s">
        <v>65</v>
      </c>
      <c r="J328" s="1" t="s">
        <v>40</v>
      </c>
      <c r="K328" s="1">
        <v>4945</v>
      </c>
      <c r="L328" s="1">
        <v>14</v>
      </c>
      <c r="M328" s="1" t="s">
        <v>52</v>
      </c>
      <c r="N328" s="1" t="s">
        <v>52</v>
      </c>
      <c r="O328" t="str">
        <f t="shared" si="20"/>
        <v>OK</v>
      </c>
      <c r="P328" t="str">
        <f t="shared" si="21"/>
        <v>OK</v>
      </c>
      <c r="Q328">
        <f t="shared" si="22"/>
        <v>14</v>
      </c>
      <c r="R328" t="str">
        <f t="shared" si="23"/>
        <v>OK</v>
      </c>
    </row>
    <row r="329" spans="1:18">
      <c r="A329" s="1" t="s">
        <v>1212</v>
      </c>
      <c r="B329" s="1" t="s">
        <v>333</v>
      </c>
      <c r="C329" s="5">
        <v>45900</v>
      </c>
      <c r="D329" s="5">
        <v>45907</v>
      </c>
      <c r="E329" s="1" t="s">
        <v>149</v>
      </c>
      <c r="F329" s="1" t="s">
        <v>109</v>
      </c>
      <c r="G329" s="1">
        <v>49</v>
      </c>
      <c r="H329" s="1" t="s">
        <v>104</v>
      </c>
      <c r="I329" s="1" t="s">
        <v>127</v>
      </c>
      <c r="J329" s="1" t="s">
        <v>32</v>
      </c>
      <c r="K329" s="1">
        <v>9563</v>
      </c>
      <c r="L329" s="1">
        <v>7</v>
      </c>
      <c r="M329" s="1" t="s">
        <v>52</v>
      </c>
      <c r="N329" s="1" t="s">
        <v>52</v>
      </c>
      <c r="O329" t="str">
        <f t="shared" si="20"/>
        <v>OK</v>
      </c>
      <c r="P329" t="str">
        <f t="shared" si="21"/>
        <v>OK</v>
      </c>
      <c r="Q329">
        <f t="shared" si="22"/>
        <v>7</v>
      </c>
      <c r="R329" t="str">
        <f t="shared" si="23"/>
        <v>OK</v>
      </c>
    </row>
    <row r="330" spans="1:18">
      <c r="A330" s="1" t="s">
        <v>1216</v>
      </c>
      <c r="B330" s="1" t="s">
        <v>1217</v>
      </c>
      <c r="C330" s="5">
        <v>45684</v>
      </c>
      <c r="D330" s="5">
        <v>45696</v>
      </c>
      <c r="E330" s="1" t="s">
        <v>120</v>
      </c>
      <c r="F330" s="1" t="s">
        <v>39</v>
      </c>
      <c r="G330" s="1">
        <v>64</v>
      </c>
      <c r="H330" s="1"/>
      <c r="I330" s="1" t="s">
        <v>49</v>
      </c>
      <c r="J330" s="1" t="s">
        <v>40</v>
      </c>
      <c r="K330" s="1">
        <v>4870</v>
      </c>
      <c r="L330" s="1">
        <v>12</v>
      </c>
      <c r="M330" s="1" t="s">
        <v>33</v>
      </c>
      <c r="N330" s="1" t="s">
        <v>33</v>
      </c>
      <c r="O330" t="str">
        <f t="shared" si="20"/>
        <v>OK</v>
      </c>
      <c r="P330" t="str">
        <f t="shared" si="21"/>
        <v>OK</v>
      </c>
      <c r="Q330">
        <f t="shared" si="22"/>
        <v>12</v>
      </c>
      <c r="R330" t="str">
        <f t="shared" si="23"/>
        <v>OK</v>
      </c>
    </row>
    <row r="331" spans="1:18">
      <c r="A331" s="1" t="s">
        <v>1218</v>
      </c>
      <c r="B331" s="1" t="s">
        <v>106</v>
      </c>
      <c r="C331" s="5">
        <v>45925</v>
      </c>
      <c r="D331" s="5">
        <v>45939</v>
      </c>
      <c r="E331" s="1" t="s">
        <v>120</v>
      </c>
      <c r="F331" s="1" t="s">
        <v>39</v>
      </c>
      <c r="G331" s="1">
        <v>93</v>
      </c>
      <c r="H331" s="1" t="s">
        <v>84</v>
      </c>
      <c r="I331" s="1" t="s">
        <v>65</v>
      </c>
      <c r="J331" s="1" t="s">
        <v>32</v>
      </c>
      <c r="K331" s="1">
        <v>2687</v>
      </c>
      <c r="L331" s="1">
        <v>14</v>
      </c>
      <c r="M331" s="1" t="s">
        <v>33</v>
      </c>
      <c r="N331" s="1" t="s">
        <v>33</v>
      </c>
      <c r="O331" t="str">
        <f t="shared" si="20"/>
        <v>OK</v>
      </c>
      <c r="P331" t="str">
        <f t="shared" si="21"/>
        <v>OK</v>
      </c>
      <c r="Q331">
        <f t="shared" si="22"/>
        <v>14</v>
      </c>
      <c r="R331" t="str">
        <f t="shared" si="23"/>
        <v>OK</v>
      </c>
    </row>
    <row r="332" spans="1:18">
      <c r="A332" s="1" t="s">
        <v>1221</v>
      </c>
      <c r="B332" s="1" t="s">
        <v>526</v>
      </c>
      <c r="C332" s="5">
        <v>45907</v>
      </c>
      <c r="D332" s="5">
        <v>45927</v>
      </c>
      <c r="E332" s="1" t="s">
        <v>18</v>
      </c>
      <c r="F332" s="1" t="s">
        <v>83</v>
      </c>
      <c r="G332" s="1">
        <v>32</v>
      </c>
      <c r="H332" s="1" t="s">
        <v>104</v>
      </c>
      <c r="I332" s="1" t="s">
        <v>65</v>
      </c>
      <c r="J332" s="1" t="s">
        <v>40</v>
      </c>
      <c r="K332" s="1">
        <v>419</v>
      </c>
      <c r="L332" s="1">
        <v>20</v>
      </c>
      <c r="M332" s="1" t="s">
        <v>52</v>
      </c>
      <c r="N332" s="1" t="s">
        <v>33</v>
      </c>
      <c r="O332" t="str">
        <f t="shared" si="20"/>
        <v>OK</v>
      </c>
      <c r="P332" t="str">
        <f t="shared" si="21"/>
        <v>OK</v>
      </c>
      <c r="Q332">
        <f t="shared" si="22"/>
        <v>20</v>
      </c>
      <c r="R332" t="str">
        <f t="shared" si="23"/>
        <v>OK</v>
      </c>
    </row>
    <row r="333" spans="1:18">
      <c r="A333" s="1" t="s">
        <v>1224</v>
      </c>
      <c r="B333" s="1" t="s">
        <v>592</v>
      </c>
      <c r="C333" s="5">
        <v>45811</v>
      </c>
      <c r="D333" s="5">
        <v>45826</v>
      </c>
      <c r="E333" s="1" t="s">
        <v>120</v>
      </c>
      <c r="F333" s="1" t="s">
        <v>39</v>
      </c>
      <c r="G333" s="1"/>
      <c r="H333" s="1" t="s">
        <v>104</v>
      </c>
      <c r="I333" s="1" t="s">
        <v>49</v>
      </c>
      <c r="J333" s="1" t="s">
        <v>22</v>
      </c>
      <c r="K333" s="1">
        <v>1981</v>
      </c>
      <c r="L333" s="1">
        <v>15</v>
      </c>
      <c r="M333" s="1" t="s">
        <v>52</v>
      </c>
      <c r="N333" s="1" t="s">
        <v>33</v>
      </c>
      <c r="O333" t="str">
        <f t="shared" si="20"/>
        <v>OK</v>
      </c>
      <c r="P333" t="str">
        <f t="shared" si="21"/>
        <v>OK</v>
      </c>
      <c r="Q333">
        <f t="shared" si="22"/>
        <v>15</v>
      </c>
      <c r="R333" t="str">
        <f t="shared" si="23"/>
        <v>OK</v>
      </c>
    </row>
    <row r="334" spans="1:18">
      <c r="A334" s="1" t="s">
        <v>1226</v>
      </c>
      <c r="B334" s="1" t="s">
        <v>1227</v>
      </c>
      <c r="C334" s="5">
        <v>45669</v>
      </c>
      <c r="D334" s="5">
        <v>45680</v>
      </c>
      <c r="E334" s="1" t="s">
        <v>149</v>
      </c>
      <c r="F334" s="1" t="s">
        <v>109</v>
      </c>
      <c r="G334" s="1">
        <v>58</v>
      </c>
      <c r="H334" s="1" t="s">
        <v>48</v>
      </c>
      <c r="I334" s="1" t="s">
        <v>127</v>
      </c>
      <c r="J334" s="1" t="s">
        <v>32</v>
      </c>
      <c r="K334" s="1">
        <v>7090</v>
      </c>
      <c r="L334" s="1">
        <v>11</v>
      </c>
      <c r="M334" s="1" t="s">
        <v>33</v>
      </c>
      <c r="N334" s="1" t="s">
        <v>52</v>
      </c>
      <c r="O334" t="str">
        <f t="shared" si="20"/>
        <v>OK</v>
      </c>
      <c r="P334" t="str">
        <f t="shared" si="21"/>
        <v>OK</v>
      </c>
      <c r="Q334">
        <f t="shared" si="22"/>
        <v>11</v>
      </c>
      <c r="R334" t="str">
        <f t="shared" si="23"/>
        <v>OK</v>
      </c>
    </row>
    <row r="335" spans="1:18">
      <c r="A335" s="1" t="s">
        <v>1228</v>
      </c>
      <c r="B335" s="1" t="s">
        <v>826</v>
      </c>
      <c r="C335" s="5">
        <v>45895</v>
      </c>
      <c r="D335" s="5">
        <v>45905</v>
      </c>
      <c r="E335" s="1" t="s">
        <v>120</v>
      </c>
      <c r="F335" s="1" t="s">
        <v>39</v>
      </c>
      <c r="G335" s="1">
        <v>83</v>
      </c>
      <c r="H335" s="1" t="s">
        <v>104</v>
      </c>
      <c r="I335" s="1" t="s">
        <v>127</v>
      </c>
      <c r="J335" s="1" t="s">
        <v>32</v>
      </c>
      <c r="K335" s="1">
        <v>-250</v>
      </c>
      <c r="L335" s="1">
        <v>10</v>
      </c>
      <c r="M335" s="1" t="s">
        <v>33</v>
      </c>
      <c r="N335" s="1" t="s">
        <v>33</v>
      </c>
      <c r="O335" t="str">
        <f t="shared" si="20"/>
        <v>OK</v>
      </c>
      <c r="P335" t="str">
        <f t="shared" si="21"/>
        <v>Negative cost</v>
      </c>
      <c r="Q335">
        <f t="shared" si="22"/>
        <v>10</v>
      </c>
      <c r="R335" t="str">
        <f t="shared" si="23"/>
        <v>OK</v>
      </c>
    </row>
    <row r="336" spans="1:18">
      <c r="A336" s="1" t="s">
        <v>1231</v>
      </c>
      <c r="B336" s="1" t="s">
        <v>1232</v>
      </c>
      <c r="C336" s="5">
        <v>45770</v>
      </c>
      <c r="D336" s="5"/>
      <c r="E336" s="1" t="s">
        <v>125</v>
      </c>
      <c r="F336" s="1" t="s">
        <v>126</v>
      </c>
      <c r="G336" s="1">
        <v>62</v>
      </c>
      <c r="H336" s="1" t="s">
        <v>84</v>
      </c>
      <c r="I336" s="1" t="s">
        <v>65</v>
      </c>
      <c r="J336" s="1" t="s">
        <v>40</v>
      </c>
      <c r="K336" s="1">
        <v>12150</v>
      </c>
      <c r="L336" s="1">
        <v>14</v>
      </c>
      <c r="M336" s="1" t="s">
        <v>33</v>
      </c>
      <c r="N336" s="1" t="s">
        <v>52</v>
      </c>
      <c r="O336" t="str">
        <f t="shared" si="20"/>
        <v>Missing date</v>
      </c>
      <c r="P336" t="str">
        <f t="shared" si="21"/>
        <v>OK</v>
      </c>
      <c r="Q336" t="str">
        <f t="shared" si="22"/>
        <v/>
      </c>
      <c r="R336" t="str">
        <f t="shared" si="23"/>
        <v>Cannot check dates</v>
      </c>
    </row>
    <row r="337" spans="1:18">
      <c r="A337" s="1" t="s">
        <v>1233</v>
      </c>
      <c r="B337" s="1" t="s">
        <v>494</v>
      </c>
      <c r="C337" s="5">
        <v>45686</v>
      </c>
      <c r="D337" s="5">
        <v>45688</v>
      </c>
      <c r="E337" s="1" t="s">
        <v>249</v>
      </c>
      <c r="F337" s="1" t="s">
        <v>96</v>
      </c>
      <c r="G337" s="1">
        <v>5</v>
      </c>
      <c r="H337" s="1" t="s">
        <v>104</v>
      </c>
      <c r="I337" s="1" t="s">
        <v>127</v>
      </c>
      <c r="J337" s="1" t="s">
        <v>40</v>
      </c>
      <c r="K337" s="1">
        <v>12463</v>
      </c>
      <c r="L337" s="1">
        <v>2</v>
      </c>
      <c r="M337" s="1" t="s">
        <v>33</v>
      </c>
      <c r="N337" s="1" t="s">
        <v>52</v>
      </c>
      <c r="O337" t="str">
        <f t="shared" si="20"/>
        <v>OK</v>
      </c>
      <c r="P337" t="str">
        <f t="shared" si="21"/>
        <v>OK</v>
      </c>
      <c r="Q337">
        <f t="shared" si="22"/>
        <v>2</v>
      </c>
      <c r="R337" t="str">
        <f t="shared" si="23"/>
        <v>OK</v>
      </c>
    </row>
    <row r="338" spans="1:18">
      <c r="A338" s="1" t="s">
        <v>1235</v>
      </c>
      <c r="B338" s="1" t="s">
        <v>918</v>
      </c>
      <c r="C338" s="5">
        <v>45817</v>
      </c>
      <c r="D338" s="5">
        <v>45835</v>
      </c>
      <c r="E338" s="1" t="s">
        <v>249</v>
      </c>
      <c r="F338" s="1" t="s">
        <v>96</v>
      </c>
      <c r="G338" s="1">
        <v>11</v>
      </c>
      <c r="H338" s="1" t="s">
        <v>84</v>
      </c>
      <c r="I338" s="1" t="s">
        <v>127</v>
      </c>
      <c r="J338" s="1" t="s">
        <v>22</v>
      </c>
      <c r="K338" s="1">
        <v>1168</v>
      </c>
      <c r="L338" s="1">
        <v>18</v>
      </c>
      <c r="M338" s="1" t="s">
        <v>33</v>
      </c>
      <c r="N338" s="1" t="s">
        <v>52</v>
      </c>
      <c r="O338" t="str">
        <f t="shared" si="20"/>
        <v>OK</v>
      </c>
      <c r="P338" t="str">
        <f t="shared" si="21"/>
        <v>OK</v>
      </c>
      <c r="Q338">
        <f t="shared" si="22"/>
        <v>18</v>
      </c>
      <c r="R338" t="str">
        <f t="shared" si="23"/>
        <v>OK</v>
      </c>
    </row>
    <row r="339" spans="1:18">
      <c r="A339" s="1" t="s">
        <v>1238</v>
      </c>
      <c r="B339" s="1" t="s">
        <v>196</v>
      </c>
      <c r="C339" s="5">
        <v>45883</v>
      </c>
      <c r="D339" s="5">
        <v>45890</v>
      </c>
      <c r="E339" s="1" t="s">
        <v>149</v>
      </c>
      <c r="F339" s="1" t="s">
        <v>109</v>
      </c>
      <c r="G339" s="1">
        <v>74</v>
      </c>
      <c r="H339" s="1" t="s">
        <v>84</v>
      </c>
      <c r="I339" s="1" t="s">
        <v>49</v>
      </c>
      <c r="J339" s="1" t="s">
        <v>32</v>
      </c>
      <c r="K339" s="1">
        <v>12116</v>
      </c>
      <c r="L339" s="1">
        <v>7</v>
      </c>
      <c r="M339" s="1" t="s">
        <v>52</v>
      </c>
      <c r="N339" s="1" t="s">
        <v>33</v>
      </c>
      <c r="O339" t="str">
        <f t="shared" si="20"/>
        <v>OK</v>
      </c>
      <c r="P339" t="str">
        <f t="shared" si="21"/>
        <v>OK</v>
      </c>
      <c r="Q339">
        <f t="shared" si="22"/>
        <v>7</v>
      </c>
      <c r="R339" t="str">
        <f t="shared" si="23"/>
        <v>OK</v>
      </c>
    </row>
    <row r="340" spans="1:18">
      <c r="A340" s="1" t="s">
        <v>1239</v>
      </c>
      <c r="B340" s="1" t="s">
        <v>161</v>
      </c>
      <c r="C340" s="5">
        <v>45945</v>
      </c>
      <c r="D340" s="5">
        <v>45948</v>
      </c>
      <c r="E340" s="1" t="s">
        <v>18</v>
      </c>
      <c r="F340" s="1" t="s">
        <v>83</v>
      </c>
      <c r="G340" s="1">
        <v>56</v>
      </c>
      <c r="H340" s="1" t="s">
        <v>104</v>
      </c>
      <c r="I340" s="1" t="s">
        <v>127</v>
      </c>
      <c r="J340" s="1" t="s">
        <v>40</v>
      </c>
      <c r="K340" s="1">
        <v>5137</v>
      </c>
      <c r="L340" s="1">
        <v>3</v>
      </c>
      <c r="M340" s="1" t="s">
        <v>33</v>
      </c>
      <c r="N340" s="1" t="s">
        <v>52</v>
      </c>
      <c r="O340" t="str">
        <f t="shared" si="20"/>
        <v>OK</v>
      </c>
      <c r="P340" t="str">
        <f t="shared" si="21"/>
        <v>OK</v>
      </c>
      <c r="Q340">
        <f t="shared" si="22"/>
        <v>3</v>
      </c>
      <c r="R340" t="str">
        <f t="shared" si="23"/>
        <v>OK</v>
      </c>
    </row>
    <row r="341" spans="1:18">
      <c r="A341" s="1" t="s">
        <v>1242</v>
      </c>
      <c r="B341" s="1" t="s">
        <v>1243</v>
      </c>
      <c r="C341" s="5">
        <v>45728</v>
      </c>
      <c r="D341" s="5">
        <v>45747</v>
      </c>
      <c r="E341" s="1" t="s">
        <v>18</v>
      </c>
      <c r="F341" s="1" t="s">
        <v>83</v>
      </c>
      <c r="G341" s="1">
        <v>95</v>
      </c>
      <c r="H341" s="1" t="s">
        <v>84</v>
      </c>
      <c r="I341" s="1" t="s">
        <v>65</v>
      </c>
      <c r="J341" s="1" t="s">
        <v>32</v>
      </c>
      <c r="K341" s="8">
        <v>10065</v>
      </c>
      <c r="L341" s="1">
        <v>19</v>
      </c>
      <c r="M341" s="1" t="s">
        <v>52</v>
      </c>
      <c r="N341" s="1" t="s">
        <v>33</v>
      </c>
      <c r="O341" t="str">
        <f t="shared" si="20"/>
        <v>OK</v>
      </c>
      <c r="P341" t="str">
        <f t="shared" si="21"/>
        <v>OK</v>
      </c>
      <c r="Q341">
        <f t="shared" si="22"/>
        <v>19</v>
      </c>
      <c r="R341" t="str">
        <f t="shared" si="23"/>
        <v>OK</v>
      </c>
    </row>
    <row r="342" spans="1:18">
      <c r="A342" s="1" t="s">
        <v>1245</v>
      </c>
      <c r="B342" s="1" t="s">
        <v>446</v>
      </c>
      <c r="C342" s="5">
        <v>45986</v>
      </c>
      <c r="D342" s="5">
        <v>45994</v>
      </c>
      <c r="E342" s="1" t="s">
        <v>125</v>
      </c>
      <c r="F342" s="1" t="s">
        <v>126</v>
      </c>
      <c r="G342" s="1">
        <v>54</v>
      </c>
      <c r="H342" s="1" t="s">
        <v>48</v>
      </c>
      <c r="I342" s="1" t="s">
        <v>49</v>
      </c>
      <c r="J342" s="1" t="s">
        <v>22</v>
      </c>
      <c r="K342" s="1">
        <v>3269</v>
      </c>
      <c r="L342" s="1">
        <v>8</v>
      </c>
      <c r="M342" s="1" t="s">
        <v>52</v>
      </c>
      <c r="N342" s="1" t="s">
        <v>52</v>
      </c>
      <c r="O342" t="str">
        <f t="shared" si="20"/>
        <v>OK</v>
      </c>
      <c r="P342" t="str">
        <f t="shared" si="21"/>
        <v>OK</v>
      </c>
      <c r="Q342">
        <f t="shared" si="22"/>
        <v>8</v>
      </c>
      <c r="R342" t="str">
        <f t="shared" si="23"/>
        <v>OK</v>
      </c>
    </row>
    <row r="343" spans="1:18">
      <c r="A343" s="1" t="s">
        <v>1246</v>
      </c>
      <c r="B343" s="1" t="s">
        <v>1004</v>
      </c>
      <c r="C343" s="5">
        <v>45933</v>
      </c>
      <c r="D343" s="5">
        <v>45936</v>
      </c>
      <c r="E343" s="1" t="s">
        <v>120</v>
      </c>
      <c r="F343" s="1" t="s">
        <v>39</v>
      </c>
      <c r="G343" s="1">
        <v>93</v>
      </c>
      <c r="H343" s="1" t="s">
        <v>104</v>
      </c>
      <c r="I343" s="1" t="s">
        <v>49</v>
      </c>
      <c r="J343" s="1" t="s">
        <v>32</v>
      </c>
      <c r="K343" s="1">
        <v>7304</v>
      </c>
      <c r="L343" s="1">
        <v>3</v>
      </c>
      <c r="M343" s="1" t="s">
        <v>52</v>
      </c>
      <c r="N343" s="1" t="s">
        <v>33</v>
      </c>
      <c r="O343" t="str">
        <f t="shared" si="20"/>
        <v>OK</v>
      </c>
      <c r="P343" t="str">
        <f t="shared" si="21"/>
        <v>OK</v>
      </c>
      <c r="Q343">
        <f t="shared" si="22"/>
        <v>3</v>
      </c>
      <c r="R343" t="str">
        <f t="shared" si="23"/>
        <v>OK</v>
      </c>
    </row>
    <row r="344" spans="1:18">
      <c r="A344" s="1" t="s">
        <v>1248</v>
      </c>
      <c r="B344" s="1" t="s">
        <v>1249</v>
      </c>
      <c r="C344" s="5">
        <v>45945</v>
      </c>
      <c r="D344" s="5">
        <v>45958</v>
      </c>
      <c r="E344" s="1" t="s">
        <v>29</v>
      </c>
      <c r="F344" s="1" t="s">
        <v>77</v>
      </c>
      <c r="G344" s="1">
        <v>46</v>
      </c>
      <c r="H344" s="1" t="s">
        <v>84</v>
      </c>
      <c r="I344" s="1" t="s">
        <v>65</v>
      </c>
      <c r="J344" s="1" t="s">
        <v>32</v>
      </c>
      <c r="K344" s="8">
        <v>10514</v>
      </c>
      <c r="L344" s="1">
        <v>13</v>
      </c>
      <c r="M344" s="1" t="s">
        <v>52</v>
      </c>
      <c r="N344" s="1" t="s">
        <v>33</v>
      </c>
      <c r="O344" t="str">
        <f t="shared" si="20"/>
        <v>OK</v>
      </c>
      <c r="P344" t="str">
        <f t="shared" si="21"/>
        <v>OK</v>
      </c>
      <c r="Q344">
        <f t="shared" si="22"/>
        <v>13</v>
      </c>
      <c r="R344" t="str">
        <f t="shared" si="23"/>
        <v>OK</v>
      </c>
    </row>
    <row r="345" spans="1:18">
      <c r="A345" s="1" t="s">
        <v>1251</v>
      </c>
      <c r="B345" s="1" t="s">
        <v>1252</v>
      </c>
      <c r="C345" s="5">
        <v>45771</v>
      </c>
      <c r="D345" s="5">
        <v>45782</v>
      </c>
      <c r="E345" s="1" t="s">
        <v>249</v>
      </c>
      <c r="F345" s="1" t="s">
        <v>96</v>
      </c>
      <c r="G345" s="1">
        <v>6</v>
      </c>
      <c r="H345" s="1" t="s">
        <v>84</v>
      </c>
      <c r="I345" s="1" t="s">
        <v>65</v>
      </c>
      <c r="J345" s="1" t="s">
        <v>40</v>
      </c>
      <c r="K345" s="1">
        <v>3372</v>
      </c>
      <c r="L345" s="1"/>
      <c r="M345" s="1" t="s">
        <v>52</v>
      </c>
      <c r="N345" s="1" t="s">
        <v>33</v>
      </c>
      <c r="O345" t="str">
        <f t="shared" si="20"/>
        <v>OK</v>
      </c>
      <c r="P345" t="str">
        <f t="shared" si="21"/>
        <v>OK</v>
      </c>
      <c r="Q345">
        <f t="shared" si="22"/>
        <v>11</v>
      </c>
      <c r="R345" t="str">
        <f t="shared" si="23"/>
        <v>Missing recorded stay</v>
      </c>
    </row>
    <row r="346" spans="1:18">
      <c r="A346" s="1" t="s">
        <v>1255</v>
      </c>
      <c r="B346" s="1" t="s">
        <v>86</v>
      </c>
      <c r="C346" s="5">
        <v>45784</v>
      </c>
      <c r="D346" s="5">
        <v>45788</v>
      </c>
      <c r="E346" s="1" t="s">
        <v>149</v>
      </c>
      <c r="F346" s="1" t="s">
        <v>109</v>
      </c>
      <c r="G346" s="1">
        <v>81</v>
      </c>
      <c r="H346" s="1" t="s">
        <v>48</v>
      </c>
      <c r="I346" s="1" t="s">
        <v>65</v>
      </c>
      <c r="J346" s="1" t="s">
        <v>32</v>
      </c>
      <c r="K346" s="1">
        <v>13278</v>
      </c>
      <c r="L346" s="1">
        <v>4</v>
      </c>
      <c r="M346" s="1" t="s">
        <v>52</v>
      </c>
      <c r="N346" s="1" t="s">
        <v>52</v>
      </c>
      <c r="O346" t="str">
        <f t="shared" si="20"/>
        <v>OK</v>
      </c>
      <c r="P346" t="str">
        <f t="shared" si="21"/>
        <v>OK</v>
      </c>
      <c r="Q346">
        <f t="shared" si="22"/>
        <v>4</v>
      </c>
      <c r="R346" t="str">
        <f t="shared" si="23"/>
        <v>OK</v>
      </c>
    </row>
    <row r="347" spans="1:18">
      <c r="A347" s="1" t="s">
        <v>1256</v>
      </c>
      <c r="B347" s="1" t="s">
        <v>346</v>
      </c>
      <c r="C347" s="5">
        <v>45829</v>
      </c>
      <c r="D347" s="5">
        <v>45848</v>
      </c>
      <c r="E347" s="1" t="s">
        <v>125</v>
      </c>
      <c r="F347" s="1" t="s">
        <v>126</v>
      </c>
      <c r="G347" s="1">
        <v>86</v>
      </c>
      <c r="H347" s="1" t="s">
        <v>84</v>
      </c>
      <c r="I347" s="1"/>
      <c r="J347" s="1" t="s">
        <v>40</v>
      </c>
      <c r="K347" s="1">
        <v>14132</v>
      </c>
      <c r="L347" s="1">
        <v>19</v>
      </c>
      <c r="M347" s="1" t="s">
        <v>52</v>
      </c>
      <c r="N347" s="1" t="s">
        <v>52</v>
      </c>
      <c r="O347" t="str">
        <f t="shared" si="20"/>
        <v>OK</v>
      </c>
      <c r="P347" t="str">
        <f t="shared" si="21"/>
        <v>OK</v>
      </c>
      <c r="Q347">
        <f t="shared" si="22"/>
        <v>19</v>
      </c>
      <c r="R347" t="str">
        <f t="shared" si="23"/>
        <v>OK</v>
      </c>
    </row>
    <row r="348" spans="1:18">
      <c r="A348" s="1" t="s">
        <v>1259</v>
      </c>
      <c r="B348" s="1" t="s">
        <v>43</v>
      </c>
      <c r="C348" s="5">
        <v>45920</v>
      </c>
      <c r="D348" s="5">
        <v>45922</v>
      </c>
      <c r="E348" s="1" t="s">
        <v>125</v>
      </c>
      <c r="F348" s="1" t="s">
        <v>126</v>
      </c>
      <c r="G348" s="1">
        <v>31</v>
      </c>
      <c r="H348" s="1" t="s">
        <v>104</v>
      </c>
      <c r="I348" s="1" t="s">
        <v>153</v>
      </c>
      <c r="J348" s="1" t="s">
        <v>40</v>
      </c>
      <c r="K348" s="1">
        <v>11764</v>
      </c>
      <c r="L348" s="1">
        <v>2</v>
      </c>
      <c r="M348" s="1" t="s">
        <v>52</v>
      </c>
      <c r="N348" s="1" t="s">
        <v>33</v>
      </c>
      <c r="O348" t="str">
        <f t="shared" si="20"/>
        <v>OK</v>
      </c>
      <c r="P348" t="str">
        <f t="shared" si="21"/>
        <v>OK</v>
      </c>
      <c r="Q348">
        <f t="shared" si="22"/>
        <v>2</v>
      </c>
      <c r="R348" t="str">
        <f t="shared" si="23"/>
        <v>OK</v>
      </c>
    </row>
    <row r="349" spans="1:18">
      <c r="A349" s="1" t="s">
        <v>1260</v>
      </c>
      <c r="B349" s="1" t="s">
        <v>1252</v>
      </c>
      <c r="C349" s="5">
        <v>45823</v>
      </c>
      <c r="D349" s="5">
        <v>45825</v>
      </c>
      <c r="E349" s="1" t="s">
        <v>249</v>
      </c>
      <c r="F349" s="1" t="s">
        <v>96</v>
      </c>
      <c r="G349" s="1">
        <v>13</v>
      </c>
      <c r="H349" s="1" t="s">
        <v>104</v>
      </c>
      <c r="I349" s="1" t="s">
        <v>65</v>
      </c>
      <c r="J349" s="1" t="s">
        <v>32</v>
      </c>
      <c r="K349" s="1">
        <v>9317</v>
      </c>
      <c r="L349" s="1">
        <v>2</v>
      </c>
      <c r="M349" s="1" t="s">
        <v>52</v>
      </c>
      <c r="N349" s="1" t="s">
        <v>52</v>
      </c>
      <c r="O349" t="str">
        <f t="shared" si="20"/>
        <v>OK</v>
      </c>
      <c r="P349" t="str">
        <f t="shared" si="21"/>
        <v>OK</v>
      </c>
      <c r="Q349">
        <f t="shared" si="22"/>
        <v>2</v>
      </c>
      <c r="R349" t="str">
        <f t="shared" si="23"/>
        <v>OK</v>
      </c>
    </row>
    <row r="350" spans="1:18">
      <c r="A350" s="1" t="s">
        <v>1264</v>
      </c>
      <c r="B350" s="1" t="s">
        <v>1265</v>
      </c>
      <c r="C350" s="5">
        <v>45735</v>
      </c>
      <c r="D350" s="5"/>
      <c r="E350" s="1" t="s">
        <v>149</v>
      </c>
      <c r="F350" s="1" t="s">
        <v>109</v>
      </c>
      <c r="G350" s="1">
        <v>63</v>
      </c>
      <c r="H350" s="1" t="s">
        <v>48</v>
      </c>
      <c r="I350" s="1" t="s">
        <v>65</v>
      </c>
      <c r="J350" s="1" t="s">
        <v>32</v>
      </c>
      <c r="K350" s="1">
        <v>5529</v>
      </c>
      <c r="L350" s="1"/>
      <c r="M350" s="1" t="s">
        <v>52</v>
      </c>
      <c r="N350" s="1" t="s">
        <v>33</v>
      </c>
      <c r="O350" t="str">
        <f t="shared" si="20"/>
        <v>Missing date</v>
      </c>
      <c r="P350" t="str">
        <f t="shared" si="21"/>
        <v>OK</v>
      </c>
      <c r="Q350" t="str">
        <f t="shared" si="22"/>
        <v/>
      </c>
      <c r="R350" t="str">
        <f t="shared" si="23"/>
        <v>Cannot check dates</v>
      </c>
    </row>
    <row r="351" spans="1:18">
      <c r="A351" s="1" t="s">
        <v>1266</v>
      </c>
      <c r="B351" s="1" t="s">
        <v>1267</v>
      </c>
      <c r="C351" s="5">
        <v>45859</v>
      </c>
      <c r="D351" s="5">
        <v>45871</v>
      </c>
      <c r="E351" s="1" t="s">
        <v>149</v>
      </c>
      <c r="F351" s="1" t="s">
        <v>109</v>
      </c>
      <c r="G351" s="1">
        <v>87</v>
      </c>
      <c r="H351" s="1" t="s">
        <v>104</v>
      </c>
      <c r="I351" s="1" t="s">
        <v>49</v>
      </c>
      <c r="J351" s="1" t="s">
        <v>40</v>
      </c>
      <c r="K351" s="1">
        <v>6214</v>
      </c>
      <c r="L351" s="1">
        <v>12</v>
      </c>
      <c r="M351" s="1" t="s">
        <v>52</v>
      </c>
      <c r="N351" s="1" t="s">
        <v>33</v>
      </c>
      <c r="O351" t="str">
        <f t="shared" si="20"/>
        <v>OK</v>
      </c>
      <c r="P351" t="str">
        <f t="shared" si="21"/>
        <v>OK</v>
      </c>
      <c r="Q351">
        <f t="shared" si="22"/>
        <v>12</v>
      </c>
      <c r="R351" t="str">
        <f t="shared" si="23"/>
        <v>OK</v>
      </c>
    </row>
    <row r="352" spans="1:18">
      <c r="A352" s="1" t="s">
        <v>1268</v>
      </c>
      <c r="B352" s="1" t="s">
        <v>1269</v>
      </c>
      <c r="C352" s="5">
        <v>45678</v>
      </c>
      <c r="D352" s="5">
        <v>45690</v>
      </c>
      <c r="E352" s="1" t="s">
        <v>149</v>
      </c>
      <c r="F352" s="1" t="s">
        <v>109</v>
      </c>
      <c r="G352" s="1">
        <v>49</v>
      </c>
      <c r="H352" s="1" t="s">
        <v>84</v>
      </c>
      <c r="I352" s="1" t="s">
        <v>65</v>
      </c>
      <c r="J352" s="1" t="s">
        <v>40</v>
      </c>
      <c r="K352" s="8">
        <v>2101</v>
      </c>
      <c r="L352" s="1">
        <v>12</v>
      </c>
      <c r="M352" s="1" t="s">
        <v>33</v>
      </c>
      <c r="N352" s="1" t="s">
        <v>33</v>
      </c>
      <c r="O352" t="str">
        <f t="shared" si="20"/>
        <v>OK</v>
      </c>
      <c r="P352" t="str">
        <f t="shared" si="21"/>
        <v>OK</v>
      </c>
      <c r="Q352">
        <f t="shared" si="22"/>
        <v>12</v>
      </c>
      <c r="R352" t="str">
        <f t="shared" si="23"/>
        <v>OK</v>
      </c>
    </row>
    <row r="353" spans="1:18">
      <c r="A353" s="1" t="s">
        <v>1272</v>
      </c>
      <c r="B353" s="1" t="s">
        <v>1273</v>
      </c>
      <c r="C353" s="5">
        <v>45683</v>
      </c>
      <c r="D353" s="5"/>
      <c r="E353" s="1" t="s">
        <v>249</v>
      </c>
      <c r="F353" s="1" t="s">
        <v>96</v>
      </c>
      <c r="G353" s="1">
        <v>11</v>
      </c>
      <c r="H353" s="1" t="s">
        <v>104</v>
      </c>
      <c r="I353" s="1" t="s">
        <v>65</v>
      </c>
      <c r="J353" s="1" t="s">
        <v>32</v>
      </c>
      <c r="K353" s="8">
        <v>4979</v>
      </c>
      <c r="L353" s="1">
        <v>19</v>
      </c>
      <c r="M353" s="1" t="s">
        <v>33</v>
      </c>
      <c r="N353" s="1" t="s">
        <v>33</v>
      </c>
      <c r="O353" t="str">
        <f t="shared" si="20"/>
        <v>Missing date</v>
      </c>
      <c r="P353" t="str">
        <f t="shared" si="21"/>
        <v>OK</v>
      </c>
      <c r="Q353" t="str">
        <f t="shared" si="22"/>
        <v/>
      </c>
      <c r="R353" t="str">
        <f t="shared" si="23"/>
        <v>Cannot check dates</v>
      </c>
    </row>
    <row r="354" spans="1:18">
      <c r="A354" s="1" t="s">
        <v>1276</v>
      </c>
      <c r="B354" s="1" t="s">
        <v>516</v>
      </c>
      <c r="C354" s="5">
        <v>45783</v>
      </c>
      <c r="D354" s="5">
        <v>45799</v>
      </c>
      <c r="E354" s="1" t="s">
        <v>120</v>
      </c>
      <c r="F354" s="1" t="s">
        <v>39</v>
      </c>
      <c r="G354" s="1">
        <v>77</v>
      </c>
      <c r="H354" s="1" t="s">
        <v>84</v>
      </c>
      <c r="I354" s="1" t="s">
        <v>65</v>
      </c>
      <c r="J354" s="1" t="s">
        <v>22</v>
      </c>
      <c r="K354" s="1">
        <v>7381</v>
      </c>
      <c r="L354" s="1">
        <v>16</v>
      </c>
      <c r="M354" s="1" t="s">
        <v>33</v>
      </c>
      <c r="N354" s="1" t="s">
        <v>33</v>
      </c>
      <c r="O354" t="str">
        <f t="shared" si="20"/>
        <v>OK</v>
      </c>
      <c r="P354" t="str">
        <f t="shared" si="21"/>
        <v>OK</v>
      </c>
      <c r="Q354">
        <f t="shared" si="22"/>
        <v>16</v>
      </c>
      <c r="R354" t="str">
        <f t="shared" si="23"/>
        <v>OK</v>
      </c>
    </row>
    <row r="355" spans="1:18">
      <c r="A355" s="1" t="s">
        <v>1279</v>
      </c>
      <c r="B355" s="1" t="s">
        <v>502</v>
      </c>
      <c r="C355" s="5">
        <v>45754</v>
      </c>
      <c r="D355" s="5">
        <v>45756</v>
      </c>
      <c r="E355" s="1" t="s">
        <v>120</v>
      </c>
      <c r="F355" s="1" t="s">
        <v>39</v>
      </c>
      <c r="G355" s="1"/>
      <c r="H355" s="1" t="s">
        <v>48</v>
      </c>
      <c r="I355" s="1" t="s">
        <v>153</v>
      </c>
      <c r="J355" s="1" t="s">
        <v>32</v>
      </c>
      <c r="K355" s="1">
        <v>1393</v>
      </c>
      <c r="L355" s="1">
        <v>2</v>
      </c>
      <c r="M355" s="1" t="s">
        <v>52</v>
      </c>
      <c r="N355" s="1" t="s">
        <v>33</v>
      </c>
      <c r="O355" t="str">
        <f t="shared" si="20"/>
        <v>OK</v>
      </c>
      <c r="P355" t="str">
        <f t="shared" si="21"/>
        <v>OK</v>
      </c>
      <c r="Q355">
        <f t="shared" si="22"/>
        <v>2</v>
      </c>
      <c r="R355" t="str">
        <f t="shared" si="23"/>
        <v>OK</v>
      </c>
    </row>
    <row r="356" spans="1:18">
      <c r="A356" s="1" t="s">
        <v>1281</v>
      </c>
      <c r="B356" s="1" t="s">
        <v>61</v>
      </c>
      <c r="C356" s="5">
        <v>45825</v>
      </c>
      <c r="D356" s="5">
        <v>45841</v>
      </c>
      <c r="E356" s="1" t="s">
        <v>249</v>
      </c>
      <c r="F356" s="1" t="s">
        <v>96</v>
      </c>
      <c r="G356" s="1">
        <v>16</v>
      </c>
      <c r="H356" s="1" t="s">
        <v>104</v>
      </c>
      <c r="I356" s="1" t="s">
        <v>65</v>
      </c>
      <c r="J356" s="1" t="s">
        <v>40</v>
      </c>
      <c r="K356" s="1">
        <v>3698</v>
      </c>
      <c r="L356" s="1">
        <v>16</v>
      </c>
      <c r="M356" s="1" t="s">
        <v>52</v>
      </c>
      <c r="N356" s="1" t="s">
        <v>33</v>
      </c>
      <c r="O356" t="str">
        <f t="shared" si="20"/>
        <v>OK</v>
      </c>
      <c r="P356" t="str">
        <f t="shared" si="21"/>
        <v>OK</v>
      </c>
      <c r="Q356">
        <f t="shared" si="22"/>
        <v>16</v>
      </c>
      <c r="R356" t="str">
        <f t="shared" si="23"/>
        <v>OK</v>
      </c>
    </row>
    <row r="357" spans="1:18">
      <c r="A357" s="1" t="s">
        <v>1283</v>
      </c>
      <c r="B357" s="1" t="s">
        <v>1227</v>
      </c>
      <c r="C357" s="5"/>
      <c r="D357" s="5">
        <v>45714</v>
      </c>
      <c r="E357" s="1" t="s">
        <v>29</v>
      </c>
      <c r="F357" s="1" t="s">
        <v>77</v>
      </c>
      <c r="G357" s="1">
        <v>37</v>
      </c>
      <c r="H357" s="1" t="s">
        <v>104</v>
      </c>
      <c r="I357" s="1" t="s">
        <v>65</v>
      </c>
      <c r="J357" s="1" t="s">
        <v>22</v>
      </c>
      <c r="K357" s="8">
        <v>9203</v>
      </c>
      <c r="L357" s="1">
        <v>10</v>
      </c>
      <c r="M357" s="1" t="s">
        <v>52</v>
      </c>
      <c r="N357" s="1" t="s">
        <v>52</v>
      </c>
      <c r="O357" t="str">
        <f t="shared" si="20"/>
        <v>Missing date</v>
      </c>
      <c r="P357" t="str">
        <f t="shared" si="21"/>
        <v>OK</v>
      </c>
      <c r="Q357" t="str">
        <f t="shared" si="22"/>
        <v/>
      </c>
      <c r="R357" t="str">
        <f t="shared" si="23"/>
        <v>Cannot check dates</v>
      </c>
    </row>
    <row r="358" spans="1:18">
      <c r="A358" s="1" t="s">
        <v>1286</v>
      </c>
      <c r="B358" s="1" t="s">
        <v>220</v>
      </c>
      <c r="C358" s="5">
        <v>45834</v>
      </c>
      <c r="D358" s="5">
        <v>45840</v>
      </c>
      <c r="E358" s="1" t="s">
        <v>18</v>
      </c>
      <c r="F358" s="1" t="s">
        <v>83</v>
      </c>
      <c r="G358" s="1">
        <v>46</v>
      </c>
      <c r="H358" s="1" t="s">
        <v>104</v>
      </c>
      <c r="I358" s="1" t="s">
        <v>65</v>
      </c>
      <c r="J358" s="1" t="s">
        <v>32</v>
      </c>
      <c r="K358" s="1"/>
      <c r="L358" s="1">
        <v>6</v>
      </c>
      <c r="M358" s="1" t="s">
        <v>52</v>
      </c>
      <c r="N358" s="1" t="s">
        <v>33</v>
      </c>
      <c r="O358" t="str">
        <f t="shared" si="20"/>
        <v>OK</v>
      </c>
      <c r="P358" t="str">
        <f t="shared" si="21"/>
        <v>Missing cost</v>
      </c>
      <c r="Q358">
        <f t="shared" si="22"/>
        <v>6</v>
      </c>
      <c r="R358" t="str">
        <f t="shared" si="23"/>
        <v>OK</v>
      </c>
    </row>
    <row r="359" spans="1:18">
      <c r="A359" s="1" t="s">
        <v>1288</v>
      </c>
      <c r="B359" s="1" t="s">
        <v>556</v>
      </c>
      <c r="C359" s="5">
        <v>45686</v>
      </c>
      <c r="D359" s="5"/>
      <c r="E359" s="1" t="s">
        <v>120</v>
      </c>
      <c r="F359" s="1" t="s">
        <v>39</v>
      </c>
      <c r="G359" s="1">
        <v>37</v>
      </c>
      <c r="H359" s="1" t="s">
        <v>104</v>
      </c>
      <c r="I359" s="1" t="s">
        <v>127</v>
      </c>
      <c r="J359" s="1" t="s">
        <v>32</v>
      </c>
      <c r="K359" s="1">
        <v>12042</v>
      </c>
      <c r="L359" s="1" t="s">
        <v>303</v>
      </c>
      <c r="M359" s="1" t="s">
        <v>33</v>
      </c>
      <c r="N359" s="1" t="s">
        <v>33</v>
      </c>
      <c r="O359" t="str">
        <f t="shared" si="20"/>
        <v>Missing date</v>
      </c>
      <c r="P359" t="str">
        <f t="shared" si="21"/>
        <v>OK</v>
      </c>
      <c r="Q359" t="str">
        <f t="shared" si="22"/>
        <v/>
      </c>
      <c r="R359" t="str">
        <f t="shared" si="23"/>
        <v>Cannot check dates</v>
      </c>
    </row>
    <row r="360" spans="1:18">
      <c r="A360" s="1" t="s">
        <v>1290</v>
      </c>
      <c r="B360" s="1" t="s">
        <v>977</v>
      </c>
      <c r="C360" s="5">
        <v>45706</v>
      </c>
      <c r="D360" s="5">
        <v>45721</v>
      </c>
      <c r="E360" s="1" t="s">
        <v>149</v>
      </c>
      <c r="F360" s="1" t="s">
        <v>109</v>
      </c>
      <c r="G360" s="1">
        <v>37</v>
      </c>
      <c r="H360" s="1" t="s">
        <v>104</v>
      </c>
      <c r="I360" s="1" t="s">
        <v>127</v>
      </c>
      <c r="J360" s="1" t="s">
        <v>22</v>
      </c>
      <c r="K360" s="1"/>
      <c r="L360" s="1">
        <v>15</v>
      </c>
      <c r="M360" s="1" t="s">
        <v>33</v>
      </c>
      <c r="N360" s="1" t="s">
        <v>33</v>
      </c>
      <c r="O360" t="str">
        <f t="shared" si="20"/>
        <v>OK</v>
      </c>
      <c r="P360" t="str">
        <f t="shared" si="21"/>
        <v>Missing cost</v>
      </c>
      <c r="Q360">
        <f t="shared" si="22"/>
        <v>15</v>
      </c>
      <c r="R360" t="str">
        <f t="shared" si="23"/>
        <v>OK</v>
      </c>
    </row>
    <row r="361" spans="1:18">
      <c r="A361" s="1" t="s">
        <v>1291</v>
      </c>
      <c r="B361" s="1" t="s">
        <v>368</v>
      </c>
      <c r="C361" s="5">
        <v>45722</v>
      </c>
      <c r="D361" s="5">
        <v>45727</v>
      </c>
      <c r="E361" s="1" t="s">
        <v>149</v>
      </c>
      <c r="F361" s="1" t="s">
        <v>109</v>
      </c>
      <c r="G361" s="1">
        <v>76</v>
      </c>
      <c r="H361" s="1" t="s">
        <v>104</v>
      </c>
      <c r="I361" s="1" t="s">
        <v>127</v>
      </c>
      <c r="J361" s="1" t="s">
        <v>22</v>
      </c>
      <c r="K361" s="1">
        <v>5104</v>
      </c>
      <c r="L361" s="1">
        <v>5</v>
      </c>
      <c r="M361" s="1" t="s">
        <v>33</v>
      </c>
      <c r="N361" s="1" t="s">
        <v>33</v>
      </c>
      <c r="O361" t="str">
        <f t="shared" si="20"/>
        <v>OK</v>
      </c>
      <c r="P361" t="str">
        <f t="shared" si="21"/>
        <v>OK</v>
      </c>
      <c r="Q361">
        <f t="shared" si="22"/>
        <v>5</v>
      </c>
      <c r="R361" t="str">
        <f t="shared" si="23"/>
        <v>OK</v>
      </c>
    </row>
    <row r="362" spans="1:18">
      <c r="A362" s="1" t="s">
        <v>1292</v>
      </c>
      <c r="B362" s="1" t="s">
        <v>953</v>
      </c>
      <c r="C362" s="5">
        <v>45814</v>
      </c>
      <c r="D362" s="5"/>
      <c r="E362" s="1" t="s">
        <v>249</v>
      </c>
      <c r="F362" s="1" t="s">
        <v>96</v>
      </c>
      <c r="G362" s="1">
        <v>13</v>
      </c>
      <c r="H362" s="1" t="s">
        <v>84</v>
      </c>
      <c r="I362" s="1" t="s">
        <v>65</v>
      </c>
      <c r="J362" s="1" t="s">
        <v>32</v>
      </c>
      <c r="K362" s="1">
        <v>6660</v>
      </c>
      <c r="L362" s="1">
        <v>8</v>
      </c>
      <c r="M362" s="1" t="s">
        <v>52</v>
      </c>
      <c r="N362" s="1" t="s">
        <v>52</v>
      </c>
      <c r="O362" t="str">
        <f t="shared" si="20"/>
        <v>Missing date</v>
      </c>
      <c r="P362" t="str">
        <f t="shared" si="21"/>
        <v>OK</v>
      </c>
      <c r="Q362" t="str">
        <f t="shared" si="22"/>
        <v/>
      </c>
      <c r="R362" t="str">
        <f t="shared" si="23"/>
        <v>Cannot check dates</v>
      </c>
    </row>
    <row r="363" spans="1:18">
      <c r="A363" s="1" t="s">
        <v>1294</v>
      </c>
      <c r="B363" s="1" t="s">
        <v>1295</v>
      </c>
      <c r="C363" s="5">
        <v>45939</v>
      </c>
      <c r="D363" s="5">
        <v>45952</v>
      </c>
      <c r="E363" s="1" t="s">
        <v>29</v>
      </c>
      <c r="F363" s="1" t="s">
        <v>77</v>
      </c>
      <c r="G363" s="1">
        <v>29</v>
      </c>
      <c r="H363" s="1" t="s">
        <v>84</v>
      </c>
      <c r="I363" s="1" t="s">
        <v>127</v>
      </c>
      <c r="J363" s="1" t="s">
        <v>22</v>
      </c>
      <c r="K363" s="1">
        <v>7923</v>
      </c>
      <c r="L363" s="1">
        <v>13</v>
      </c>
      <c r="M363" s="1" t="s">
        <v>33</v>
      </c>
      <c r="N363" s="1" t="s">
        <v>52</v>
      </c>
      <c r="O363" t="str">
        <f t="shared" si="20"/>
        <v>OK</v>
      </c>
      <c r="P363" t="str">
        <f t="shared" si="21"/>
        <v>OK</v>
      </c>
      <c r="Q363">
        <f t="shared" si="22"/>
        <v>13</v>
      </c>
      <c r="R363" t="str">
        <f t="shared" si="23"/>
        <v>OK</v>
      </c>
    </row>
    <row r="364" spans="1:18">
      <c r="A364" s="1" t="s">
        <v>1298</v>
      </c>
      <c r="B364" s="1" t="s">
        <v>1161</v>
      </c>
      <c r="C364" s="5">
        <v>45978</v>
      </c>
      <c r="D364" s="5">
        <v>45986</v>
      </c>
      <c r="E364" s="1" t="s">
        <v>18</v>
      </c>
      <c r="F364" s="1" t="s">
        <v>83</v>
      </c>
      <c r="G364" s="1">
        <v>80</v>
      </c>
      <c r="H364" s="1" t="s">
        <v>48</v>
      </c>
      <c r="I364" s="1" t="s">
        <v>153</v>
      </c>
      <c r="J364" s="1" t="s">
        <v>22</v>
      </c>
      <c r="K364" s="1">
        <v>3064</v>
      </c>
      <c r="L364" s="1">
        <v>8</v>
      </c>
      <c r="M364" s="1" t="s">
        <v>33</v>
      </c>
      <c r="N364" s="1" t="s">
        <v>33</v>
      </c>
      <c r="O364" t="str">
        <f t="shared" si="20"/>
        <v>OK</v>
      </c>
      <c r="P364" t="str">
        <f t="shared" si="21"/>
        <v>OK</v>
      </c>
      <c r="Q364">
        <f t="shared" si="22"/>
        <v>8</v>
      </c>
      <c r="R364" t="str">
        <f t="shared" si="23"/>
        <v>OK</v>
      </c>
    </row>
    <row r="365" spans="1:18">
      <c r="A365" s="1" t="s">
        <v>1301</v>
      </c>
      <c r="B365" s="1" t="s">
        <v>319</v>
      </c>
      <c r="C365" s="5"/>
      <c r="D365" s="5">
        <v>45892</v>
      </c>
      <c r="E365" s="1" t="s">
        <v>249</v>
      </c>
      <c r="F365" s="1" t="s">
        <v>96</v>
      </c>
      <c r="G365" s="1">
        <v>13</v>
      </c>
      <c r="H365" s="1" t="s">
        <v>104</v>
      </c>
      <c r="I365" s="1" t="s">
        <v>153</v>
      </c>
      <c r="J365" s="1" t="s">
        <v>40</v>
      </c>
      <c r="K365" s="8">
        <v>4973</v>
      </c>
      <c r="L365" s="1">
        <v>7</v>
      </c>
      <c r="M365" s="1" t="s">
        <v>33</v>
      </c>
      <c r="N365" s="1" t="s">
        <v>33</v>
      </c>
      <c r="O365" t="str">
        <f t="shared" si="20"/>
        <v>Missing date</v>
      </c>
      <c r="P365" t="str">
        <f t="shared" si="21"/>
        <v>OK</v>
      </c>
      <c r="Q365" t="str">
        <f t="shared" si="22"/>
        <v/>
      </c>
      <c r="R365" t="str">
        <f t="shared" si="23"/>
        <v>Cannot check dates</v>
      </c>
    </row>
    <row r="366" spans="1:18">
      <c r="A366" s="1" t="s">
        <v>1304</v>
      </c>
      <c r="B366" s="1" t="s">
        <v>427</v>
      </c>
      <c r="C366" s="5">
        <v>45775</v>
      </c>
      <c r="D366" s="5">
        <v>45792</v>
      </c>
      <c r="E366" s="1" t="s">
        <v>125</v>
      </c>
      <c r="F366" s="1" t="s">
        <v>126</v>
      </c>
      <c r="G366" s="1">
        <v>50</v>
      </c>
      <c r="H366" s="1" t="s">
        <v>84</v>
      </c>
      <c r="I366" s="1" t="s">
        <v>49</v>
      </c>
      <c r="J366" s="1" t="s">
        <v>40</v>
      </c>
      <c r="K366" s="1">
        <v>11424</v>
      </c>
      <c r="L366" s="1">
        <v>17</v>
      </c>
      <c r="M366" s="1" t="s">
        <v>33</v>
      </c>
      <c r="N366" s="1" t="s">
        <v>33</v>
      </c>
      <c r="O366" t="str">
        <f t="shared" si="20"/>
        <v>OK</v>
      </c>
      <c r="P366" t="str">
        <f t="shared" si="21"/>
        <v>OK</v>
      </c>
      <c r="Q366">
        <f t="shared" si="22"/>
        <v>17</v>
      </c>
      <c r="R366" t="str">
        <f t="shared" si="23"/>
        <v>OK</v>
      </c>
    </row>
    <row r="367" spans="1:18">
      <c r="A367" s="1" t="s">
        <v>1305</v>
      </c>
      <c r="B367" s="1" t="s">
        <v>1306</v>
      </c>
      <c r="C367" s="5">
        <v>45945</v>
      </c>
      <c r="D367" s="5">
        <v>45961</v>
      </c>
      <c r="E367" s="1" t="s">
        <v>29</v>
      </c>
      <c r="F367" s="1" t="s">
        <v>77</v>
      </c>
      <c r="G367" s="1">
        <v>26</v>
      </c>
      <c r="H367" s="1" t="s">
        <v>84</v>
      </c>
      <c r="I367" s="1" t="s">
        <v>127</v>
      </c>
      <c r="J367" s="1" t="s">
        <v>32</v>
      </c>
      <c r="K367" s="1">
        <v>9578</v>
      </c>
      <c r="L367" s="1">
        <v>16</v>
      </c>
      <c r="M367" s="1" t="s">
        <v>52</v>
      </c>
      <c r="N367" s="1" t="s">
        <v>52</v>
      </c>
      <c r="O367" t="str">
        <f t="shared" si="20"/>
        <v>OK</v>
      </c>
      <c r="P367" t="str">
        <f t="shared" si="21"/>
        <v>OK</v>
      </c>
      <c r="Q367">
        <f t="shared" si="22"/>
        <v>16</v>
      </c>
      <c r="R367" t="str">
        <f t="shared" si="23"/>
        <v>OK</v>
      </c>
    </row>
    <row r="368" spans="1:18">
      <c r="A368" s="1" t="s">
        <v>1309</v>
      </c>
      <c r="B368" s="1" t="s">
        <v>220</v>
      </c>
      <c r="C368" s="5">
        <v>45723</v>
      </c>
      <c r="D368" s="5">
        <v>45738</v>
      </c>
      <c r="E368" s="1" t="s">
        <v>29</v>
      </c>
      <c r="F368" s="1" t="s">
        <v>77</v>
      </c>
      <c r="G368" s="1"/>
      <c r="H368" s="1" t="s">
        <v>84</v>
      </c>
      <c r="I368" s="1" t="s">
        <v>65</v>
      </c>
      <c r="J368" s="1" t="s">
        <v>32</v>
      </c>
      <c r="K368" s="1">
        <v>2560</v>
      </c>
      <c r="L368" s="1">
        <v>15</v>
      </c>
      <c r="M368" s="1" t="s">
        <v>33</v>
      </c>
      <c r="N368" s="1" t="s">
        <v>52</v>
      </c>
      <c r="O368" t="str">
        <f t="shared" si="20"/>
        <v>OK</v>
      </c>
      <c r="P368" t="str">
        <f t="shared" si="21"/>
        <v>OK</v>
      </c>
      <c r="Q368">
        <f t="shared" si="22"/>
        <v>15</v>
      </c>
      <c r="R368" t="str">
        <f t="shared" si="23"/>
        <v>OK</v>
      </c>
    </row>
    <row r="369" spans="1:18">
      <c r="A369" s="1" t="s">
        <v>1310</v>
      </c>
      <c r="B369" s="1" t="s">
        <v>217</v>
      </c>
      <c r="C369" s="5">
        <v>45865</v>
      </c>
      <c r="D369" s="5">
        <v>45878</v>
      </c>
      <c r="E369" s="1" t="s">
        <v>149</v>
      </c>
      <c r="F369" s="1" t="s">
        <v>109</v>
      </c>
      <c r="G369" s="1">
        <v>47</v>
      </c>
      <c r="H369" s="1" t="s">
        <v>84</v>
      </c>
      <c r="I369" s="1" t="s">
        <v>127</v>
      </c>
      <c r="J369" s="1" t="s">
        <v>40</v>
      </c>
      <c r="K369" s="1">
        <v>11078</v>
      </c>
      <c r="L369" s="1">
        <v>13</v>
      </c>
      <c r="M369" s="1" t="s">
        <v>33</v>
      </c>
      <c r="N369" s="1"/>
      <c r="O369" t="str">
        <f t="shared" si="20"/>
        <v>OK</v>
      </c>
      <c r="P369" t="str">
        <f t="shared" si="21"/>
        <v>OK</v>
      </c>
      <c r="Q369">
        <f t="shared" si="22"/>
        <v>13</v>
      </c>
      <c r="R369" t="str">
        <f t="shared" si="23"/>
        <v>OK</v>
      </c>
    </row>
    <row r="370" spans="1:18">
      <c r="A370" s="1" t="s">
        <v>1313</v>
      </c>
      <c r="B370" s="1" t="s">
        <v>742</v>
      </c>
      <c r="C370" s="5">
        <v>45741</v>
      </c>
      <c r="D370" s="5">
        <v>45761</v>
      </c>
      <c r="E370" s="1"/>
      <c r="F370" s="1" t="s">
        <v>39</v>
      </c>
      <c r="G370" s="1">
        <v>50</v>
      </c>
      <c r="H370" s="1" t="s">
        <v>84</v>
      </c>
      <c r="I370" s="1" t="s">
        <v>127</v>
      </c>
      <c r="J370" s="1" t="s">
        <v>22</v>
      </c>
      <c r="K370" s="1">
        <v>2453</v>
      </c>
      <c r="L370" s="1">
        <v>20</v>
      </c>
      <c r="M370" s="1" t="s">
        <v>52</v>
      </c>
      <c r="N370" s="1" t="s">
        <v>52</v>
      </c>
      <c r="O370" t="str">
        <f t="shared" si="20"/>
        <v>OK</v>
      </c>
      <c r="P370" t="str">
        <f t="shared" si="21"/>
        <v>OK</v>
      </c>
      <c r="Q370">
        <f t="shared" si="22"/>
        <v>20</v>
      </c>
      <c r="R370" t="str">
        <f t="shared" si="23"/>
        <v>OK</v>
      </c>
    </row>
    <row r="371" spans="1:18">
      <c r="A371" s="1" t="s">
        <v>1316</v>
      </c>
      <c r="B371" s="1" t="s">
        <v>1317</v>
      </c>
      <c r="C371" s="5">
        <v>45714</v>
      </c>
      <c r="D371" s="5">
        <v>45732</v>
      </c>
      <c r="E371" s="1" t="s">
        <v>249</v>
      </c>
      <c r="F371" s="1" t="s">
        <v>96</v>
      </c>
      <c r="G371" s="1">
        <v>3</v>
      </c>
      <c r="H371" s="1" t="s">
        <v>48</v>
      </c>
      <c r="I371" s="1"/>
      <c r="J371" s="1" t="s">
        <v>32</v>
      </c>
      <c r="K371" s="1">
        <v>8162</v>
      </c>
      <c r="L371" s="1">
        <v>18</v>
      </c>
      <c r="M371" s="1" t="s">
        <v>52</v>
      </c>
      <c r="N371" s="1" t="s">
        <v>52</v>
      </c>
      <c r="O371" t="str">
        <f t="shared" si="20"/>
        <v>OK</v>
      </c>
      <c r="P371" t="str">
        <f t="shared" si="21"/>
        <v>OK</v>
      </c>
      <c r="Q371">
        <f t="shared" si="22"/>
        <v>18</v>
      </c>
      <c r="R371" t="str">
        <f t="shared" si="23"/>
        <v>OK</v>
      </c>
    </row>
    <row r="372" spans="1:18">
      <c r="A372" s="1" t="s">
        <v>1319</v>
      </c>
      <c r="B372" s="1" t="s">
        <v>1320</v>
      </c>
      <c r="C372" s="5">
        <v>45930</v>
      </c>
      <c r="D372" s="5">
        <v>45950</v>
      </c>
      <c r="E372" s="1" t="s">
        <v>249</v>
      </c>
      <c r="F372" s="1" t="s">
        <v>96</v>
      </c>
      <c r="G372" s="1">
        <v>10</v>
      </c>
      <c r="H372" s="1" t="s">
        <v>104</v>
      </c>
      <c r="I372" s="1" t="s">
        <v>49</v>
      </c>
      <c r="J372" s="1" t="s">
        <v>40</v>
      </c>
      <c r="K372" s="1"/>
      <c r="L372" s="1">
        <v>20</v>
      </c>
      <c r="M372" s="1" t="s">
        <v>33</v>
      </c>
      <c r="N372" s="1" t="s">
        <v>33</v>
      </c>
      <c r="O372" t="str">
        <f t="shared" si="20"/>
        <v>OK</v>
      </c>
      <c r="P372" t="str">
        <f t="shared" si="21"/>
        <v>Missing cost</v>
      </c>
      <c r="Q372">
        <f t="shared" si="22"/>
        <v>20</v>
      </c>
      <c r="R372" t="str">
        <f t="shared" si="23"/>
        <v>OK</v>
      </c>
    </row>
    <row r="373" spans="1:18">
      <c r="A373" s="1" t="s">
        <v>1323</v>
      </c>
      <c r="B373" s="1" t="s">
        <v>794</v>
      </c>
      <c r="C373" s="5">
        <v>45724</v>
      </c>
      <c r="D373" s="5">
        <v>45734</v>
      </c>
      <c r="E373" s="1" t="s">
        <v>120</v>
      </c>
      <c r="F373" s="1" t="s">
        <v>39</v>
      </c>
      <c r="G373" s="1">
        <v>34</v>
      </c>
      <c r="H373" s="1" t="s">
        <v>48</v>
      </c>
      <c r="I373" s="1" t="s">
        <v>153</v>
      </c>
      <c r="J373" s="1" t="s">
        <v>32</v>
      </c>
      <c r="K373" s="1">
        <v>10523</v>
      </c>
      <c r="L373" s="1">
        <v>10</v>
      </c>
      <c r="M373" s="1" t="s">
        <v>52</v>
      </c>
      <c r="N373" s="1" t="s">
        <v>33</v>
      </c>
      <c r="O373" t="str">
        <f t="shared" si="20"/>
        <v>OK</v>
      </c>
      <c r="P373" t="str">
        <f t="shared" si="21"/>
        <v>OK</v>
      </c>
      <c r="Q373">
        <f t="shared" si="22"/>
        <v>10</v>
      </c>
      <c r="R373" t="str">
        <f t="shared" si="23"/>
        <v>OK</v>
      </c>
    </row>
    <row r="374" spans="1:18">
      <c r="A374" s="1" t="s">
        <v>1324</v>
      </c>
      <c r="B374" s="1" t="s">
        <v>1325</v>
      </c>
      <c r="C374" s="5">
        <v>45952</v>
      </c>
      <c r="D374" s="5">
        <v>45966</v>
      </c>
      <c r="E374" s="1" t="s">
        <v>18</v>
      </c>
      <c r="F374" s="1" t="s">
        <v>83</v>
      </c>
      <c r="G374" s="1">
        <v>80</v>
      </c>
      <c r="H374" s="1" t="s">
        <v>104</v>
      </c>
      <c r="I374" s="1" t="s">
        <v>127</v>
      </c>
      <c r="J374" s="1" t="s">
        <v>32</v>
      </c>
      <c r="K374" s="1">
        <v>-250</v>
      </c>
      <c r="L374" s="1">
        <v>14</v>
      </c>
      <c r="M374" s="1" t="s">
        <v>52</v>
      </c>
      <c r="N374" s="1" t="s">
        <v>52</v>
      </c>
      <c r="O374" t="str">
        <f t="shared" si="20"/>
        <v>OK</v>
      </c>
      <c r="P374" t="str">
        <f t="shared" si="21"/>
        <v>Negative cost</v>
      </c>
      <c r="Q374">
        <f t="shared" si="22"/>
        <v>14</v>
      </c>
      <c r="R374" t="str">
        <f t="shared" si="23"/>
        <v>OK</v>
      </c>
    </row>
    <row r="375" spans="1:18">
      <c r="A375" s="1" t="s">
        <v>1328</v>
      </c>
      <c r="B375" s="1" t="s">
        <v>1329</v>
      </c>
      <c r="C375" s="5">
        <v>45992</v>
      </c>
      <c r="D375" s="5">
        <v>46008</v>
      </c>
      <c r="E375" s="1" t="s">
        <v>18</v>
      </c>
      <c r="F375" s="1" t="s">
        <v>83</v>
      </c>
      <c r="G375" s="1">
        <v>71</v>
      </c>
      <c r="H375" s="1" t="s">
        <v>104</v>
      </c>
      <c r="I375" s="1" t="s">
        <v>127</v>
      </c>
      <c r="J375" s="1" t="s">
        <v>22</v>
      </c>
      <c r="K375" s="1">
        <v>975</v>
      </c>
      <c r="L375" s="1">
        <v>16</v>
      </c>
      <c r="M375" s="1" t="s">
        <v>33</v>
      </c>
      <c r="N375" s="1" t="s">
        <v>52</v>
      </c>
      <c r="O375" t="str">
        <f t="shared" si="20"/>
        <v>OK</v>
      </c>
      <c r="P375" t="str">
        <f t="shared" si="21"/>
        <v>OK</v>
      </c>
      <c r="Q375">
        <f t="shared" si="22"/>
        <v>16</v>
      </c>
      <c r="R375" t="str">
        <f t="shared" si="23"/>
        <v>OK</v>
      </c>
    </row>
    <row r="376" spans="1:18">
      <c r="A376" s="1" t="s">
        <v>1331</v>
      </c>
      <c r="B376" s="1" t="s">
        <v>196</v>
      </c>
      <c r="C376" s="5">
        <v>45784</v>
      </c>
      <c r="D376" s="5"/>
      <c r="E376" s="1" t="s">
        <v>249</v>
      </c>
      <c r="F376" s="1" t="s">
        <v>96</v>
      </c>
      <c r="G376" s="1">
        <v>9</v>
      </c>
      <c r="H376" s="1" t="s">
        <v>104</v>
      </c>
      <c r="I376" s="1" t="s">
        <v>153</v>
      </c>
      <c r="J376" s="1" t="s">
        <v>22</v>
      </c>
      <c r="K376" s="1"/>
      <c r="L376" s="1">
        <v>6</v>
      </c>
      <c r="M376" s="1" t="s">
        <v>52</v>
      </c>
      <c r="N376" s="1" t="s">
        <v>52</v>
      </c>
      <c r="O376" t="str">
        <f t="shared" si="20"/>
        <v>Missing date</v>
      </c>
      <c r="P376" t="str">
        <f t="shared" si="21"/>
        <v>Missing cost</v>
      </c>
      <c r="Q376" t="str">
        <f t="shared" si="22"/>
        <v/>
      </c>
      <c r="R376" t="str">
        <f t="shared" si="23"/>
        <v>Cannot check dates</v>
      </c>
    </row>
    <row r="377" spans="1:18">
      <c r="A377" s="1" t="s">
        <v>1334</v>
      </c>
      <c r="B377" s="1" t="s">
        <v>1110</v>
      </c>
      <c r="C377" s="5">
        <v>45687</v>
      </c>
      <c r="D377" s="5">
        <v>45699</v>
      </c>
      <c r="E377" s="1" t="s">
        <v>120</v>
      </c>
      <c r="F377" s="1" t="s">
        <v>39</v>
      </c>
      <c r="G377" s="1">
        <v>64</v>
      </c>
      <c r="H377" s="1" t="s">
        <v>84</v>
      </c>
      <c r="I377" s="1" t="s">
        <v>49</v>
      </c>
      <c r="J377" s="1" t="s">
        <v>22</v>
      </c>
      <c r="K377" s="1">
        <v>2841</v>
      </c>
      <c r="L377" s="1">
        <v>12</v>
      </c>
      <c r="M377" s="1" t="s">
        <v>52</v>
      </c>
      <c r="N377" s="1" t="s">
        <v>33</v>
      </c>
      <c r="O377" t="str">
        <f t="shared" si="20"/>
        <v>OK</v>
      </c>
      <c r="P377" t="str">
        <f t="shared" si="21"/>
        <v>OK</v>
      </c>
      <c r="Q377">
        <f t="shared" si="22"/>
        <v>12</v>
      </c>
      <c r="R377" t="str">
        <f t="shared" si="23"/>
        <v>OK</v>
      </c>
    </row>
    <row r="378" spans="1:18">
      <c r="A378" s="1" t="s">
        <v>1336</v>
      </c>
      <c r="B378" s="1" t="s">
        <v>61</v>
      </c>
      <c r="C378" s="5">
        <v>45717</v>
      </c>
      <c r="D378" s="5">
        <v>45736</v>
      </c>
      <c r="E378" s="1"/>
      <c r="F378" s="1" t="s">
        <v>109</v>
      </c>
      <c r="G378" s="1">
        <v>92</v>
      </c>
      <c r="H378" s="1" t="s">
        <v>104</v>
      </c>
      <c r="I378" s="1" t="s">
        <v>65</v>
      </c>
      <c r="J378" s="1" t="s">
        <v>32</v>
      </c>
      <c r="K378" s="1">
        <v>6765</v>
      </c>
      <c r="L378" s="1">
        <v>19</v>
      </c>
      <c r="M378" s="1" t="s">
        <v>33</v>
      </c>
      <c r="N378" s="1" t="s">
        <v>52</v>
      </c>
      <c r="O378" t="str">
        <f t="shared" si="20"/>
        <v>OK</v>
      </c>
      <c r="P378" t="str">
        <f t="shared" si="21"/>
        <v>OK</v>
      </c>
      <c r="Q378">
        <f t="shared" si="22"/>
        <v>19</v>
      </c>
      <c r="R378" t="str">
        <f t="shared" si="23"/>
        <v>OK</v>
      </c>
    </row>
    <row r="379" spans="1:18">
      <c r="A379" s="1" t="s">
        <v>1339</v>
      </c>
      <c r="B379" s="1" t="s">
        <v>659</v>
      </c>
      <c r="C379" s="5">
        <v>45833</v>
      </c>
      <c r="D379" s="5"/>
      <c r="E379" s="1" t="s">
        <v>18</v>
      </c>
      <c r="F379" s="1" t="s">
        <v>83</v>
      </c>
      <c r="G379" s="1">
        <v>27</v>
      </c>
      <c r="H379" s="1" t="s">
        <v>104</v>
      </c>
      <c r="I379" s="1" t="s">
        <v>65</v>
      </c>
      <c r="J379" s="1" t="s">
        <v>40</v>
      </c>
      <c r="K379" s="1">
        <v>13076</v>
      </c>
      <c r="L379" s="1">
        <v>16</v>
      </c>
      <c r="M379" s="1" t="s">
        <v>33</v>
      </c>
      <c r="N379" s="1" t="s">
        <v>52</v>
      </c>
      <c r="O379" t="str">
        <f t="shared" si="20"/>
        <v>Missing date</v>
      </c>
      <c r="P379" t="str">
        <f t="shared" si="21"/>
        <v>OK</v>
      </c>
      <c r="Q379" t="str">
        <f t="shared" si="22"/>
        <v/>
      </c>
      <c r="R379" t="str">
        <f t="shared" si="23"/>
        <v>Cannot check dates</v>
      </c>
    </row>
    <row r="380" spans="1:18">
      <c r="A380" s="1" t="s">
        <v>1341</v>
      </c>
      <c r="B380" s="1" t="s">
        <v>1342</v>
      </c>
      <c r="C380" s="5">
        <v>45706</v>
      </c>
      <c r="D380" s="5">
        <v>45722</v>
      </c>
      <c r="E380" s="1" t="s">
        <v>149</v>
      </c>
      <c r="F380" s="1" t="s">
        <v>109</v>
      </c>
      <c r="G380" s="1">
        <v>37</v>
      </c>
      <c r="H380" s="1" t="s">
        <v>84</v>
      </c>
      <c r="I380" s="1" t="s">
        <v>127</v>
      </c>
      <c r="J380" s="1" t="s">
        <v>40</v>
      </c>
      <c r="K380" s="1">
        <v>11045</v>
      </c>
      <c r="L380" s="1">
        <v>90</v>
      </c>
      <c r="M380" s="1" t="s">
        <v>33</v>
      </c>
      <c r="N380" s="1" t="s">
        <v>52</v>
      </c>
      <c r="O380" t="str">
        <f t="shared" si="20"/>
        <v>OK</v>
      </c>
      <c r="P380" t="str">
        <f t="shared" si="21"/>
        <v>OK</v>
      </c>
      <c r="Q380">
        <f t="shared" si="22"/>
        <v>16</v>
      </c>
      <c r="R380" t="str">
        <f t="shared" si="23"/>
        <v>Mismatch</v>
      </c>
    </row>
    <row r="381" spans="1:18">
      <c r="A381" s="1" t="s">
        <v>1344</v>
      </c>
      <c r="B381" s="1" t="s">
        <v>1217</v>
      </c>
      <c r="C381" s="5">
        <v>45862</v>
      </c>
      <c r="D381" s="5">
        <v>45874</v>
      </c>
      <c r="E381" s="1" t="s">
        <v>149</v>
      </c>
      <c r="F381" s="1" t="s">
        <v>109</v>
      </c>
      <c r="G381" s="1">
        <v>72</v>
      </c>
      <c r="H381" s="1" t="s">
        <v>104</v>
      </c>
      <c r="I381" s="1" t="s">
        <v>127</v>
      </c>
      <c r="J381" s="1" t="s">
        <v>40</v>
      </c>
      <c r="K381" s="1">
        <v>13951</v>
      </c>
      <c r="L381" s="1">
        <v>12</v>
      </c>
      <c r="M381" s="1" t="s">
        <v>33</v>
      </c>
      <c r="N381" s="1" t="s">
        <v>52</v>
      </c>
      <c r="O381" t="str">
        <f t="shared" si="20"/>
        <v>OK</v>
      </c>
      <c r="P381" t="str">
        <f t="shared" si="21"/>
        <v>OK</v>
      </c>
      <c r="Q381">
        <f t="shared" si="22"/>
        <v>12</v>
      </c>
      <c r="R381" t="str">
        <f t="shared" si="23"/>
        <v>OK</v>
      </c>
    </row>
    <row r="382" spans="1:18">
      <c r="A382" s="1" t="s">
        <v>1346</v>
      </c>
      <c r="B382" s="1" t="s">
        <v>212</v>
      </c>
      <c r="C382" s="5">
        <v>45777</v>
      </c>
      <c r="D382" s="5">
        <v>45780</v>
      </c>
      <c r="E382" s="1" t="s">
        <v>249</v>
      </c>
      <c r="F382" s="1" t="s">
        <v>96</v>
      </c>
      <c r="G382" s="1">
        <v>5</v>
      </c>
      <c r="H382" s="1" t="s">
        <v>84</v>
      </c>
      <c r="I382" s="1" t="s">
        <v>127</v>
      </c>
      <c r="J382" s="1" t="s">
        <v>40</v>
      </c>
      <c r="K382" s="1">
        <v>3248</v>
      </c>
      <c r="L382" s="1">
        <v>3</v>
      </c>
      <c r="M382" s="1" t="s">
        <v>33</v>
      </c>
      <c r="N382" s="1" t="s">
        <v>33</v>
      </c>
      <c r="O382" t="str">
        <f t="shared" si="20"/>
        <v>OK</v>
      </c>
      <c r="P382" t="str">
        <f t="shared" si="21"/>
        <v>OK</v>
      </c>
      <c r="Q382">
        <f t="shared" si="22"/>
        <v>3</v>
      </c>
      <c r="R382" t="str">
        <f t="shared" si="23"/>
        <v>OK</v>
      </c>
    </row>
    <row r="383" spans="1:18">
      <c r="A383" s="1" t="s">
        <v>1349</v>
      </c>
      <c r="B383" s="1" t="s">
        <v>1350</v>
      </c>
      <c r="C383" s="5">
        <v>45877</v>
      </c>
      <c r="D383" s="5">
        <v>45880</v>
      </c>
      <c r="E383" s="1" t="s">
        <v>149</v>
      </c>
      <c r="F383" s="1" t="s">
        <v>109</v>
      </c>
      <c r="G383" s="1">
        <v>86</v>
      </c>
      <c r="H383" s="1" t="s">
        <v>84</v>
      </c>
      <c r="I383" s="1" t="s">
        <v>127</v>
      </c>
      <c r="J383" s="1" t="s">
        <v>22</v>
      </c>
      <c r="K383" s="1">
        <v>11743</v>
      </c>
      <c r="L383" s="1">
        <v>3</v>
      </c>
      <c r="M383" s="1" t="s">
        <v>52</v>
      </c>
      <c r="N383" s="1" t="s">
        <v>52</v>
      </c>
      <c r="O383" t="str">
        <f t="shared" si="20"/>
        <v>OK</v>
      </c>
      <c r="P383" t="str">
        <f t="shared" si="21"/>
        <v>OK</v>
      </c>
      <c r="Q383">
        <f t="shared" si="22"/>
        <v>3</v>
      </c>
      <c r="R383" t="str">
        <f t="shared" si="23"/>
        <v>OK</v>
      </c>
    </row>
    <row r="384" spans="1:18">
      <c r="A384" s="1" t="s">
        <v>1352</v>
      </c>
      <c r="B384" s="1" t="s">
        <v>1353</v>
      </c>
      <c r="C384" s="5">
        <v>45715</v>
      </c>
      <c r="D384" s="5">
        <v>45726</v>
      </c>
      <c r="E384" s="1" t="s">
        <v>149</v>
      </c>
      <c r="F384" s="1" t="s">
        <v>109</v>
      </c>
      <c r="G384" s="1">
        <v>23</v>
      </c>
      <c r="H384" s="1" t="s">
        <v>104</v>
      </c>
      <c r="I384" s="1" t="s">
        <v>49</v>
      </c>
      <c r="J384" s="1" t="s">
        <v>22</v>
      </c>
      <c r="K384" s="8">
        <v>8181</v>
      </c>
      <c r="L384" s="1">
        <v>11</v>
      </c>
      <c r="M384" s="1" t="s">
        <v>33</v>
      </c>
      <c r="N384" s="1" t="s">
        <v>52</v>
      </c>
      <c r="O384" t="str">
        <f t="shared" si="20"/>
        <v>OK</v>
      </c>
      <c r="P384" t="str">
        <f t="shared" si="21"/>
        <v>OK</v>
      </c>
      <c r="Q384">
        <f t="shared" si="22"/>
        <v>11</v>
      </c>
      <c r="R384" t="str">
        <f t="shared" si="23"/>
        <v>OK</v>
      </c>
    </row>
    <row r="385" spans="1:18">
      <c r="A385" s="1" t="s">
        <v>1357</v>
      </c>
      <c r="B385" s="1" t="s">
        <v>299</v>
      </c>
      <c r="C385" s="5">
        <v>45932</v>
      </c>
      <c r="D385" s="5">
        <v>45950</v>
      </c>
      <c r="E385" s="1" t="s">
        <v>149</v>
      </c>
      <c r="F385" s="1" t="s">
        <v>109</v>
      </c>
      <c r="G385" s="1">
        <v>90</v>
      </c>
      <c r="H385" s="1"/>
      <c r="I385" s="1" t="s">
        <v>65</v>
      </c>
      <c r="J385" s="1" t="s">
        <v>40</v>
      </c>
      <c r="K385" s="1">
        <v>14374</v>
      </c>
      <c r="L385" s="1">
        <v>18</v>
      </c>
      <c r="M385" s="1" t="s">
        <v>52</v>
      </c>
      <c r="N385" s="1" t="s">
        <v>52</v>
      </c>
      <c r="O385" t="str">
        <f t="shared" si="20"/>
        <v>OK</v>
      </c>
      <c r="P385" t="str">
        <f t="shared" si="21"/>
        <v>OK</v>
      </c>
      <c r="Q385">
        <f t="shared" si="22"/>
        <v>18</v>
      </c>
      <c r="R385" t="str">
        <f t="shared" si="23"/>
        <v>OK</v>
      </c>
    </row>
    <row r="386" spans="1:18">
      <c r="A386" s="1" t="s">
        <v>1358</v>
      </c>
      <c r="B386" s="1" t="s">
        <v>1161</v>
      </c>
      <c r="C386" s="5">
        <v>45938</v>
      </c>
      <c r="D386" s="5">
        <v>45940</v>
      </c>
      <c r="E386" s="1" t="s">
        <v>120</v>
      </c>
      <c r="F386" s="1" t="s">
        <v>39</v>
      </c>
      <c r="G386" s="1">
        <v>31</v>
      </c>
      <c r="H386" s="1" t="s">
        <v>84</v>
      </c>
      <c r="I386" s="1" t="s">
        <v>49</v>
      </c>
      <c r="J386" s="1" t="s">
        <v>22</v>
      </c>
      <c r="K386" s="1"/>
      <c r="L386" s="1">
        <v>2</v>
      </c>
      <c r="M386" s="1" t="s">
        <v>52</v>
      </c>
      <c r="N386" s="1" t="s">
        <v>33</v>
      </c>
      <c r="O386" t="str">
        <f t="shared" si="20"/>
        <v>OK</v>
      </c>
      <c r="P386" t="str">
        <f t="shared" si="21"/>
        <v>Missing cost</v>
      </c>
      <c r="Q386">
        <f t="shared" si="22"/>
        <v>2</v>
      </c>
      <c r="R386" t="str">
        <f t="shared" si="23"/>
        <v>OK</v>
      </c>
    </row>
    <row r="387" spans="1:18">
      <c r="A387" s="1" t="s">
        <v>1360</v>
      </c>
      <c r="B387" s="1" t="s">
        <v>872</v>
      </c>
      <c r="C387" s="5">
        <v>45840</v>
      </c>
      <c r="D387" s="5">
        <v>45843</v>
      </c>
      <c r="E387" s="1" t="s">
        <v>249</v>
      </c>
      <c r="F387" s="1" t="s">
        <v>96</v>
      </c>
      <c r="G387" s="1">
        <v>5</v>
      </c>
      <c r="H387" s="1" t="s">
        <v>104</v>
      </c>
      <c r="I387" s="1" t="s">
        <v>65</v>
      </c>
      <c r="J387" s="1" t="s">
        <v>40</v>
      </c>
      <c r="K387" s="1">
        <v>1074</v>
      </c>
      <c r="L387" s="1">
        <v>3</v>
      </c>
      <c r="M387" s="1" t="s">
        <v>52</v>
      </c>
      <c r="N387" s="1" t="s">
        <v>52</v>
      </c>
      <c r="O387" t="str">
        <f t="shared" ref="O387:O450" si="24">IF(OR(C387="",D387=""),"Missing date",IF(D387&lt;C387,"Check dates","OK"))</f>
        <v>OK</v>
      </c>
      <c r="P387" t="str">
        <f t="shared" ref="P387:P450" si="25">IF(K387="","Missing cost",IF(ISNUMBER(K387),IF(K387&lt;0,"Negative cost",IF(K387&gt;100000,"Review high cost","OK")),"Check format"))</f>
        <v>OK</v>
      </c>
      <c r="Q387">
        <f t="shared" ref="Q387:Q450" si="26">IF(AND(ISNUMBER(C387),ISNUMBER(D387)),IF(D387&gt;=C387,D387-C387,""),"")</f>
        <v>3</v>
      </c>
      <c r="R387" t="str">
        <f t="shared" ref="R387:R450" si="27">IF(Q387="","Cannot check dates",IF(L387="","Missing recorded stay",IF(ISNUMBER(L387),IF(L387=Q387,"OK","Mismatch"),"Check format")))</f>
        <v>OK</v>
      </c>
    </row>
    <row r="388" spans="1:18">
      <c r="A388" s="1" t="s">
        <v>1362</v>
      </c>
      <c r="B388" s="1" t="s">
        <v>469</v>
      </c>
      <c r="C388" s="5">
        <v>45904</v>
      </c>
      <c r="D388" s="5">
        <v>45916</v>
      </c>
      <c r="E388" s="1" t="s">
        <v>29</v>
      </c>
      <c r="F388" s="1" t="s">
        <v>77</v>
      </c>
      <c r="G388" s="1">
        <v>86</v>
      </c>
      <c r="H388" s="1" t="s">
        <v>84</v>
      </c>
      <c r="I388" s="1"/>
      <c r="J388" s="1" t="s">
        <v>32</v>
      </c>
      <c r="K388" s="8">
        <v>4433</v>
      </c>
      <c r="L388" s="1">
        <v>12</v>
      </c>
      <c r="M388" s="1" t="s">
        <v>33</v>
      </c>
      <c r="N388" s="1" t="s">
        <v>33</v>
      </c>
      <c r="O388" t="str">
        <f t="shared" si="24"/>
        <v>OK</v>
      </c>
      <c r="P388" t="str">
        <f t="shared" si="25"/>
        <v>OK</v>
      </c>
      <c r="Q388">
        <f t="shared" si="26"/>
        <v>12</v>
      </c>
      <c r="R388" t="str">
        <f t="shared" si="27"/>
        <v>OK</v>
      </c>
    </row>
    <row r="389" spans="1:18">
      <c r="A389" s="1" t="s">
        <v>1364</v>
      </c>
      <c r="B389" s="1" t="s">
        <v>1083</v>
      </c>
      <c r="C389" s="5">
        <v>45895</v>
      </c>
      <c r="D389" s="5">
        <v>45909</v>
      </c>
      <c r="E389" s="1" t="s">
        <v>18</v>
      </c>
      <c r="F389" s="1" t="s">
        <v>83</v>
      </c>
      <c r="G389" s="1">
        <v>35</v>
      </c>
      <c r="H389" s="1" t="s">
        <v>84</v>
      </c>
      <c r="I389" s="1" t="s">
        <v>49</v>
      </c>
      <c r="J389" s="1" t="s">
        <v>40</v>
      </c>
      <c r="K389" s="1">
        <v>11549</v>
      </c>
      <c r="L389" s="1">
        <v>14</v>
      </c>
      <c r="M389" s="1" t="s">
        <v>52</v>
      </c>
      <c r="N389" s="1" t="s">
        <v>33</v>
      </c>
      <c r="O389" t="str">
        <f t="shared" si="24"/>
        <v>OK</v>
      </c>
      <c r="P389" t="str">
        <f t="shared" si="25"/>
        <v>OK</v>
      </c>
      <c r="Q389">
        <f t="shared" si="26"/>
        <v>14</v>
      </c>
      <c r="R389" t="str">
        <f t="shared" si="27"/>
        <v>OK</v>
      </c>
    </row>
    <row r="390" spans="1:18">
      <c r="A390" s="1" t="s">
        <v>1367</v>
      </c>
      <c r="B390" s="1" t="s">
        <v>1203</v>
      </c>
      <c r="C390" s="5">
        <v>45908</v>
      </c>
      <c r="D390" s="5">
        <v>45923</v>
      </c>
      <c r="E390" s="1" t="s">
        <v>249</v>
      </c>
      <c r="F390" s="1" t="s">
        <v>96</v>
      </c>
      <c r="G390" s="1"/>
      <c r="H390" s="1" t="s">
        <v>104</v>
      </c>
      <c r="I390" s="1" t="s">
        <v>153</v>
      </c>
      <c r="J390" s="1" t="s">
        <v>32</v>
      </c>
      <c r="K390" s="1">
        <v>11072</v>
      </c>
      <c r="L390" s="1">
        <v>15</v>
      </c>
      <c r="M390" s="1" t="s">
        <v>33</v>
      </c>
      <c r="N390" s="1" t="s">
        <v>33</v>
      </c>
      <c r="O390" t="str">
        <f t="shared" si="24"/>
        <v>OK</v>
      </c>
      <c r="P390" t="str">
        <f t="shared" si="25"/>
        <v>OK</v>
      </c>
      <c r="Q390">
        <f t="shared" si="26"/>
        <v>15</v>
      </c>
      <c r="R390" t="str">
        <f t="shared" si="27"/>
        <v>OK</v>
      </c>
    </row>
    <row r="391" spans="1:18">
      <c r="A391" s="1" t="s">
        <v>1370</v>
      </c>
      <c r="B391" s="1" t="s">
        <v>713</v>
      </c>
      <c r="C391" s="5">
        <v>45993</v>
      </c>
      <c r="D391" s="5"/>
      <c r="E391" s="1" t="s">
        <v>249</v>
      </c>
      <c r="F391" s="1" t="s">
        <v>96</v>
      </c>
      <c r="G391" s="1">
        <v>14</v>
      </c>
      <c r="H391" s="1" t="s">
        <v>84</v>
      </c>
      <c r="I391" s="1" t="s">
        <v>65</v>
      </c>
      <c r="J391" s="1" t="s">
        <v>22</v>
      </c>
      <c r="K391" s="1">
        <v>7169</v>
      </c>
      <c r="L391" s="1">
        <v>13</v>
      </c>
      <c r="M391" s="1" t="s">
        <v>33</v>
      </c>
      <c r="N391" s="1" t="s">
        <v>52</v>
      </c>
      <c r="O391" t="str">
        <f t="shared" si="24"/>
        <v>Missing date</v>
      </c>
      <c r="P391" t="str">
        <f t="shared" si="25"/>
        <v>OK</v>
      </c>
      <c r="Q391" t="str">
        <f t="shared" si="26"/>
        <v/>
      </c>
      <c r="R391" t="str">
        <f t="shared" si="27"/>
        <v>Cannot check dates</v>
      </c>
    </row>
    <row r="392" spans="1:18">
      <c r="A392" s="1" t="s">
        <v>1372</v>
      </c>
      <c r="B392" s="1" t="s">
        <v>292</v>
      </c>
      <c r="C392" s="5">
        <v>45975</v>
      </c>
      <c r="D392" s="5"/>
      <c r="E392" s="1" t="s">
        <v>18</v>
      </c>
      <c r="F392" s="1" t="s">
        <v>83</v>
      </c>
      <c r="G392" s="1">
        <v>63</v>
      </c>
      <c r="H392" s="1" t="s">
        <v>84</v>
      </c>
      <c r="I392" s="1" t="s">
        <v>127</v>
      </c>
      <c r="J392" s="1" t="s">
        <v>32</v>
      </c>
      <c r="K392" s="1">
        <v>6098</v>
      </c>
      <c r="L392" s="1">
        <v>16</v>
      </c>
      <c r="M392" s="1" t="s">
        <v>33</v>
      </c>
      <c r="N392" s="1" t="s">
        <v>52</v>
      </c>
      <c r="O392" t="str">
        <f t="shared" si="24"/>
        <v>Missing date</v>
      </c>
      <c r="P392" t="str">
        <f t="shared" si="25"/>
        <v>OK</v>
      </c>
      <c r="Q392" t="str">
        <f t="shared" si="26"/>
        <v/>
      </c>
      <c r="R392" t="str">
        <f t="shared" si="27"/>
        <v>Cannot check dates</v>
      </c>
    </row>
    <row r="393" spans="1:18">
      <c r="A393" s="1" t="s">
        <v>1374</v>
      </c>
      <c r="B393" s="1" t="s">
        <v>1267</v>
      </c>
      <c r="C393" s="5">
        <v>45715</v>
      </c>
      <c r="D393" s="5">
        <v>45718</v>
      </c>
      <c r="E393" s="1" t="s">
        <v>120</v>
      </c>
      <c r="F393" s="1" t="s">
        <v>39</v>
      </c>
      <c r="G393" s="1">
        <v>86</v>
      </c>
      <c r="H393" s="1" t="s">
        <v>104</v>
      </c>
      <c r="I393" s="1" t="s">
        <v>49</v>
      </c>
      <c r="J393" s="1" t="s">
        <v>32</v>
      </c>
      <c r="K393" s="1"/>
      <c r="L393" s="1">
        <v>3</v>
      </c>
      <c r="M393" s="1" t="s">
        <v>33</v>
      </c>
      <c r="N393" s="1" t="s">
        <v>52</v>
      </c>
      <c r="O393" t="str">
        <f t="shared" si="24"/>
        <v>OK</v>
      </c>
      <c r="P393" t="str">
        <f t="shared" si="25"/>
        <v>Missing cost</v>
      </c>
      <c r="Q393">
        <f t="shared" si="26"/>
        <v>3</v>
      </c>
      <c r="R393" t="str">
        <f t="shared" si="27"/>
        <v>OK</v>
      </c>
    </row>
    <row r="394" spans="1:18">
      <c r="A394" s="1" t="s">
        <v>1375</v>
      </c>
      <c r="B394" s="1" t="s">
        <v>1376</v>
      </c>
      <c r="C394" s="5">
        <v>45902</v>
      </c>
      <c r="D394" s="5">
        <v>45912</v>
      </c>
      <c r="E394" s="1" t="s">
        <v>120</v>
      </c>
      <c r="F394" s="1" t="s">
        <v>39</v>
      </c>
      <c r="G394" s="1">
        <v>71</v>
      </c>
      <c r="H394" s="1" t="s">
        <v>104</v>
      </c>
      <c r="I394" s="1" t="s">
        <v>65</v>
      </c>
      <c r="J394" s="1" t="s">
        <v>32</v>
      </c>
      <c r="K394" s="1">
        <v>1362</v>
      </c>
      <c r="L394" s="1">
        <v>10</v>
      </c>
      <c r="M394" s="1" t="s">
        <v>33</v>
      </c>
      <c r="N394" s="1" t="s">
        <v>52</v>
      </c>
      <c r="O394" t="str">
        <f t="shared" si="24"/>
        <v>OK</v>
      </c>
      <c r="P394" t="str">
        <f t="shared" si="25"/>
        <v>OK</v>
      </c>
      <c r="Q394">
        <f t="shared" si="26"/>
        <v>10</v>
      </c>
      <c r="R394" t="str">
        <f t="shared" si="27"/>
        <v>OK</v>
      </c>
    </row>
    <row r="395" spans="1:18">
      <c r="A395" s="1" t="s">
        <v>1379</v>
      </c>
      <c r="B395" s="1" t="s">
        <v>1380</v>
      </c>
      <c r="C395" s="5">
        <v>45730</v>
      </c>
      <c r="D395" s="5">
        <v>45732</v>
      </c>
      <c r="E395" s="1" t="s">
        <v>120</v>
      </c>
      <c r="F395" s="1" t="s">
        <v>39</v>
      </c>
      <c r="G395" s="1">
        <v>25</v>
      </c>
      <c r="H395" s="1" t="s">
        <v>84</v>
      </c>
      <c r="I395" s="1" t="s">
        <v>65</v>
      </c>
      <c r="J395" s="1" t="s">
        <v>22</v>
      </c>
      <c r="K395" s="1">
        <v>12355</v>
      </c>
      <c r="L395" s="1"/>
      <c r="M395" s="1" t="s">
        <v>33</v>
      </c>
      <c r="N395" s="1" t="s">
        <v>33</v>
      </c>
      <c r="O395" t="str">
        <f t="shared" si="24"/>
        <v>OK</v>
      </c>
      <c r="P395" t="str">
        <f t="shared" si="25"/>
        <v>OK</v>
      </c>
      <c r="Q395">
        <f t="shared" si="26"/>
        <v>2</v>
      </c>
      <c r="R395" t="str">
        <f t="shared" si="27"/>
        <v>Missing recorded stay</v>
      </c>
    </row>
    <row r="396" spans="1:18">
      <c r="A396" s="1" t="s">
        <v>1382</v>
      </c>
      <c r="B396" s="1" t="s">
        <v>151</v>
      </c>
      <c r="C396" s="5">
        <v>45847</v>
      </c>
      <c r="D396" s="5">
        <v>45860</v>
      </c>
      <c r="E396" s="1" t="s">
        <v>249</v>
      </c>
      <c r="F396" s="1" t="s">
        <v>96</v>
      </c>
      <c r="G396" s="1">
        <v>8</v>
      </c>
      <c r="H396" s="1" t="s">
        <v>104</v>
      </c>
      <c r="I396" s="1" t="s">
        <v>153</v>
      </c>
      <c r="J396" s="1" t="s">
        <v>22</v>
      </c>
      <c r="K396" s="1">
        <v>9977</v>
      </c>
      <c r="L396" s="1">
        <v>13</v>
      </c>
      <c r="M396" s="1" t="s">
        <v>52</v>
      </c>
      <c r="N396" s="1" t="s">
        <v>52</v>
      </c>
      <c r="O396" t="str">
        <f t="shared" si="24"/>
        <v>OK</v>
      </c>
      <c r="P396" t="str">
        <f t="shared" si="25"/>
        <v>OK</v>
      </c>
      <c r="Q396">
        <f t="shared" si="26"/>
        <v>13</v>
      </c>
      <c r="R396" t="str">
        <f t="shared" si="27"/>
        <v>OK</v>
      </c>
    </row>
    <row r="397" spans="1:18">
      <c r="A397" s="1" t="s">
        <v>1383</v>
      </c>
      <c r="B397" s="1" t="s">
        <v>727</v>
      </c>
      <c r="C397" s="5">
        <v>45678</v>
      </c>
      <c r="D397" s="5">
        <v>45682</v>
      </c>
      <c r="E397" s="1" t="s">
        <v>149</v>
      </c>
      <c r="F397" s="1" t="s">
        <v>109</v>
      </c>
      <c r="G397" s="1">
        <v>87</v>
      </c>
      <c r="H397" s="1" t="s">
        <v>84</v>
      </c>
      <c r="I397" s="1" t="s">
        <v>153</v>
      </c>
      <c r="J397" s="1" t="s">
        <v>22</v>
      </c>
      <c r="K397" s="1">
        <v>-250</v>
      </c>
      <c r="L397" s="1">
        <v>4</v>
      </c>
      <c r="M397" s="1" t="s">
        <v>52</v>
      </c>
      <c r="N397" s="1" t="s">
        <v>33</v>
      </c>
      <c r="O397" t="str">
        <f t="shared" si="24"/>
        <v>OK</v>
      </c>
      <c r="P397" t="str">
        <f t="shared" si="25"/>
        <v>Negative cost</v>
      </c>
      <c r="Q397">
        <f t="shared" si="26"/>
        <v>4</v>
      </c>
      <c r="R397" t="str">
        <f t="shared" si="27"/>
        <v>OK</v>
      </c>
    </row>
    <row r="398" spans="1:18">
      <c r="A398" s="1" t="s">
        <v>1386</v>
      </c>
      <c r="B398" s="1" t="s">
        <v>896</v>
      </c>
      <c r="C398" s="5"/>
      <c r="D398" s="5">
        <v>45807</v>
      </c>
      <c r="E398" s="1" t="s">
        <v>149</v>
      </c>
      <c r="F398" s="1" t="s">
        <v>109</v>
      </c>
      <c r="G398" s="1">
        <v>23</v>
      </c>
      <c r="H398" s="1" t="s">
        <v>84</v>
      </c>
      <c r="I398" s="1" t="s">
        <v>65</v>
      </c>
      <c r="J398" s="1" t="s">
        <v>32</v>
      </c>
      <c r="K398" s="1">
        <v>8036</v>
      </c>
      <c r="L398" s="1">
        <v>3</v>
      </c>
      <c r="M398" s="1" t="s">
        <v>33</v>
      </c>
      <c r="N398" s="1" t="s">
        <v>33</v>
      </c>
      <c r="O398" t="str">
        <f t="shared" si="24"/>
        <v>Missing date</v>
      </c>
      <c r="P398" t="str">
        <f t="shared" si="25"/>
        <v>OK</v>
      </c>
      <c r="Q398" t="str">
        <f t="shared" si="26"/>
        <v/>
      </c>
      <c r="R398" t="str">
        <f t="shared" si="27"/>
        <v>Cannot check dates</v>
      </c>
    </row>
    <row r="399" spans="1:18">
      <c r="A399" s="1" t="s">
        <v>1389</v>
      </c>
      <c r="B399" s="1" t="s">
        <v>1317</v>
      </c>
      <c r="C399" s="5">
        <v>45790</v>
      </c>
      <c r="D399" s="5">
        <v>45795</v>
      </c>
      <c r="E399" s="1" t="s">
        <v>120</v>
      </c>
      <c r="F399" s="1" t="s">
        <v>39</v>
      </c>
      <c r="G399" s="1">
        <v>54</v>
      </c>
      <c r="H399" s="1" t="s">
        <v>48</v>
      </c>
      <c r="I399" s="1" t="s">
        <v>49</v>
      </c>
      <c r="J399" s="1" t="s">
        <v>40</v>
      </c>
      <c r="K399" s="1">
        <v>1347</v>
      </c>
      <c r="L399" s="1">
        <v>5</v>
      </c>
      <c r="M399" s="1" t="s">
        <v>33</v>
      </c>
      <c r="N399" s="1" t="s">
        <v>52</v>
      </c>
      <c r="O399" t="str">
        <f t="shared" si="24"/>
        <v>OK</v>
      </c>
      <c r="P399" t="str">
        <f t="shared" si="25"/>
        <v>OK</v>
      </c>
      <c r="Q399">
        <f t="shared" si="26"/>
        <v>5</v>
      </c>
      <c r="R399" t="str">
        <f t="shared" si="27"/>
        <v>OK</v>
      </c>
    </row>
    <row r="400" spans="1:18">
      <c r="A400" s="1" t="s">
        <v>1391</v>
      </c>
      <c r="B400" s="1" t="s">
        <v>921</v>
      </c>
      <c r="C400" s="5">
        <v>45878</v>
      </c>
      <c r="D400" s="5">
        <v>45888</v>
      </c>
      <c r="E400" s="1" t="s">
        <v>249</v>
      </c>
      <c r="F400" s="1" t="s">
        <v>96</v>
      </c>
      <c r="G400" s="1">
        <v>17</v>
      </c>
      <c r="H400" s="1" t="s">
        <v>104</v>
      </c>
      <c r="I400" s="1" t="s">
        <v>127</v>
      </c>
      <c r="J400" s="1" t="s">
        <v>22</v>
      </c>
      <c r="K400" s="1">
        <v>11395</v>
      </c>
      <c r="L400" s="1">
        <v>10</v>
      </c>
      <c r="M400" s="1" t="s">
        <v>33</v>
      </c>
      <c r="N400" s="1" t="s">
        <v>33</v>
      </c>
      <c r="O400" t="str">
        <f t="shared" si="24"/>
        <v>OK</v>
      </c>
      <c r="P400" t="str">
        <f t="shared" si="25"/>
        <v>OK</v>
      </c>
      <c r="Q400">
        <f t="shared" si="26"/>
        <v>10</v>
      </c>
      <c r="R400" t="str">
        <f t="shared" si="27"/>
        <v>OK</v>
      </c>
    </row>
    <row r="401" spans="1:18">
      <c r="A401" s="1" t="s">
        <v>1393</v>
      </c>
      <c r="B401" s="1" t="s">
        <v>378</v>
      </c>
      <c r="C401" s="5"/>
      <c r="D401" s="5">
        <v>45713</v>
      </c>
      <c r="E401" s="1" t="s">
        <v>125</v>
      </c>
      <c r="F401" s="1" t="s">
        <v>126</v>
      </c>
      <c r="G401" s="1">
        <v>66</v>
      </c>
      <c r="H401" s="1" t="s">
        <v>48</v>
      </c>
      <c r="I401" s="1" t="s">
        <v>65</v>
      </c>
      <c r="J401" s="1" t="s">
        <v>40</v>
      </c>
      <c r="K401" s="1">
        <v>7655</v>
      </c>
      <c r="L401" s="1">
        <v>4</v>
      </c>
      <c r="M401" s="1" t="s">
        <v>33</v>
      </c>
      <c r="N401" s="1" t="s">
        <v>33</v>
      </c>
      <c r="O401" t="str">
        <f t="shared" si="24"/>
        <v>Missing date</v>
      </c>
      <c r="P401" t="str">
        <f t="shared" si="25"/>
        <v>OK</v>
      </c>
      <c r="Q401" t="str">
        <f t="shared" si="26"/>
        <v/>
      </c>
      <c r="R401" t="str">
        <f t="shared" si="27"/>
        <v>Cannot check dates</v>
      </c>
    </row>
    <row r="402" spans="1:18">
      <c r="A402" s="1" t="s">
        <v>1396</v>
      </c>
      <c r="B402" s="1" t="s">
        <v>1397</v>
      </c>
      <c r="C402" s="5">
        <v>45714</v>
      </c>
      <c r="D402" s="5">
        <v>45734</v>
      </c>
      <c r="E402" s="1" t="s">
        <v>149</v>
      </c>
      <c r="F402" s="1" t="s">
        <v>109</v>
      </c>
      <c r="G402" s="1">
        <v>46</v>
      </c>
      <c r="H402" s="1" t="s">
        <v>104</v>
      </c>
      <c r="I402" s="1" t="s">
        <v>127</v>
      </c>
      <c r="J402" s="1" t="s">
        <v>22</v>
      </c>
      <c r="K402" s="1">
        <v>2071</v>
      </c>
      <c r="L402" s="1">
        <v>20</v>
      </c>
      <c r="M402" s="1" t="s">
        <v>52</v>
      </c>
      <c r="N402" s="1" t="s">
        <v>52</v>
      </c>
      <c r="O402" t="str">
        <f t="shared" si="24"/>
        <v>OK</v>
      </c>
      <c r="P402" t="str">
        <f t="shared" si="25"/>
        <v>OK</v>
      </c>
      <c r="Q402">
        <f t="shared" si="26"/>
        <v>20</v>
      </c>
      <c r="R402" t="str">
        <f t="shared" si="27"/>
        <v>OK</v>
      </c>
    </row>
    <row r="403" spans="1:18">
      <c r="A403" s="1" t="s">
        <v>1399</v>
      </c>
      <c r="B403" s="1" t="s">
        <v>1004</v>
      </c>
      <c r="C403" s="5">
        <v>45760</v>
      </c>
      <c r="D403" s="5"/>
      <c r="E403" s="1" t="s">
        <v>149</v>
      </c>
      <c r="F403" s="1" t="s">
        <v>109</v>
      </c>
      <c r="G403" s="1"/>
      <c r="H403" s="1" t="s">
        <v>84</v>
      </c>
      <c r="I403" s="1" t="s">
        <v>49</v>
      </c>
      <c r="J403" s="1" t="s">
        <v>32</v>
      </c>
      <c r="K403" s="1">
        <v>5982</v>
      </c>
      <c r="L403" s="1">
        <v>15</v>
      </c>
      <c r="M403" s="1" t="s">
        <v>33</v>
      </c>
      <c r="N403" s="1" t="s">
        <v>52</v>
      </c>
      <c r="O403" t="str">
        <f t="shared" si="24"/>
        <v>Missing date</v>
      </c>
      <c r="P403" t="str">
        <f t="shared" si="25"/>
        <v>OK</v>
      </c>
      <c r="Q403" t="str">
        <f t="shared" si="26"/>
        <v/>
      </c>
      <c r="R403" t="str">
        <f t="shared" si="27"/>
        <v>Cannot check dates</v>
      </c>
    </row>
    <row r="404" spans="1:18">
      <c r="A404" s="1" t="s">
        <v>1401</v>
      </c>
      <c r="B404" s="1" t="s">
        <v>750</v>
      </c>
      <c r="C404" s="5">
        <v>45865</v>
      </c>
      <c r="D404" s="5">
        <v>45880</v>
      </c>
      <c r="E404" s="1" t="s">
        <v>125</v>
      </c>
      <c r="F404" s="1" t="s">
        <v>126</v>
      </c>
      <c r="G404" s="1">
        <v>21</v>
      </c>
      <c r="H404" s="1" t="s">
        <v>48</v>
      </c>
      <c r="I404" s="1" t="s">
        <v>49</v>
      </c>
      <c r="J404" s="1" t="s">
        <v>22</v>
      </c>
      <c r="K404" s="1">
        <v>3529</v>
      </c>
      <c r="L404" s="1">
        <v>15</v>
      </c>
      <c r="M404" s="1" t="s">
        <v>33</v>
      </c>
      <c r="N404" s="1" t="s">
        <v>33</v>
      </c>
      <c r="O404" t="str">
        <f t="shared" si="24"/>
        <v>OK</v>
      </c>
      <c r="P404" t="str">
        <f t="shared" si="25"/>
        <v>OK</v>
      </c>
      <c r="Q404">
        <f t="shared" si="26"/>
        <v>15</v>
      </c>
      <c r="R404" t="str">
        <f t="shared" si="27"/>
        <v>OK</v>
      </c>
    </row>
    <row r="405" spans="1:18">
      <c r="A405" s="1" t="s">
        <v>1403</v>
      </c>
      <c r="B405" s="1" t="s">
        <v>1404</v>
      </c>
      <c r="C405" s="5">
        <v>45936</v>
      </c>
      <c r="D405" s="5">
        <v>45948</v>
      </c>
      <c r="E405" s="1" t="s">
        <v>18</v>
      </c>
      <c r="F405" s="1" t="s">
        <v>83</v>
      </c>
      <c r="G405" s="1">
        <v>51</v>
      </c>
      <c r="H405" s="1" t="s">
        <v>104</v>
      </c>
      <c r="I405" s="1" t="s">
        <v>65</v>
      </c>
      <c r="J405" s="1" t="s">
        <v>40</v>
      </c>
      <c r="K405" s="1">
        <v>3709</v>
      </c>
      <c r="L405" s="1">
        <v>12</v>
      </c>
      <c r="M405" s="1" t="s">
        <v>33</v>
      </c>
      <c r="N405" s="1" t="s">
        <v>33</v>
      </c>
      <c r="O405" t="str">
        <f t="shared" si="24"/>
        <v>OK</v>
      </c>
      <c r="P405" t="str">
        <f t="shared" si="25"/>
        <v>OK</v>
      </c>
      <c r="Q405">
        <f t="shared" si="26"/>
        <v>12</v>
      </c>
      <c r="R405" t="str">
        <f t="shared" si="27"/>
        <v>OK</v>
      </c>
    </row>
    <row r="406" spans="1:18">
      <c r="A406" s="1" t="s">
        <v>1408</v>
      </c>
      <c r="B406" s="1" t="s">
        <v>953</v>
      </c>
      <c r="C406" s="5">
        <v>45748</v>
      </c>
      <c r="D406" s="5">
        <v>45758</v>
      </c>
      <c r="E406" s="1" t="s">
        <v>149</v>
      </c>
      <c r="F406" s="1" t="s">
        <v>109</v>
      </c>
      <c r="G406" s="1">
        <v>36</v>
      </c>
      <c r="H406" s="1"/>
      <c r="I406" s="1" t="s">
        <v>127</v>
      </c>
      <c r="J406" s="1" t="s">
        <v>32</v>
      </c>
      <c r="K406" s="1">
        <v>3248</v>
      </c>
      <c r="L406" s="1">
        <v>10</v>
      </c>
      <c r="M406" s="1" t="s">
        <v>52</v>
      </c>
      <c r="N406" s="1" t="s">
        <v>33</v>
      </c>
      <c r="O406" t="str">
        <f t="shared" si="24"/>
        <v>OK</v>
      </c>
      <c r="P406" t="str">
        <f t="shared" si="25"/>
        <v>OK</v>
      </c>
      <c r="Q406">
        <f t="shared" si="26"/>
        <v>10</v>
      </c>
      <c r="R406" t="str">
        <f t="shared" si="27"/>
        <v>OK</v>
      </c>
    </row>
    <row r="407" spans="1:18">
      <c r="A407" s="1" t="s">
        <v>1411</v>
      </c>
      <c r="B407" s="1" t="s">
        <v>1412</v>
      </c>
      <c r="C407" s="5">
        <v>45705</v>
      </c>
      <c r="D407" s="5">
        <v>45716</v>
      </c>
      <c r="E407" s="1" t="s">
        <v>120</v>
      </c>
      <c r="F407" s="1" t="s">
        <v>39</v>
      </c>
      <c r="G407" s="1">
        <v>61</v>
      </c>
      <c r="H407" s="1" t="s">
        <v>84</v>
      </c>
      <c r="I407" s="1" t="s">
        <v>127</v>
      </c>
      <c r="J407" s="1" t="s">
        <v>22</v>
      </c>
      <c r="K407" s="1">
        <v>4256</v>
      </c>
      <c r="L407" s="1">
        <v>11</v>
      </c>
      <c r="M407" s="1" t="s">
        <v>33</v>
      </c>
      <c r="N407" s="1" t="s">
        <v>52</v>
      </c>
      <c r="O407" t="str">
        <f t="shared" si="24"/>
        <v>OK</v>
      </c>
      <c r="P407" t="str">
        <f t="shared" si="25"/>
        <v>OK</v>
      </c>
      <c r="Q407">
        <f t="shared" si="26"/>
        <v>11</v>
      </c>
      <c r="R407" t="str">
        <f t="shared" si="27"/>
        <v>OK</v>
      </c>
    </row>
    <row r="408" spans="1:18">
      <c r="A408" s="1" t="s">
        <v>1414</v>
      </c>
      <c r="B408" s="1" t="s">
        <v>1415</v>
      </c>
      <c r="C408" s="5">
        <v>45978</v>
      </c>
      <c r="D408" s="5">
        <v>45996</v>
      </c>
      <c r="E408" s="1" t="s">
        <v>149</v>
      </c>
      <c r="F408" s="1" t="s">
        <v>109</v>
      </c>
      <c r="G408" s="1">
        <v>55</v>
      </c>
      <c r="H408" s="1" t="s">
        <v>48</v>
      </c>
      <c r="I408" s="1" t="s">
        <v>127</v>
      </c>
      <c r="J408" s="1" t="s">
        <v>32</v>
      </c>
      <c r="K408" s="1"/>
      <c r="L408" s="1">
        <v>18</v>
      </c>
      <c r="M408" s="1" t="s">
        <v>52</v>
      </c>
      <c r="N408" s="1" t="s">
        <v>33</v>
      </c>
      <c r="O408" t="str">
        <f t="shared" si="24"/>
        <v>OK</v>
      </c>
      <c r="P408" t="str">
        <f t="shared" si="25"/>
        <v>Missing cost</v>
      </c>
      <c r="Q408">
        <f t="shared" si="26"/>
        <v>18</v>
      </c>
      <c r="R408" t="str">
        <f t="shared" si="27"/>
        <v>OK</v>
      </c>
    </row>
    <row r="409" spans="1:18">
      <c r="A409" s="1" t="s">
        <v>1417</v>
      </c>
      <c r="B409" s="1" t="s">
        <v>1418</v>
      </c>
      <c r="C409" s="5">
        <v>45792</v>
      </c>
      <c r="D409" s="5">
        <v>45795</v>
      </c>
      <c r="E409" s="1" t="s">
        <v>249</v>
      </c>
      <c r="F409" s="1" t="s">
        <v>96</v>
      </c>
      <c r="G409" s="1">
        <v>11</v>
      </c>
      <c r="H409" s="1"/>
      <c r="I409" s="1" t="s">
        <v>127</v>
      </c>
      <c r="J409" s="1" t="s">
        <v>22</v>
      </c>
      <c r="K409" s="1">
        <v>2889</v>
      </c>
      <c r="L409" s="1">
        <v>3</v>
      </c>
      <c r="M409" s="1" t="s">
        <v>52</v>
      </c>
      <c r="N409" s="1" t="s">
        <v>52</v>
      </c>
      <c r="O409" t="str">
        <f t="shared" si="24"/>
        <v>OK</v>
      </c>
      <c r="P409" t="str">
        <f t="shared" si="25"/>
        <v>OK</v>
      </c>
      <c r="Q409">
        <f t="shared" si="26"/>
        <v>3</v>
      </c>
      <c r="R409" t="str">
        <f t="shared" si="27"/>
        <v>OK</v>
      </c>
    </row>
    <row r="410" spans="1:18">
      <c r="A410" s="1" t="s">
        <v>1419</v>
      </c>
      <c r="B410" s="1" t="s">
        <v>1420</v>
      </c>
      <c r="C410" s="5">
        <v>45922</v>
      </c>
      <c r="D410" s="5"/>
      <c r="E410" s="1" t="s">
        <v>125</v>
      </c>
      <c r="F410" s="1" t="s">
        <v>126</v>
      </c>
      <c r="G410" s="1">
        <v>85</v>
      </c>
      <c r="H410" s="1" t="s">
        <v>104</v>
      </c>
      <c r="I410" s="1" t="s">
        <v>153</v>
      </c>
      <c r="J410" s="1" t="s">
        <v>22</v>
      </c>
      <c r="K410" s="1">
        <v>12526</v>
      </c>
      <c r="L410" s="1">
        <v>3</v>
      </c>
      <c r="M410" s="1" t="s">
        <v>33</v>
      </c>
      <c r="N410" s="1" t="s">
        <v>33</v>
      </c>
      <c r="O410" t="str">
        <f t="shared" si="24"/>
        <v>Missing date</v>
      </c>
      <c r="P410" t="str">
        <f t="shared" si="25"/>
        <v>OK</v>
      </c>
      <c r="Q410" t="str">
        <f t="shared" si="26"/>
        <v/>
      </c>
      <c r="R410" t="str">
        <f t="shared" si="27"/>
        <v>Cannot check dates</v>
      </c>
    </row>
    <row r="411" spans="1:18">
      <c r="A411" s="1" t="s">
        <v>295</v>
      </c>
      <c r="B411" s="1" t="s">
        <v>151</v>
      </c>
      <c r="C411" s="5">
        <v>45723</v>
      </c>
      <c r="D411" s="5">
        <v>45732</v>
      </c>
      <c r="E411" s="1" t="s">
        <v>125</v>
      </c>
      <c r="F411" s="1" t="s">
        <v>126</v>
      </c>
      <c r="G411" s="1">
        <v>41</v>
      </c>
      <c r="H411" s="1" t="s">
        <v>48</v>
      </c>
      <c r="I411" s="1" t="s">
        <v>65</v>
      </c>
      <c r="J411" s="1" t="s">
        <v>32</v>
      </c>
      <c r="K411" s="1">
        <v>4346</v>
      </c>
      <c r="L411" s="1">
        <v>9</v>
      </c>
      <c r="M411" s="1" t="s">
        <v>33</v>
      </c>
      <c r="N411" s="1" t="s">
        <v>33</v>
      </c>
      <c r="O411" t="str">
        <f t="shared" si="24"/>
        <v>OK</v>
      </c>
      <c r="P411" t="str">
        <f t="shared" si="25"/>
        <v>OK</v>
      </c>
      <c r="Q411">
        <f t="shared" si="26"/>
        <v>9</v>
      </c>
      <c r="R411" t="str">
        <f t="shared" si="27"/>
        <v>OK</v>
      </c>
    </row>
    <row r="412" spans="1:18">
      <c r="A412" s="1" t="s">
        <v>1423</v>
      </c>
      <c r="B412" s="1" t="s">
        <v>996</v>
      </c>
      <c r="C412" s="5">
        <v>45843</v>
      </c>
      <c r="D412" s="5">
        <v>45847</v>
      </c>
      <c r="E412" s="1" t="s">
        <v>249</v>
      </c>
      <c r="F412" s="1" t="s">
        <v>96</v>
      </c>
      <c r="G412" s="1">
        <v>1</v>
      </c>
      <c r="H412" s="1" t="s">
        <v>104</v>
      </c>
      <c r="I412" s="1" t="s">
        <v>153</v>
      </c>
      <c r="J412" s="1" t="s">
        <v>40</v>
      </c>
      <c r="K412" s="1">
        <v>4722</v>
      </c>
      <c r="L412" s="1">
        <v>4</v>
      </c>
      <c r="M412" s="1" t="s">
        <v>52</v>
      </c>
      <c r="N412" s="1" t="s">
        <v>52</v>
      </c>
      <c r="O412" t="str">
        <f t="shared" si="24"/>
        <v>OK</v>
      </c>
      <c r="P412" t="str">
        <f t="shared" si="25"/>
        <v>OK</v>
      </c>
      <c r="Q412">
        <f t="shared" si="26"/>
        <v>4</v>
      </c>
      <c r="R412" t="str">
        <f t="shared" si="27"/>
        <v>OK</v>
      </c>
    </row>
    <row r="413" spans="1:18">
      <c r="A413" s="1" t="s">
        <v>1425</v>
      </c>
      <c r="B413" s="1" t="s">
        <v>1426</v>
      </c>
      <c r="C413" s="5">
        <v>45805</v>
      </c>
      <c r="D413" s="5">
        <v>45810</v>
      </c>
      <c r="E413" s="1" t="s">
        <v>29</v>
      </c>
      <c r="F413" s="1" t="s">
        <v>77</v>
      </c>
      <c r="G413" s="1">
        <v>20</v>
      </c>
      <c r="H413" s="1" t="s">
        <v>104</v>
      </c>
      <c r="I413" s="1" t="s">
        <v>127</v>
      </c>
      <c r="J413" s="1" t="s">
        <v>40</v>
      </c>
      <c r="K413" s="1">
        <v>6117</v>
      </c>
      <c r="L413" s="1"/>
      <c r="M413" s="1" t="s">
        <v>33</v>
      </c>
      <c r="N413" s="1" t="s">
        <v>33</v>
      </c>
      <c r="O413" t="str">
        <f t="shared" si="24"/>
        <v>OK</v>
      </c>
      <c r="P413" t="str">
        <f t="shared" si="25"/>
        <v>OK</v>
      </c>
      <c r="Q413">
        <f t="shared" si="26"/>
        <v>5</v>
      </c>
      <c r="R413" t="str">
        <f t="shared" si="27"/>
        <v>Missing recorded stay</v>
      </c>
    </row>
    <row r="414" spans="1:18">
      <c r="A414" s="1" t="s">
        <v>1429</v>
      </c>
      <c r="B414" s="1" t="s">
        <v>1430</v>
      </c>
      <c r="C414" s="5">
        <v>45813</v>
      </c>
      <c r="D414" s="5">
        <v>45824</v>
      </c>
      <c r="E414" s="1" t="s">
        <v>249</v>
      </c>
      <c r="F414" s="1" t="s">
        <v>96</v>
      </c>
      <c r="G414" s="1">
        <v>16</v>
      </c>
      <c r="H414" s="1" t="s">
        <v>84</v>
      </c>
      <c r="I414" s="1" t="s">
        <v>127</v>
      </c>
      <c r="J414" s="1" t="s">
        <v>40</v>
      </c>
      <c r="K414" s="1">
        <v>5837</v>
      </c>
      <c r="L414" s="1">
        <v>11</v>
      </c>
      <c r="M414" s="1" t="s">
        <v>33</v>
      </c>
      <c r="N414" s="1" t="s">
        <v>52</v>
      </c>
      <c r="O414" t="str">
        <f t="shared" si="24"/>
        <v>OK</v>
      </c>
      <c r="P414" t="str">
        <f t="shared" si="25"/>
        <v>OK</v>
      </c>
      <c r="Q414">
        <f t="shared" si="26"/>
        <v>11</v>
      </c>
      <c r="R414" t="str">
        <f t="shared" si="27"/>
        <v>OK</v>
      </c>
    </row>
    <row r="415" spans="1:18">
      <c r="A415" s="1" t="s">
        <v>1433</v>
      </c>
      <c r="B415" s="1" t="s">
        <v>469</v>
      </c>
      <c r="C415" s="5">
        <v>45667</v>
      </c>
      <c r="D415" s="5">
        <v>45682</v>
      </c>
      <c r="E415" s="1" t="s">
        <v>249</v>
      </c>
      <c r="F415" s="1" t="s">
        <v>96</v>
      </c>
      <c r="G415" s="1">
        <v>16</v>
      </c>
      <c r="H415" s="1" t="s">
        <v>104</v>
      </c>
      <c r="I415" s="1" t="s">
        <v>127</v>
      </c>
      <c r="J415" s="1" t="s">
        <v>22</v>
      </c>
      <c r="K415" s="1">
        <v>4224</v>
      </c>
      <c r="L415" s="1">
        <v>15</v>
      </c>
      <c r="M415" s="1" t="s">
        <v>52</v>
      </c>
      <c r="N415" s="1" t="s">
        <v>33</v>
      </c>
      <c r="O415" t="str">
        <f t="shared" si="24"/>
        <v>OK</v>
      </c>
      <c r="P415" t="str">
        <f t="shared" si="25"/>
        <v>OK</v>
      </c>
      <c r="Q415">
        <f t="shared" si="26"/>
        <v>15</v>
      </c>
      <c r="R415" t="str">
        <f t="shared" si="27"/>
        <v>OK</v>
      </c>
    </row>
    <row r="416" spans="1:18">
      <c r="A416" s="1" t="s">
        <v>1435</v>
      </c>
      <c r="B416" s="1" t="s">
        <v>1317</v>
      </c>
      <c r="C416" s="5">
        <v>45925</v>
      </c>
      <c r="D416" s="5">
        <v>45929</v>
      </c>
      <c r="E416" s="1" t="s">
        <v>149</v>
      </c>
      <c r="F416" s="1" t="s">
        <v>109</v>
      </c>
      <c r="G416" s="1">
        <v>92</v>
      </c>
      <c r="H416" s="1" t="s">
        <v>48</v>
      </c>
      <c r="I416" s="1" t="s">
        <v>65</v>
      </c>
      <c r="J416" s="1" t="s">
        <v>32</v>
      </c>
      <c r="K416" s="1">
        <v>6462</v>
      </c>
      <c r="L416" s="1">
        <v>4</v>
      </c>
      <c r="M416" s="1" t="s">
        <v>33</v>
      </c>
      <c r="N416" s="1" t="s">
        <v>33</v>
      </c>
      <c r="O416" t="str">
        <f t="shared" si="24"/>
        <v>OK</v>
      </c>
      <c r="P416" t="str">
        <f t="shared" si="25"/>
        <v>OK</v>
      </c>
      <c r="Q416">
        <f t="shared" si="26"/>
        <v>4</v>
      </c>
      <c r="R416" t="str">
        <f t="shared" si="27"/>
        <v>OK</v>
      </c>
    </row>
    <row r="417" spans="1:18">
      <c r="A417" s="1" t="s">
        <v>1438</v>
      </c>
      <c r="B417" s="1" t="s">
        <v>1439</v>
      </c>
      <c r="C417" s="5">
        <v>45770</v>
      </c>
      <c r="D417" s="5">
        <v>45771</v>
      </c>
      <c r="E417" s="1" t="s">
        <v>120</v>
      </c>
      <c r="F417" s="1" t="s">
        <v>39</v>
      </c>
      <c r="G417" s="1">
        <v>18</v>
      </c>
      <c r="H417" s="1" t="s">
        <v>48</v>
      </c>
      <c r="I417" s="1" t="s">
        <v>127</v>
      </c>
      <c r="J417" s="1" t="s">
        <v>40</v>
      </c>
      <c r="K417" s="1">
        <v>3744</v>
      </c>
      <c r="L417" s="1">
        <v>1</v>
      </c>
      <c r="M417" s="1" t="s">
        <v>52</v>
      </c>
      <c r="N417" s="1" t="s">
        <v>33</v>
      </c>
      <c r="O417" t="str">
        <f t="shared" si="24"/>
        <v>OK</v>
      </c>
      <c r="P417" t="str">
        <f t="shared" si="25"/>
        <v>OK</v>
      </c>
      <c r="Q417">
        <f t="shared" si="26"/>
        <v>1</v>
      </c>
      <c r="R417" t="str">
        <f t="shared" si="27"/>
        <v>OK</v>
      </c>
    </row>
    <row r="418" spans="1:18">
      <c r="A418" s="1" t="s">
        <v>1441</v>
      </c>
      <c r="B418" s="1" t="s">
        <v>1442</v>
      </c>
      <c r="C418" s="5">
        <v>45904</v>
      </c>
      <c r="D418" s="5">
        <v>45911</v>
      </c>
      <c r="E418" s="1" t="s">
        <v>125</v>
      </c>
      <c r="F418" s="1" t="s">
        <v>126</v>
      </c>
      <c r="G418" s="1">
        <v>68</v>
      </c>
      <c r="H418" s="1" t="s">
        <v>48</v>
      </c>
      <c r="I418" s="1" t="s">
        <v>65</v>
      </c>
      <c r="J418" s="1" t="s">
        <v>32</v>
      </c>
      <c r="K418" s="8">
        <v>13620</v>
      </c>
      <c r="L418" s="1">
        <v>7</v>
      </c>
      <c r="M418" s="1" t="s">
        <v>33</v>
      </c>
      <c r="N418" s="1" t="s">
        <v>33</v>
      </c>
      <c r="O418" t="str">
        <f t="shared" si="24"/>
        <v>OK</v>
      </c>
      <c r="P418" t="str">
        <f t="shared" si="25"/>
        <v>OK</v>
      </c>
      <c r="Q418">
        <f t="shared" si="26"/>
        <v>7</v>
      </c>
      <c r="R418" t="str">
        <f t="shared" si="27"/>
        <v>OK</v>
      </c>
    </row>
    <row r="419" spans="1:18">
      <c r="A419" s="1" t="s">
        <v>1446</v>
      </c>
      <c r="B419" s="1" t="s">
        <v>1134</v>
      </c>
      <c r="C419" s="5">
        <v>45955</v>
      </c>
      <c r="D419" s="5">
        <v>45960</v>
      </c>
      <c r="E419" s="1" t="s">
        <v>125</v>
      </c>
      <c r="F419" s="1" t="s">
        <v>126</v>
      </c>
      <c r="G419" s="1">
        <v>94</v>
      </c>
      <c r="H419" s="1" t="s">
        <v>104</v>
      </c>
      <c r="I419" s="1" t="s">
        <v>127</v>
      </c>
      <c r="J419" s="1" t="s">
        <v>40</v>
      </c>
      <c r="K419" s="1">
        <v>-250</v>
      </c>
      <c r="L419" s="1">
        <v>5</v>
      </c>
      <c r="M419" s="1" t="s">
        <v>52</v>
      </c>
      <c r="N419" s="1" t="s">
        <v>52</v>
      </c>
      <c r="O419" t="str">
        <f t="shared" si="24"/>
        <v>OK</v>
      </c>
      <c r="P419" t="str">
        <f t="shared" si="25"/>
        <v>Negative cost</v>
      </c>
      <c r="Q419">
        <f t="shared" si="26"/>
        <v>5</v>
      </c>
      <c r="R419" t="str">
        <f t="shared" si="27"/>
        <v>OK</v>
      </c>
    </row>
    <row r="420" spans="1:18">
      <c r="A420" s="1" t="s">
        <v>1448</v>
      </c>
      <c r="B420" s="1" t="s">
        <v>1132</v>
      </c>
      <c r="C420" s="5"/>
      <c r="D420" s="5">
        <v>45684</v>
      </c>
      <c r="E420" s="1" t="s">
        <v>18</v>
      </c>
      <c r="F420" s="1" t="s">
        <v>83</v>
      </c>
      <c r="G420" s="1">
        <v>41</v>
      </c>
      <c r="H420" s="1" t="s">
        <v>104</v>
      </c>
      <c r="I420" s="1" t="s">
        <v>127</v>
      </c>
      <c r="J420" s="1" t="s">
        <v>40</v>
      </c>
      <c r="K420" s="1">
        <v>3316</v>
      </c>
      <c r="L420" s="1">
        <v>9</v>
      </c>
      <c r="M420" s="1" t="s">
        <v>52</v>
      </c>
      <c r="N420" s="1" t="s">
        <v>52</v>
      </c>
      <c r="O420" t="str">
        <f t="shared" si="24"/>
        <v>Missing date</v>
      </c>
      <c r="P420" t="str">
        <f t="shared" si="25"/>
        <v>OK</v>
      </c>
      <c r="Q420" t="str">
        <f t="shared" si="26"/>
        <v/>
      </c>
      <c r="R420" t="str">
        <f t="shared" si="27"/>
        <v>Cannot check dates</v>
      </c>
    </row>
    <row r="421" spans="1:18">
      <c r="A421" s="1" t="s">
        <v>1449</v>
      </c>
      <c r="B421" s="1" t="s">
        <v>1450</v>
      </c>
      <c r="C421" s="5"/>
      <c r="D421" s="5"/>
      <c r="E421" s="1"/>
      <c r="F421" s="1" t="s">
        <v>96</v>
      </c>
      <c r="G421" s="1"/>
      <c r="H421" s="1"/>
      <c r="I421" s="1"/>
      <c r="J421" s="1" t="s">
        <v>40</v>
      </c>
      <c r="K421" s="1">
        <v>750000</v>
      </c>
      <c r="L421" s="1">
        <v>90</v>
      </c>
      <c r="M421" s="1" t="s">
        <v>52</v>
      </c>
      <c r="N421" s="1"/>
      <c r="O421" t="str">
        <f t="shared" si="24"/>
        <v>Missing date</v>
      </c>
      <c r="P421" t="str">
        <f t="shared" si="25"/>
        <v>Review high cost</v>
      </c>
      <c r="Q421" t="str">
        <f t="shared" si="26"/>
        <v/>
      </c>
      <c r="R421" t="str">
        <f t="shared" si="27"/>
        <v>Cannot check dates</v>
      </c>
    </row>
    <row r="422" spans="1:18">
      <c r="A422" s="1" t="s">
        <v>1451</v>
      </c>
      <c r="B422" s="1" t="s">
        <v>600</v>
      </c>
      <c r="C422" s="5">
        <v>45922</v>
      </c>
      <c r="D422" s="5">
        <v>45940</v>
      </c>
      <c r="E422" s="1" t="s">
        <v>18</v>
      </c>
      <c r="F422" s="1" t="s">
        <v>83</v>
      </c>
      <c r="G422" s="1">
        <v>89</v>
      </c>
      <c r="H422" s="1" t="s">
        <v>84</v>
      </c>
      <c r="I422" s="1" t="s">
        <v>65</v>
      </c>
      <c r="J422" s="1" t="s">
        <v>40</v>
      </c>
      <c r="K422" s="1">
        <v>3968</v>
      </c>
      <c r="L422" s="1">
        <v>90</v>
      </c>
      <c r="M422" s="1" t="s">
        <v>33</v>
      </c>
      <c r="N422" s="1" t="s">
        <v>33</v>
      </c>
      <c r="O422" t="str">
        <f t="shared" si="24"/>
        <v>OK</v>
      </c>
      <c r="P422" t="str">
        <f t="shared" si="25"/>
        <v>OK</v>
      </c>
      <c r="Q422">
        <f t="shared" si="26"/>
        <v>18</v>
      </c>
      <c r="R422" t="str">
        <f t="shared" si="27"/>
        <v>Mismatch</v>
      </c>
    </row>
    <row r="423" spans="1:18">
      <c r="A423" s="1" t="s">
        <v>1453</v>
      </c>
      <c r="B423" s="1" t="s">
        <v>1454</v>
      </c>
      <c r="C423" s="5">
        <v>45705</v>
      </c>
      <c r="D423" s="5"/>
      <c r="E423" s="1" t="s">
        <v>149</v>
      </c>
      <c r="F423" s="1" t="s">
        <v>109</v>
      </c>
      <c r="G423" s="1">
        <v>89</v>
      </c>
      <c r="H423" s="1" t="s">
        <v>84</v>
      </c>
      <c r="I423" s="1" t="s">
        <v>127</v>
      </c>
      <c r="J423" s="1" t="s">
        <v>40</v>
      </c>
      <c r="K423" s="1">
        <v>2429</v>
      </c>
      <c r="L423" s="1">
        <v>15</v>
      </c>
      <c r="M423" s="1" t="s">
        <v>33</v>
      </c>
      <c r="N423" s="1" t="s">
        <v>33</v>
      </c>
      <c r="O423" t="str">
        <f t="shared" si="24"/>
        <v>Missing date</v>
      </c>
      <c r="P423" t="str">
        <f t="shared" si="25"/>
        <v>OK</v>
      </c>
      <c r="Q423" t="str">
        <f t="shared" si="26"/>
        <v/>
      </c>
      <c r="R423" t="str">
        <f t="shared" si="27"/>
        <v>Cannot check dates</v>
      </c>
    </row>
    <row r="424" spans="1:18">
      <c r="A424" s="1" t="s">
        <v>1456</v>
      </c>
      <c r="B424" s="1" t="s">
        <v>442</v>
      </c>
      <c r="C424" s="5">
        <v>45970</v>
      </c>
      <c r="D424" s="5">
        <v>45989</v>
      </c>
      <c r="E424" s="1" t="s">
        <v>149</v>
      </c>
      <c r="F424" s="1" t="s">
        <v>109</v>
      </c>
      <c r="G424" s="1">
        <v>34</v>
      </c>
      <c r="H424" s="1" t="s">
        <v>84</v>
      </c>
      <c r="I424" s="1"/>
      <c r="J424" s="1" t="s">
        <v>32</v>
      </c>
      <c r="K424" s="1">
        <v>6242</v>
      </c>
      <c r="L424" s="1">
        <v>19</v>
      </c>
      <c r="M424" s="1" t="s">
        <v>33</v>
      </c>
      <c r="N424" s="1" t="s">
        <v>33</v>
      </c>
      <c r="O424" t="str">
        <f t="shared" si="24"/>
        <v>OK</v>
      </c>
      <c r="P424" t="str">
        <f t="shared" si="25"/>
        <v>OK</v>
      </c>
      <c r="Q424">
        <f t="shared" si="26"/>
        <v>19</v>
      </c>
      <c r="R424" t="str">
        <f t="shared" si="27"/>
        <v>OK</v>
      </c>
    </row>
    <row r="425" spans="1:18">
      <c r="A425" s="1" t="s">
        <v>1458</v>
      </c>
      <c r="B425" s="1" t="s">
        <v>67</v>
      </c>
      <c r="C425" s="5">
        <v>45865</v>
      </c>
      <c r="D425" s="5">
        <v>45878</v>
      </c>
      <c r="E425" s="1" t="s">
        <v>29</v>
      </c>
      <c r="F425" s="1" t="s">
        <v>77</v>
      </c>
      <c r="G425" s="1">
        <v>69</v>
      </c>
      <c r="H425" s="1" t="s">
        <v>84</v>
      </c>
      <c r="I425" s="1" t="s">
        <v>127</v>
      </c>
      <c r="J425" s="1" t="s">
        <v>40</v>
      </c>
      <c r="K425" s="1">
        <v>5882</v>
      </c>
      <c r="L425" s="1">
        <v>13</v>
      </c>
      <c r="M425" s="1" t="s">
        <v>52</v>
      </c>
      <c r="N425" s="1" t="s">
        <v>52</v>
      </c>
      <c r="O425" t="str">
        <f t="shared" si="24"/>
        <v>OK</v>
      </c>
      <c r="P425" t="str">
        <f t="shared" si="25"/>
        <v>OK</v>
      </c>
      <c r="Q425">
        <f t="shared" si="26"/>
        <v>13</v>
      </c>
      <c r="R425" t="str">
        <f t="shared" si="27"/>
        <v>OK</v>
      </c>
    </row>
    <row r="426" spans="1:18">
      <c r="A426" s="1" t="s">
        <v>1460</v>
      </c>
      <c r="B426" s="1" t="s">
        <v>1461</v>
      </c>
      <c r="C426" s="5">
        <v>45871</v>
      </c>
      <c r="D426" s="5">
        <v>45889</v>
      </c>
      <c r="E426" s="1" t="s">
        <v>120</v>
      </c>
      <c r="F426" s="1" t="s">
        <v>39</v>
      </c>
      <c r="G426" s="1">
        <v>25</v>
      </c>
      <c r="H426" s="1" t="s">
        <v>84</v>
      </c>
      <c r="I426" s="1" t="s">
        <v>153</v>
      </c>
      <c r="J426" s="1" t="s">
        <v>40</v>
      </c>
      <c r="K426" s="1">
        <v>7838</v>
      </c>
      <c r="L426" s="1">
        <v>18</v>
      </c>
      <c r="M426" s="1" t="s">
        <v>33</v>
      </c>
      <c r="N426" s="1" t="s">
        <v>33</v>
      </c>
      <c r="O426" t="str">
        <f t="shared" si="24"/>
        <v>OK</v>
      </c>
      <c r="P426" t="str">
        <f t="shared" si="25"/>
        <v>OK</v>
      </c>
      <c r="Q426">
        <f t="shared" si="26"/>
        <v>18</v>
      </c>
      <c r="R426" t="str">
        <f t="shared" si="27"/>
        <v>OK</v>
      </c>
    </row>
    <row r="427" spans="1:18">
      <c r="A427" s="1" t="s">
        <v>1463</v>
      </c>
      <c r="B427" s="1" t="s">
        <v>1185</v>
      </c>
      <c r="C427" s="5">
        <v>45938</v>
      </c>
      <c r="D427" s="5">
        <v>45946</v>
      </c>
      <c r="E427" s="1" t="s">
        <v>120</v>
      </c>
      <c r="F427" s="1" t="s">
        <v>39</v>
      </c>
      <c r="G427" s="1">
        <v>54</v>
      </c>
      <c r="H427" s="1" t="s">
        <v>84</v>
      </c>
      <c r="I427" s="1" t="s">
        <v>127</v>
      </c>
      <c r="J427" s="1" t="s">
        <v>22</v>
      </c>
      <c r="K427" s="1">
        <v>1105</v>
      </c>
      <c r="L427" s="1">
        <v>8</v>
      </c>
      <c r="M427" s="1" t="s">
        <v>52</v>
      </c>
      <c r="N427" s="1" t="s">
        <v>33</v>
      </c>
      <c r="O427" t="str">
        <f t="shared" si="24"/>
        <v>OK</v>
      </c>
      <c r="P427" t="str">
        <f t="shared" si="25"/>
        <v>OK</v>
      </c>
      <c r="Q427">
        <f t="shared" si="26"/>
        <v>8</v>
      </c>
      <c r="R427" t="str">
        <f t="shared" si="27"/>
        <v>OK</v>
      </c>
    </row>
    <row r="428" spans="1:18">
      <c r="A428" s="1" t="s">
        <v>1465</v>
      </c>
      <c r="B428" s="1" t="s">
        <v>1466</v>
      </c>
      <c r="C428" s="5">
        <v>45942</v>
      </c>
      <c r="D428" s="5">
        <v>45960</v>
      </c>
      <c r="E428" s="1" t="s">
        <v>149</v>
      </c>
      <c r="F428" s="1" t="s">
        <v>109</v>
      </c>
      <c r="G428" s="1">
        <v>49</v>
      </c>
      <c r="H428" s="1" t="s">
        <v>84</v>
      </c>
      <c r="I428" s="1" t="s">
        <v>127</v>
      </c>
      <c r="J428" s="1" t="s">
        <v>22</v>
      </c>
      <c r="K428" s="1"/>
      <c r="L428" s="1"/>
      <c r="M428" s="1" t="s">
        <v>52</v>
      </c>
      <c r="N428" s="1" t="s">
        <v>33</v>
      </c>
      <c r="O428" t="str">
        <f t="shared" si="24"/>
        <v>OK</v>
      </c>
      <c r="P428" t="str">
        <f t="shared" si="25"/>
        <v>Missing cost</v>
      </c>
      <c r="Q428">
        <f t="shared" si="26"/>
        <v>18</v>
      </c>
      <c r="R428" t="str">
        <f t="shared" si="27"/>
        <v>Missing recorded stay</v>
      </c>
    </row>
    <row r="429" spans="1:18">
      <c r="A429" s="1" t="s">
        <v>1467</v>
      </c>
      <c r="B429" s="1" t="s">
        <v>777</v>
      </c>
      <c r="C429" s="5">
        <v>45939</v>
      </c>
      <c r="D429" s="5">
        <v>45940</v>
      </c>
      <c r="E429" s="1" t="s">
        <v>125</v>
      </c>
      <c r="F429" s="1" t="s">
        <v>126</v>
      </c>
      <c r="G429" s="1">
        <v>81</v>
      </c>
      <c r="H429" s="1"/>
      <c r="I429" s="1" t="s">
        <v>65</v>
      </c>
      <c r="J429" s="1" t="s">
        <v>32</v>
      </c>
      <c r="K429" s="1"/>
      <c r="L429" s="1">
        <v>1</v>
      </c>
      <c r="M429" s="1" t="s">
        <v>52</v>
      </c>
      <c r="N429" s="1" t="s">
        <v>33</v>
      </c>
      <c r="O429" t="str">
        <f t="shared" si="24"/>
        <v>OK</v>
      </c>
      <c r="P429" t="str">
        <f t="shared" si="25"/>
        <v>Missing cost</v>
      </c>
      <c r="Q429">
        <f t="shared" si="26"/>
        <v>1</v>
      </c>
      <c r="R429" t="str">
        <f t="shared" si="27"/>
        <v>OK</v>
      </c>
    </row>
    <row r="430" spans="1:18">
      <c r="A430" s="1" t="s">
        <v>1468</v>
      </c>
      <c r="B430" s="1" t="s">
        <v>1030</v>
      </c>
      <c r="C430" s="5">
        <v>45844</v>
      </c>
      <c r="D430" s="5">
        <v>45859</v>
      </c>
      <c r="E430" s="1"/>
      <c r="F430" s="1" t="s">
        <v>126</v>
      </c>
      <c r="G430" s="1">
        <v>71</v>
      </c>
      <c r="H430" s="1" t="s">
        <v>104</v>
      </c>
      <c r="I430" s="1" t="s">
        <v>127</v>
      </c>
      <c r="J430" s="1" t="s">
        <v>32</v>
      </c>
      <c r="K430" s="1">
        <v>2132</v>
      </c>
      <c r="L430" s="1">
        <v>15</v>
      </c>
      <c r="M430" s="1" t="s">
        <v>33</v>
      </c>
      <c r="N430" s="1" t="s">
        <v>52</v>
      </c>
      <c r="O430" t="str">
        <f t="shared" si="24"/>
        <v>OK</v>
      </c>
      <c r="P430" t="str">
        <f t="shared" si="25"/>
        <v>OK</v>
      </c>
      <c r="Q430">
        <f t="shared" si="26"/>
        <v>15</v>
      </c>
      <c r="R430" t="str">
        <f t="shared" si="27"/>
        <v>OK</v>
      </c>
    </row>
    <row r="431" spans="1:18">
      <c r="A431" s="1" t="s">
        <v>1472</v>
      </c>
      <c r="B431" s="1" t="s">
        <v>67</v>
      </c>
      <c r="C431" s="5"/>
      <c r="D431" s="5">
        <v>45807</v>
      </c>
      <c r="E431" s="1" t="s">
        <v>120</v>
      </c>
      <c r="F431" s="1" t="s">
        <v>39</v>
      </c>
      <c r="G431" s="1">
        <v>62</v>
      </c>
      <c r="H431" s="1" t="s">
        <v>48</v>
      </c>
      <c r="I431" s="1" t="s">
        <v>153</v>
      </c>
      <c r="J431" s="1" t="s">
        <v>32</v>
      </c>
      <c r="K431" s="1">
        <v>13078</v>
      </c>
      <c r="L431" s="1">
        <v>20</v>
      </c>
      <c r="M431" s="1" t="s">
        <v>52</v>
      </c>
      <c r="N431" s="1" t="s">
        <v>33</v>
      </c>
      <c r="O431" t="str">
        <f t="shared" si="24"/>
        <v>Missing date</v>
      </c>
      <c r="P431" t="str">
        <f t="shared" si="25"/>
        <v>OK</v>
      </c>
      <c r="Q431" t="str">
        <f t="shared" si="26"/>
        <v/>
      </c>
      <c r="R431" t="str">
        <f t="shared" si="27"/>
        <v>Cannot check dates</v>
      </c>
    </row>
    <row r="432" spans="1:18">
      <c r="A432" s="1" t="s">
        <v>1475</v>
      </c>
      <c r="B432" s="1" t="s">
        <v>1203</v>
      </c>
      <c r="C432" s="5">
        <v>45771</v>
      </c>
      <c r="D432" s="5">
        <v>45788</v>
      </c>
      <c r="E432" s="1"/>
      <c r="F432" s="1" t="s">
        <v>109</v>
      </c>
      <c r="G432" s="1">
        <v>86</v>
      </c>
      <c r="H432" s="1" t="s">
        <v>104</v>
      </c>
      <c r="I432" s="1" t="s">
        <v>65</v>
      </c>
      <c r="J432" s="1" t="s">
        <v>40</v>
      </c>
      <c r="K432" s="1">
        <v>1406</v>
      </c>
      <c r="L432" s="1"/>
      <c r="M432" s="1" t="s">
        <v>33</v>
      </c>
      <c r="N432" s="1" t="s">
        <v>33</v>
      </c>
      <c r="O432" t="str">
        <f t="shared" si="24"/>
        <v>OK</v>
      </c>
      <c r="P432" t="str">
        <f t="shared" si="25"/>
        <v>OK</v>
      </c>
      <c r="Q432">
        <f t="shared" si="26"/>
        <v>17</v>
      </c>
      <c r="R432" t="str">
        <f t="shared" si="27"/>
        <v>Missing recorded stay</v>
      </c>
    </row>
    <row r="433" spans="1:18">
      <c r="A433" s="1" t="s">
        <v>1477</v>
      </c>
      <c r="B433" s="1" t="s">
        <v>289</v>
      </c>
      <c r="C433" s="5">
        <v>45681</v>
      </c>
      <c r="D433" s="5">
        <v>45700</v>
      </c>
      <c r="E433" s="1" t="s">
        <v>29</v>
      </c>
      <c r="F433" s="1" t="s">
        <v>77</v>
      </c>
      <c r="G433" s="1">
        <v>19</v>
      </c>
      <c r="H433" s="1" t="s">
        <v>104</v>
      </c>
      <c r="I433" s="1" t="s">
        <v>65</v>
      </c>
      <c r="J433" s="1" t="s">
        <v>40</v>
      </c>
      <c r="K433" s="1">
        <v>12413</v>
      </c>
      <c r="L433" s="1">
        <v>19</v>
      </c>
      <c r="M433" s="1" t="s">
        <v>33</v>
      </c>
      <c r="N433" s="1" t="s">
        <v>33</v>
      </c>
      <c r="O433" t="str">
        <f t="shared" si="24"/>
        <v>OK</v>
      </c>
      <c r="P433" t="str">
        <f t="shared" si="25"/>
        <v>OK</v>
      </c>
      <c r="Q433">
        <f t="shared" si="26"/>
        <v>19</v>
      </c>
      <c r="R433" t="str">
        <f t="shared" si="27"/>
        <v>OK</v>
      </c>
    </row>
    <row r="434" spans="1:18">
      <c r="A434" s="1" t="s">
        <v>1479</v>
      </c>
      <c r="B434" s="1" t="s">
        <v>1012</v>
      </c>
      <c r="C434" s="5">
        <v>45788</v>
      </c>
      <c r="D434" s="5">
        <v>45790</v>
      </c>
      <c r="E434" s="1" t="s">
        <v>29</v>
      </c>
      <c r="F434" s="1" t="s">
        <v>77</v>
      </c>
      <c r="G434" s="1">
        <v>33</v>
      </c>
      <c r="H434" s="1" t="s">
        <v>84</v>
      </c>
      <c r="I434" s="1" t="s">
        <v>49</v>
      </c>
      <c r="J434" s="1" t="s">
        <v>32</v>
      </c>
      <c r="K434" s="1">
        <v>8710</v>
      </c>
      <c r="L434" s="1">
        <v>2</v>
      </c>
      <c r="M434" s="1" t="s">
        <v>33</v>
      </c>
      <c r="N434" s="1" t="s">
        <v>52</v>
      </c>
      <c r="O434" t="str">
        <f t="shared" si="24"/>
        <v>OK</v>
      </c>
      <c r="P434" t="str">
        <f t="shared" si="25"/>
        <v>OK</v>
      </c>
      <c r="Q434">
        <f t="shared" si="26"/>
        <v>2</v>
      </c>
      <c r="R434" t="str">
        <f t="shared" si="27"/>
        <v>OK</v>
      </c>
    </row>
    <row r="435" spans="1:18">
      <c r="A435" s="1" t="s">
        <v>1480</v>
      </c>
      <c r="B435" s="1" t="s">
        <v>134</v>
      </c>
      <c r="C435" s="5">
        <v>45699</v>
      </c>
      <c r="D435" s="5">
        <v>45714</v>
      </c>
      <c r="E435" s="1" t="s">
        <v>120</v>
      </c>
      <c r="F435" s="1" t="s">
        <v>39</v>
      </c>
      <c r="G435" s="1">
        <v>74</v>
      </c>
      <c r="H435" s="1" t="s">
        <v>84</v>
      </c>
      <c r="I435" s="1" t="s">
        <v>127</v>
      </c>
      <c r="J435" s="1" t="s">
        <v>22</v>
      </c>
      <c r="K435" s="1">
        <v>1779</v>
      </c>
      <c r="L435" s="1">
        <v>15</v>
      </c>
      <c r="M435" s="1" t="s">
        <v>52</v>
      </c>
      <c r="N435" s="1" t="s">
        <v>33</v>
      </c>
      <c r="O435" t="str">
        <f t="shared" si="24"/>
        <v>OK</v>
      </c>
      <c r="P435" t="str">
        <f t="shared" si="25"/>
        <v>OK</v>
      </c>
      <c r="Q435">
        <f t="shared" si="26"/>
        <v>15</v>
      </c>
      <c r="R435" t="str">
        <f t="shared" si="27"/>
        <v>OK</v>
      </c>
    </row>
    <row r="436" spans="1:18">
      <c r="A436" s="1" t="s">
        <v>1481</v>
      </c>
      <c r="B436" s="1" t="s">
        <v>1482</v>
      </c>
      <c r="C436" s="5">
        <v>45658</v>
      </c>
      <c r="D436" s="5">
        <v>45661</v>
      </c>
      <c r="E436" s="1" t="s">
        <v>29</v>
      </c>
      <c r="F436" s="1" t="s">
        <v>77</v>
      </c>
      <c r="G436" s="1">
        <v>63</v>
      </c>
      <c r="H436" s="1" t="s">
        <v>84</v>
      </c>
      <c r="I436" s="1" t="s">
        <v>65</v>
      </c>
      <c r="J436" s="1" t="s">
        <v>22</v>
      </c>
      <c r="K436" s="1">
        <v>7393</v>
      </c>
      <c r="L436" s="1">
        <v>90</v>
      </c>
      <c r="M436" s="1" t="s">
        <v>52</v>
      </c>
      <c r="N436" s="1" t="s">
        <v>52</v>
      </c>
      <c r="O436" t="str">
        <f t="shared" si="24"/>
        <v>OK</v>
      </c>
      <c r="P436" t="str">
        <f t="shared" si="25"/>
        <v>OK</v>
      </c>
      <c r="Q436">
        <f t="shared" si="26"/>
        <v>3</v>
      </c>
      <c r="R436" t="str">
        <f t="shared" si="27"/>
        <v>Mismatch</v>
      </c>
    </row>
    <row r="437" spans="1:18">
      <c r="A437" s="1" t="s">
        <v>1486</v>
      </c>
      <c r="B437" s="1" t="s">
        <v>1487</v>
      </c>
      <c r="C437" s="5">
        <v>45886</v>
      </c>
      <c r="D437" s="5">
        <v>45891</v>
      </c>
      <c r="E437" s="1" t="s">
        <v>120</v>
      </c>
      <c r="F437" s="1" t="s">
        <v>39</v>
      </c>
      <c r="G437" s="1">
        <v>63</v>
      </c>
      <c r="H437" s="1" t="s">
        <v>84</v>
      </c>
      <c r="I437" s="1" t="s">
        <v>127</v>
      </c>
      <c r="J437" s="1" t="s">
        <v>40</v>
      </c>
      <c r="K437" s="1">
        <v>8022</v>
      </c>
      <c r="L437" s="1">
        <v>5</v>
      </c>
      <c r="M437" s="1" t="s">
        <v>52</v>
      </c>
      <c r="N437" s="1" t="s">
        <v>33</v>
      </c>
      <c r="O437" t="str">
        <f t="shared" si="24"/>
        <v>OK</v>
      </c>
      <c r="P437" t="str">
        <f t="shared" si="25"/>
        <v>OK</v>
      </c>
      <c r="Q437">
        <f t="shared" si="26"/>
        <v>5</v>
      </c>
      <c r="R437" t="str">
        <f t="shared" si="27"/>
        <v>OK</v>
      </c>
    </row>
    <row r="438" spans="1:18">
      <c r="A438" s="1" t="s">
        <v>1489</v>
      </c>
      <c r="B438" s="1" t="s">
        <v>887</v>
      </c>
      <c r="C438" s="5">
        <v>45864</v>
      </c>
      <c r="D438" s="5">
        <v>45872</v>
      </c>
      <c r="E438" s="1" t="s">
        <v>29</v>
      </c>
      <c r="F438" s="1" t="s">
        <v>77</v>
      </c>
      <c r="G438" s="1">
        <v>70</v>
      </c>
      <c r="H438" s="1" t="s">
        <v>84</v>
      </c>
      <c r="I438" s="1" t="s">
        <v>127</v>
      </c>
      <c r="J438" s="1" t="s">
        <v>40</v>
      </c>
      <c r="K438" s="1">
        <v>4414</v>
      </c>
      <c r="L438" s="1">
        <v>8</v>
      </c>
      <c r="M438" s="1" t="s">
        <v>33</v>
      </c>
      <c r="N438" s="1" t="s">
        <v>33</v>
      </c>
      <c r="O438" t="str">
        <f t="shared" si="24"/>
        <v>OK</v>
      </c>
      <c r="P438" t="str">
        <f t="shared" si="25"/>
        <v>OK</v>
      </c>
      <c r="Q438">
        <f t="shared" si="26"/>
        <v>8</v>
      </c>
      <c r="R438" t="str">
        <f t="shared" si="27"/>
        <v>OK</v>
      </c>
    </row>
    <row r="439" spans="1:18">
      <c r="A439" s="1" t="s">
        <v>1492</v>
      </c>
      <c r="B439" s="1" t="s">
        <v>971</v>
      </c>
      <c r="C439" s="5">
        <v>45717</v>
      </c>
      <c r="D439" s="5">
        <v>45718</v>
      </c>
      <c r="E439" s="1" t="s">
        <v>125</v>
      </c>
      <c r="F439" s="1" t="s">
        <v>126</v>
      </c>
      <c r="G439" s="1">
        <v>22</v>
      </c>
      <c r="H439" s="1" t="s">
        <v>84</v>
      </c>
      <c r="I439" s="1" t="s">
        <v>65</v>
      </c>
      <c r="J439" s="1" t="s">
        <v>40</v>
      </c>
      <c r="K439" s="1">
        <v>2927</v>
      </c>
      <c r="L439" s="1">
        <v>1</v>
      </c>
      <c r="M439" s="1" t="s">
        <v>52</v>
      </c>
      <c r="N439" s="1" t="s">
        <v>52</v>
      </c>
      <c r="O439" t="str">
        <f t="shared" si="24"/>
        <v>OK</v>
      </c>
      <c r="P439" t="str">
        <f t="shared" si="25"/>
        <v>OK</v>
      </c>
      <c r="Q439">
        <f t="shared" si="26"/>
        <v>1</v>
      </c>
      <c r="R439" t="str">
        <f t="shared" si="27"/>
        <v>OK</v>
      </c>
    </row>
    <row r="440" spans="1:18">
      <c r="A440" s="1" t="s">
        <v>1493</v>
      </c>
      <c r="B440" s="1" t="s">
        <v>1128</v>
      </c>
      <c r="C440" s="5">
        <v>45823</v>
      </c>
      <c r="D440" s="5">
        <v>45832</v>
      </c>
      <c r="E440" s="1" t="s">
        <v>249</v>
      </c>
      <c r="F440" s="1" t="s">
        <v>96</v>
      </c>
      <c r="G440" s="1">
        <v>13</v>
      </c>
      <c r="H440" s="1" t="s">
        <v>84</v>
      </c>
      <c r="I440" s="1" t="s">
        <v>49</v>
      </c>
      <c r="J440" s="1" t="s">
        <v>32</v>
      </c>
      <c r="K440" s="1">
        <v>1124</v>
      </c>
      <c r="L440" s="1">
        <v>9</v>
      </c>
      <c r="M440" s="1" t="s">
        <v>33</v>
      </c>
      <c r="N440" s="1" t="s">
        <v>33</v>
      </c>
      <c r="O440" t="str">
        <f t="shared" si="24"/>
        <v>OK</v>
      </c>
      <c r="P440" t="str">
        <f t="shared" si="25"/>
        <v>OK</v>
      </c>
      <c r="Q440">
        <f t="shared" si="26"/>
        <v>9</v>
      </c>
      <c r="R440" t="str">
        <f t="shared" si="27"/>
        <v>OK</v>
      </c>
    </row>
    <row r="441" spans="1:18">
      <c r="A441" s="1" t="s">
        <v>1495</v>
      </c>
      <c r="B441" s="1" t="s">
        <v>1442</v>
      </c>
      <c r="C441" s="5"/>
      <c r="D441" s="5">
        <v>45812</v>
      </c>
      <c r="E441" s="1" t="s">
        <v>29</v>
      </c>
      <c r="F441" s="1" t="s">
        <v>77</v>
      </c>
      <c r="G441" s="1"/>
      <c r="H441" s="1" t="s">
        <v>104</v>
      </c>
      <c r="I441" s="1" t="s">
        <v>153</v>
      </c>
      <c r="J441" s="1" t="s">
        <v>22</v>
      </c>
      <c r="K441" s="1">
        <v>5353</v>
      </c>
      <c r="L441" s="1">
        <v>7</v>
      </c>
      <c r="M441" s="1" t="s">
        <v>52</v>
      </c>
      <c r="N441" s="1" t="s">
        <v>52</v>
      </c>
      <c r="O441" t="str">
        <f t="shared" si="24"/>
        <v>Missing date</v>
      </c>
      <c r="P441" t="str">
        <f t="shared" si="25"/>
        <v>OK</v>
      </c>
      <c r="Q441" t="str">
        <f t="shared" si="26"/>
        <v/>
      </c>
      <c r="R441" t="str">
        <f t="shared" si="27"/>
        <v>Cannot check dates</v>
      </c>
    </row>
    <row r="442" spans="1:18">
      <c r="A442" s="1" t="s">
        <v>1497</v>
      </c>
      <c r="B442" s="1" t="s">
        <v>1083</v>
      </c>
      <c r="C442" s="5">
        <v>45778</v>
      </c>
      <c r="D442" s="5">
        <v>45786</v>
      </c>
      <c r="E442" s="1" t="s">
        <v>149</v>
      </c>
      <c r="F442" s="1" t="s">
        <v>109</v>
      </c>
      <c r="G442" s="1">
        <v>30</v>
      </c>
      <c r="H442" s="1" t="s">
        <v>84</v>
      </c>
      <c r="I442" s="1" t="s">
        <v>65</v>
      </c>
      <c r="J442" s="1" t="s">
        <v>32</v>
      </c>
      <c r="K442" s="1">
        <v>1430</v>
      </c>
      <c r="L442" s="1">
        <v>8</v>
      </c>
      <c r="M442" s="1" t="s">
        <v>33</v>
      </c>
      <c r="N442" s="1" t="s">
        <v>33</v>
      </c>
      <c r="O442" t="str">
        <f t="shared" si="24"/>
        <v>OK</v>
      </c>
      <c r="P442" t="str">
        <f t="shared" si="25"/>
        <v>OK</v>
      </c>
      <c r="Q442">
        <f t="shared" si="26"/>
        <v>8</v>
      </c>
      <c r="R442" t="str">
        <f t="shared" si="27"/>
        <v>OK</v>
      </c>
    </row>
    <row r="443" spans="1:18">
      <c r="A443" s="1" t="s">
        <v>1500</v>
      </c>
      <c r="B443" s="1" t="s">
        <v>1501</v>
      </c>
      <c r="C443" s="5">
        <v>46007</v>
      </c>
      <c r="D443" s="5">
        <v>46024</v>
      </c>
      <c r="E443" s="1" t="s">
        <v>29</v>
      </c>
      <c r="F443" s="1" t="s">
        <v>77</v>
      </c>
      <c r="G443" s="1">
        <v>74</v>
      </c>
      <c r="H443" s="1" t="s">
        <v>104</v>
      </c>
      <c r="I443" s="1" t="s">
        <v>65</v>
      </c>
      <c r="J443" s="1" t="s">
        <v>22</v>
      </c>
      <c r="K443" s="1">
        <v>7082</v>
      </c>
      <c r="L443" s="1">
        <v>17</v>
      </c>
      <c r="M443" s="1" t="s">
        <v>33</v>
      </c>
      <c r="N443" s="1" t="s">
        <v>33</v>
      </c>
      <c r="O443" t="str">
        <f t="shared" si="24"/>
        <v>OK</v>
      </c>
      <c r="P443" t="str">
        <f t="shared" si="25"/>
        <v>OK</v>
      </c>
      <c r="Q443">
        <f t="shared" si="26"/>
        <v>17</v>
      </c>
      <c r="R443" t="str">
        <f t="shared" si="27"/>
        <v>OK</v>
      </c>
    </row>
    <row r="444" spans="1:18">
      <c r="A444" s="1" t="s">
        <v>1504</v>
      </c>
      <c r="B444" s="1" t="s">
        <v>872</v>
      </c>
      <c r="C444" s="5">
        <v>45936</v>
      </c>
      <c r="D444" s="5">
        <v>45942</v>
      </c>
      <c r="E444" s="1" t="s">
        <v>18</v>
      </c>
      <c r="F444" s="1" t="s">
        <v>83</v>
      </c>
      <c r="G444" s="1">
        <v>77</v>
      </c>
      <c r="H444" s="1" t="s">
        <v>104</v>
      </c>
      <c r="I444" s="1" t="s">
        <v>49</v>
      </c>
      <c r="J444" s="1" t="s">
        <v>22</v>
      </c>
      <c r="K444" s="1">
        <v>12443</v>
      </c>
      <c r="L444" s="1">
        <v>6</v>
      </c>
      <c r="M444" s="1" t="s">
        <v>52</v>
      </c>
      <c r="N444" s="1" t="s">
        <v>33</v>
      </c>
      <c r="O444" t="str">
        <f t="shared" si="24"/>
        <v>OK</v>
      </c>
      <c r="P444" t="str">
        <f t="shared" si="25"/>
        <v>OK</v>
      </c>
      <c r="Q444">
        <f t="shared" si="26"/>
        <v>6</v>
      </c>
      <c r="R444" t="str">
        <f t="shared" si="27"/>
        <v>OK</v>
      </c>
    </row>
    <row r="445" spans="1:18">
      <c r="A445" s="1" t="s">
        <v>1505</v>
      </c>
      <c r="B445" s="1" t="s">
        <v>299</v>
      </c>
      <c r="C445" s="5">
        <v>45845</v>
      </c>
      <c r="D445" s="5">
        <v>45858</v>
      </c>
      <c r="E445" s="1" t="s">
        <v>249</v>
      </c>
      <c r="F445" s="1" t="s">
        <v>96</v>
      </c>
      <c r="G445" s="1"/>
      <c r="H445" s="1" t="s">
        <v>104</v>
      </c>
      <c r="I445" s="1" t="s">
        <v>65</v>
      </c>
      <c r="J445" s="1" t="s">
        <v>32</v>
      </c>
      <c r="K445" s="8">
        <v>12716</v>
      </c>
      <c r="L445" s="1">
        <v>13</v>
      </c>
      <c r="M445" s="1" t="s">
        <v>33</v>
      </c>
      <c r="N445" s="1" t="s">
        <v>52</v>
      </c>
      <c r="O445" t="str">
        <f t="shared" si="24"/>
        <v>OK</v>
      </c>
      <c r="P445" t="str">
        <f t="shared" si="25"/>
        <v>OK</v>
      </c>
      <c r="Q445">
        <f t="shared" si="26"/>
        <v>13</v>
      </c>
      <c r="R445" t="str">
        <f t="shared" si="27"/>
        <v>OK</v>
      </c>
    </row>
    <row r="446" spans="1:18">
      <c r="A446" s="1" t="s">
        <v>1508</v>
      </c>
      <c r="B446" s="1" t="s">
        <v>765</v>
      </c>
      <c r="C446" s="5">
        <v>45894</v>
      </c>
      <c r="D446" s="5">
        <v>45911</v>
      </c>
      <c r="E446" s="1" t="s">
        <v>29</v>
      </c>
      <c r="F446" s="1" t="s">
        <v>77</v>
      </c>
      <c r="G446" s="1">
        <v>44</v>
      </c>
      <c r="H446" s="1" t="s">
        <v>84</v>
      </c>
      <c r="I446" s="1" t="s">
        <v>127</v>
      </c>
      <c r="J446" s="1" t="s">
        <v>32</v>
      </c>
      <c r="K446" s="1">
        <v>6597</v>
      </c>
      <c r="L446" s="1">
        <v>17</v>
      </c>
      <c r="M446" s="1" t="s">
        <v>52</v>
      </c>
      <c r="N446" s="1" t="s">
        <v>33</v>
      </c>
      <c r="O446" t="str">
        <f t="shared" si="24"/>
        <v>OK</v>
      </c>
      <c r="P446" t="str">
        <f t="shared" si="25"/>
        <v>OK</v>
      </c>
      <c r="Q446">
        <f t="shared" si="26"/>
        <v>17</v>
      </c>
      <c r="R446" t="str">
        <f t="shared" si="27"/>
        <v>OK</v>
      </c>
    </row>
    <row r="447" spans="1:18">
      <c r="A447" s="1" t="s">
        <v>1511</v>
      </c>
      <c r="B447" s="1" t="s">
        <v>1512</v>
      </c>
      <c r="C447" s="5">
        <v>45676</v>
      </c>
      <c r="D447" s="5">
        <v>45695</v>
      </c>
      <c r="E447" s="1" t="s">
        <v>125</v>
      </c>
      <c r="F447" s="1" t="s">
        <v>126</v>
      </c>
      <c r="G447" s="1"/>
      <c r="H447" s="1" t="s">
        <v>84</v>
      </c>
      <c r="I447" s="1" t="s">
        <v>49</v>
      </c>
      <c r="J447" s="1" t="s">
        <v>40</v>
      </c>
      <c r="K447" s="1">
        <v>5645</v>
      </c>
      <c r="L447" s="1">
        <v>19</v>
      </c>
      <c r="M447" s="1" t="s">
        <v>33</v>
      </c>
      <c r="N447" s="1" t="s">
        <v>33</v>
      </c>
      <c r="O447" t="str">
        <f t="shared" si="24"/>
        <v>OK</v>
      </c>
      <c r="P447" t="str">
        <f t="shared" si="25"/>
        <v>OK</v>
      </c>
      <c r="Q447">
        <f t="shared" si="26"/>
        <v>19</v>
      </c>
      <c r="R447" t="str">
        <f t="shared" si="27"/>
        <v>OK</v>
      </c>
    </row>
    <row r="448" spans="1:18">
      <c r="A448" s="1" t="s">
        <v>1513</v>
      </c>
      <c r="B448" s="1" t="s">
        <v>1514</v>
      </c>
      <c r="C448" s="5"/>
      <c r="D448" s="5">
        <v>45879</v>
      </c>
      <c r="E448" s="1" t="s">
        <v>149</v>
      </c>
      <c r="F448" s="1" t="s">
        <v>109</v>
      </c>
      <c r="G448" s="1">
        <v>41</v>
      </c>
      <c r="H448" s="1" t="s">
        <v>104</v>
      </c>
      <c r="I448" s="1" t="s">
        <v>65</v>
      </c>
      <c r="J448" s="1" t="s">
        <v>40</v>
      </c>
      <c r="K448" s="1">
        <v>12299</v>
      </c>
      <c r="L448" s="1">
        <v>17</v>
      </c>
      <c r="M448" s="1" t="s">
        <v>52</v>
      </c>
      <c r="N448" s="1" t="s">
        <v>52</v>
      </c>
      <c r="O448" t="str">
        <f t="shared" si="24"/>
        <v>Missing date</v>
      </c>
      <c r="P448" t="str">
        <f t="shared" si="25"/>
        <v>OK</v>
      </c>
      <c r="Q448" t="str">
        <f t="shared" si="26"/>
        <v/>
      </c>
      <c r="R448" t="str">
        <f t="shared" si="27"/>
        <v>Cannot check dates</v>
      </c>
    </row>
    <row r="449" spans="1:18">
      <c r="A449" s="1" t="s">
        <v>1516</v>
      </c>
      <c r="B449" s="1" t="s">
        <v>1517</v>
      </c>
      <c r="C449" s="5">
        <v>45900</v>
      </c>
      <c r="D449" s="5">
        <v>45919</v>
      </c>
      <c r="E449" s="1" t="s">
        <v>149</v>
      </c>
      <c r="F449" s="1" t="s">
        <v>109</v>
      </c>
      <c r="G449" s="1">
        <v>81</v>
      </c>
      <c r="H449" s="1" t="s">
        <v>84</v>
      </c>
      <c r="I449" s="1" t="s">
        <v>65</v>
      </c>
      <c r="J449" s="1" t="s">
        <v>22</v>
      </c>
      <c r="K449" s="1">
        <v>11815</v>
      </c>
      <c r="L449" s="1">
        <v>19</v>
      </c>
      <c r="M449" s="1" t="s">
        <v>33</v>
      </c>
      <c r="N449" s="1" t="s">
        <v>52</v>
      </c>
      <c r="O449" t="str">
        <f t="shared" si="24"/>
        <v>OK</v>
      </c>
      <c r="P449" t="str">
        <f t="shared" si="25"/>
        <v>OK</v>
      </c>
      <c r="Q449">
        <f t="shared" si="26"/>
        <v>19</v>
      </c>
      <c r="R449" t="str">
        <f t="shared" si="27"/>
        <v>OK</v>
      </c>
    </row>
    <row r="450" spans="1:18">
      <c r="A450" s="1" t="s">
        <v>1518</v>
      </c>
      <c r="B450" s="1" t="s">
        <v>1466</v>
      </c>
      <c r="C450" s="5">
        <v>45709</v>
      </c>
      <c r="D450" s="5">
        <v>45725</v>
      </c>
      <c r="E450" s="1" t="s">
        <v>120</v>
      </c>
      <c r="F450" s="1" t="s">
        <v>39</v>
      </c>
      <c r="G450" s="1">
        <v>48</v>
      </c>
      <c r="H450" s="1" t="s">
        <v>104</v>
      </c>
      <c r="I450" s="1" t="s">
        <v>65</v>
      </c>
      <c r="J450" s="1" t="s">
        <v>32</v>
      </c>
      <c r="K450" s="1">
        <v>5483</v>
      </c>
      <c r="L450" s="1">
        <v>16</v>
      </c>
      <c r="M450" s="1" t="s">
        <v>52</v>
      </c>
      <c r="N450" s="1" t="s">
        <v>33</v>
      </c>
      <c r="O450" t="str">
        <f t="shared" si="24"/>
        <v>OK</v>
      </c>
      <c r="P450" t="str">
        <f t="shared" si="25"/>
        <v>OK</v>
      </c>
      <c r="Q450">
        <f t="shared" si="26"/>
        <v>16</v>
      </c>
      <c r="R450" t="str">
        <f t="shared" si="27"/>
        <v>OK</v>
      </c>
    </row>
    <row r="451" spans="1:18">
      <c r="A451" s="1" t="s">
        <v>1519</v>
      </c>
      <c r="B451" s="1" t="s">
        <v>538</v>
      </c>
      <c r="C451" s="5">
        <v>45930</v>
      </c>
      <c r="D451" s="5">
        <v>45939</v>
      </c>
      <c r="E451" s="1" t="s">
        <v>125</v>
      </c>
      <c r="F451" s="1" t="s">
        <v>126</v>
      </c>
      <c r="G451" s="1">
        <v>92</v>
      </c>
      <c r="H451" s="1" t="s">
        <v>84</v>
      </c>
      <c r="I451" s="1" t="s">
        <v>65</v>
      </c>
      <c r="J451" s="1" t="s">
        <v>22</v>
      </c>
      <c r="K451" s="8">
        <v>6000</v>
      </c>
      <c r="L451" s="1">
        <v>9</v>
      </c>
      <c r="M451" s="1" t="s">
        <v>52</v>
      </c>
      <c r="N451" s="1" t="s">
        <v>52</v>
      </c>
      <c r="O451" t="str">
        <f t="shared" ref="O451:O506" si="28">IF(OR(C451="",D451=""),"Missing date",IF(D451&lt;C451,"Check dates","OK"))</f>
        <v>OK</v>
      </c>
      <c r="P451" t="str">
        <f t="shared" ref="P451:P506" si="29">IF(K451="","Missing cost",IF(ISNUMBER(K451),IF(K451&lt;0,"Negative cost",IF(K451&gt;100000,"Review high cost","OK")),"Check format"))</f>
        <v>OK</v>
      </c>
      <c r="Q451">
        <f t="shared" ref="Q451:Q506" si="30">IF(AND(ISNUMBER(C451),ISNUMBER(D451)),IF(D451&gt;=C451,D451-C451,""),"")</f>
        <v>9</v>
      </c>
      <c r="R451" t="str">
        <f t="shared" ref="R451:R506" si="31">IF(Q451="","Cannot check dates",IF(L451="","Missing recorded stay",IF(ISNUMBER(L451),IF(L451=Q451,"OK","Mismatch"),"Check format")))</f>
        <v>OK</v>
      </c>
    </row>
    <row r="452" spans="1:18">
      <c r="A452" s="1" t="s">
        <v>1521</v>
      </c>
      <c r="B452" s="1" t="s">
        <v>794</v>
      </c>
      <c r="C452" s="5">
        <v>45971</v>
      </c>
      <c r="D452" s="5">
        <v>45981</v>
      </c>
      <c r="E452" s="1" t="s">
        <v>120</v>
      </c>
      <c r="F452" s="1" t="s">
        <v>39</v>
      </c>
      <c r="G452" s="1"/>
      <c r="H452" s="1" t="s">
        <v>84</v>
      </c>
      <c r="I452" s="1" t="s">
        <v>65</v>
      </c>
      <c r="J452" s="1" t="s">
        <v>40</v>
      </c>
      <c r="K452" s="1">
        <v>4549</v>
      </c>
      <c r="L452" s="1">
        <v>10</v>
      </c>
      <c r="M452" s="1" t="s">
        <v>52</v>
      </c>
      <c r="N452" s="1" t="s">
        <v>52</v>
      </c>
      <c r="O452" t="str">
        <f t="shared" si="28"/>
        <v>OK</v>
      </c>
      <c r="P452" t="str">
        <f t="shared" si="29"/>
        <v>OK</v>
      </c>
      <c r="Q452">
        <f t="shared" si="30"/>
        <v>10</v>
      </c>
      <c r="R452" t="str">
        <f t="shared" si="31"/>
        <v>OK</v>
      </c>
    </row>
    <row r="453" spans="1:18">
      <c r="A453" s="1" t="s">
        <v>1523</v>
      </c>
      <c r="B453" s="1" t="s">
        <v>1524</v>
      </c>
      <c r="C453" s="5">
        <v>45770</v>
      </c>
      <c r="D453" s="5">
        <v>45784</v>
      </c>
      <c r="E453" s="1" t="s">
        <v>120</v>
      </c>
      <c r="F453" s="1" t="s">
        <v>39</v>
      </c>
      <c r="G453" s="1">
        <v>60</v>
      </c>
      <c r="H453" s="1"/>
      <c r="I453" s="1" t="s">
        <v>49</v>
      </c>
      <c r="J453" s="1" t="s">
        <v>40</v>
      </c>
      <c r="K453" s="1">
        <v>10070</v>
      </c>
      <c r="L453" s="1">
        <v>14</v>
      </c>
      <c r="M453" s="1" t="s">
        <v>52</v>
      </c>
      <c r="N453" s="1" t="s">
        <v>33</v>
      </c>
      <c r="O453" t="str">
        <f t="shared" si="28"/>
        <v>OK</v>
      </c>
      <c r="P453" t="str">
        <f t="shared" si="29"/>
        <v>OK</v>
      </c>
      <c r="Q453">
        <f t="shared" si="30"/>
        <v>14</v>
      </c>
      <c r="R453" t="str">
        <f t="shared" si="31"/>
        <v>OK</v>
      </c>
    </row>
    <row r="454" spans="1:18">
      <c r="A454" s="1" t="s">
        <v>1526</v>
      </c>
      <c r="B454" s="1" t="s">
        <v>887</v>
      </c>
      <c r="C454" s="5">
        <v>45928</v>
      </c>
      <c r="D454" s="5">
        <v>45938</v>
      </c>
      <c r="E454" s="1" t="s">
        <v>18</v>
      </c>
      <c r="F454" s="1" t="s">
        <v>83</v>
      </c>
      <c r="G454" s="1">
        <v>86</v>
      </c>
      <c r="H454" s="1" t="s">
        <v>84</v>
      </c>
      <c r="I454" s="1" t="s">
        <v>49</v>
      </c>
      <c r="J454" s="1" t="s">
        <v>32</v>
      </c>
      <c r="K454" s="1">
        <v>6189</v>
      </c>
      <c r="L454" s="1">
        <v>10</v>
      </c>
      <c r="M454" s="1" t="s">
        <v>33</v>
      </c>
      <c r="N454" s="1" t="s">
        <v>52</v>
      </c>
      <c r="O454" t="str">
        <f t="shared" si="28"/>
        <v>OK</v>
      </c>
      <c r="P454" t="str">
        <f t="shared" si="29"/>
        <v>OK</v>
      </c>
      <c r="Q454">
        <f t="shared" si="30"/>
        <v>10</v>
      </c>
      <c r="R454" t="str">
        <f t="shared" si="31"/>
        <v>OK</v>
      </c>
    </row>
    <row r="455" spans="1:18">
      <c r="A455" s="1" t="s">
        <v>1528</v>
      </c>
      <c r="B455" s="1" t="s">
        <v>1529</v>
      </c>
      <c r="C455" s="5">
        <v>45906</v>
      </c>
      <c r="D455" s="5">
        <v>45917</v>
      </c>
      <c r="E455" s="1" t="s">
        <v>29</v>
      </c>
      <c r="F455" s="1" t="s">
        <v>77</v>
      </c>
      <c r="G455" s="1">
        <v>93</v>
      </c>
      <c r="H455" s="1" t="s">
        <v>84</v>
      </c>
      <c r="I455" s="1" t="s">
        <v>127</v>
      </c>
      <c r="J455" s="1" t="s">
        <v>40</v>
      </c>
      <c r="K455" s="1">
        <v>10131</v>
      </c>
      <c r="L455" s="1">
        <v>11</v>
      </c>
      <c r="M455" s="1" t="s">
        <v>52</v>
      </c>
      <c r="N455" s="1" t="s">
        <v>33</v>
      </c>
      <c r="O455" t="str">
        <f t="shared" si="28"/>
        <v>OK</v>
      </c>
      <c r="P455" t="str">
        <f t="shared" si="29"/>
        <v>OK</v>
      </c>
      <c r="Q455">
        <f t="shared" si="30"/>
        <v>11</v>
      </c>
      <c r="R455" t="str">
        <f t="shared" si="31"/>
        <v>OK</v>
      </c>
    </row>
    <row r="456" spans="1:18">
      <c r="A456" s="1" t="s">
        <v>1531</v>
      </c>
      <c r="B456" s="1" t="s">
        <v>1025</v>
      </c>
      <c r="C456" s="5">
        <v>45808</v>
      </c>
      <c r="D456" s="5">
        <v>45812</v>
      </c>
      <c r="E456" s="1" t="s">
        <v>120</v>
      </c>
      <c r="F456" s="1" t="s">
        <v>39</v>
      </c>
      <c r="G456" s="1">
        <v>20</v>
      </c>
      <c r="H456" s="1" t="s">
        <v>84</v>
      </c>
      <c r="I456" s="1" t="s">
        <v>49</v>
      </c>
      <c r="J456" s="1" t="s">
        <v>40</v>
      </c>
      <c r="K456" s="8">
        <v>1754</v>
      </c>
      <c r="L456" s="1">
        <v>4</v>
      </c>
      <c r="M456" s="1" t="s">
        <v>33</v>
      </c>
      <c r="N456" s="1" t="s">
        <v>52</v>
      </c>
      <c r="O456" t="str">
        <f t="shared" si="28"/>
        <v>OK</v>
      </c>
      <c r="P456" t="str">
        <f t="shared" si="29"/>
        <v>OK</v>
      </c>
      <c r="Q456">
        <f t="shared" si="30"/>
        <v>4</v>
      </c>
      <c r="R456" t="str">
        <f t="shared" si="31"/>
        <v>OK</v>
      </c>
    </row>
    <row r="457" spans="1:18">
      <c r="A457" s="1" t="s">
        <v>1533</v>
      </c>
      <c r="B457" s="1" t="s">
        <v>1070</v>
      </c>
      <c r="C457" s="5">
        <v>45663</v>
      </c>
      <c r="D457" s="5">
        <v>45680</v>
      </c>
      <c r="E457" s="1" t="s">
        <v>149</v>
      </c>
      <c r="F457" s="1" t="s">
        <v>109</v>
      </c>
      <c r="G457" s="1">
        <v>23</v>
      </c>
      <c r="H457" s="1" t="s">
        <v>104</v>
      </c>
      <c r="I457" s="1" t="s">
        <v>49</v>
      </c>
      <c r="J457" s="1" t="s">
        <v>40</v>
      </c>
      <c r="K457" s="1">
        <v>11097</v>
      </c>
      <c r="L457" s="1"/>
      <c r="M457" s="1" t="s">
        <v>52</v>
      </c>
      <c r="N457" s="1" t="s">
        <v>33</v>
      </c>
      <c r="O457" t="str">
        <f t="shared" si="28"/>
        <v>OK</v>
      </c>
      <c r="P457" t="str">
        <f t="shared" si="29"/>
        <v>OK</v>
      </c>
      <c r="Q457">
        <f t="shared" si="30"/>
        <v>17</v>
      </c>
      <c r="R457" t="str">
        <f t="shared" si="31"/>
        <v>Missing recorded stay</v>
      </c>
    </row>
    <row r="458" spans="1:18">
      <c r="A458" s="1" t="s">
        <v>1535</v>
      </c>
      <c r="B458" s="1" t="s">
        <v>1350</v>
      </c>
      <c r="C458" s="5">
        <v>45926</v>
      </c>
      <c r="D458" s="5">
        <v>45936</v>
      </c>
      <c r="E458" s="1" t="s">
        <v>120</v>
      </c>
      <c r="F458" s="1" t="s">
        <v>39</v>
      </c>
      <c r="G458" s="1">
        <v>61</v>
      </c>
      <c r="H458" s="1" t="s">
        <v>84</v>
      </c>
      <c r="I458" s="1" t="s">
        <v>127</v>
      </c>
      <c r="J458" s="1" t="s">
        <v>32</v>
      </c>
      <c r="K458" s="8">
        <v>10757</v>
      </c>
      <c r="L458" s="1">
        <v>10</v>
      </c>
      <c r="M458" s="1" t="s">
        <v>52</v>
      </c>
      <c r="N458" s="1" t="s">
        <v>52</v>
      </c>
      <c r="O458" t="str">
        <f t="shared" si="28"/>
        <v>OK</v>
      </c>
      <c r="P458" t="str">
        <f t="shared" si="29"/>
        <v>OK</v>
      </c>
      <c r="Q458">
        <f t="shared" si="30"/>
        <v>10</v>
      </c>
      <c r="R458" t="str">
        <f t="shared" si="31"/>
        <v>OK</v>
      </c>
    </row>
    <row r="459" spans="1:18">
      <c r="A459" s="1" t="s">
        <v>1538</v>
      </c>
      <c r="B459" s="1" t="s">
        <v>79</v>
      </c>
      <c r="C459" s="5">
        <v>45978</v>
      </c>
      <c r="D459" s="5">
        <v>45994</v>
      </c>
      <c r="E459" s="1" t="s">
        <v>249</v>
      </c>
      <c r="F459" s="1" t="s">
        <v>96</v>
      </c>
      <c r="G459" s="1">
        <v>12</v>
      </c>
      <c r="H459" s="1" t="s">
        <v>104</v>
      </c>
      <c r="I459" s="1" t="s">
        <v>127</v>
      </c>
      <c r="J459" s="1" t="s">
        <v>22</v>
      </c>
      <c r="K459" s="1">
        <v>5378</v>
      </c>
      <c r="L459" s="1">
        <v>16</v>
      </c>
      <c r="M459" s="1" t="s">
        <v>52</v>
      </c>
      <c r="N459" s="1" t="s">
        <v>33</v>
      </c>
      <c r="O459" t="str">
        <f t="shared" si="28"/>
        <v>OK</v>
      </c>
      <c r="P459" t="str">
        <f t="shared" si="29"/>
        <v>OK</v>
      </c>
      <c r="Q459">
        <f t="shared" si="30"/>
        <v>16</v>
      </c>
      <c r="R459" t="str">
        <f t="shared" si="31"/>
        <v>OK</v>
      </c>
    </row>
    <row r="460" spans="1:18">
      <c r="A460" s="1" t="s">
        <v>1540</v>
      </c>
      <c r="B460" s="1" t="s">
        <v>161</v>
      </c>
      <c r="C460" s="5">
        <v>45692</v>
      </c>
      <c r="D460" s="5"/>
      <c r="E460" s="1" t="s">
        <v>125</v>
      </c>
      <c r="F460" s="1" t="s">
        <v>126</v>
      </c>
      <c r="G460" s="1">
        <v>74</v>
      </c>
      <c r="H460" s="1" t="s">
        <v>84</v>
      </c>
      <c r="I460" s="1" t="s">
        <v>127</v>
      </c>
      <c r="J460" s="1" t="s">
        <v>32</v>
      </c>
      <c r="K460" s="1">
        <v>5143</v>
      </c>
      <c r="L460" s="1">
        <v>20</v>
      </c>
      <c r="M460" s="1" t="s">
        <v>33</v>
      </c>
      <c r="N460" s="1" t="s">
        <v>52</v>
      </c>
      <c r="O460" t="str">
        <f t="shared" si="28"/>
        <v>Missing date</v>
      </c>
      <c r="P460" t="str">
        <f t="shared" si="29"/>
        <v>OK</v>
      </c>
      <c r="Q460" t="str">
        <f t="shared" si="30"/>
        <v/>
      </c>
      <c r="R460" t="str">
        <f t="shared" si="31"/>
        <v>Cannot check dates</v>
      </c>
    </row>
    <row r="461" spans="1:18">
      <c r="A461" s="1" t="s">
        <v>1542</v>
      </c>
      <c r="B461" s="1" t="s">
        <v>172</v>
      </c>
      <c r="C461" s="5">
        <v>45934</v>
      </c>
      <c r="D461" s="5">
        <v>45936</v>
      </c>
      <c r="E461" s="1" t="s">
        <v>125</v>
      </c>
      <c r="F461" s="1" t="s">
        <v>126</v>
      </c>
      <c r="G461" s="1">
        <v>59</v>
      </c>
      <c r="H461" s="1"/>
      <c r="I461" s="1" t="s">
        <v>49</v>
      </c>
      <c r="J461" s="1" t="s">
        <v>22</v>
      </c>
      <c r="K461" s="1">
        <v>13040</v>
      </c>
      <c r="L461" s="1">
        <v>2</v>
      </c>
      <c r="M461" s="1" t="s">
        <v>52</v>
      </c>
      <c r="N461" s="1" t="s">
        <v>33</v>
      </c>
      <c r="O461" t="str">
        <f t="shared" si="28"/>
        <v>OK</v>
      </c>
      <c r="P461" t="str">
        <f t="shared" si="29"/>
        <v>OK</v>
      </c>
      <c r="Q461">
        <f t="shared" si="30"/>
        <v>2</v>
      </c>
      <c r="R461" t="str">
        <f t="shared" si="31"/>
        <v>OK</v>
      </c>
    </row>
    <row r="462" spans="1:18">
      <c r="A462" s="1" t="s">
        <v>1544</v>
      </c>
      <c r="B462" s="1" t="s">
        <v>1430</v>
      </c>
      <c r="C462" s="5">
        <v>45898</v>
      </c>
      <c r="D462" s="5">
        <v>45905</v>
      </c>
      <c r="E462" s="1" t="s">
        <v>249</v>
      </c>
      <c r="F462" s="1" t="s">
        <v>96</v>
      </c>
      <c r="G462" s="1">
        <v>6</v>
      </c>
      <c r="H462" s="1" t="s">
        <v>104</v>
      </c>
      <c r="I462" s="1" t="s">
        <v>65</v>
      </c>
      <c r="J462" s="1" t="s">
        <v>22</v>
      </c>
      <c r="K462" s="1">
        <v>7579</v>
      </c>
      <c r="L462" s="1"/>
      <c r="M462" s="1" t="s">
        <v>33</v>
      </c>
      <c r="N462" s="1" t="s">
        <v>52</v>
      </c>
      <c r="O462" t="str">
        <f t="shared" si="28"/>
        <v>OK</v>
      </c>
      <c r="P462" t="str">
        <f t="shared" si="29"/>
        <v>OK</v>
      </c>
      <c r="Q462">
        <f t="shared" si="30"/>
        <v>7</v>
      </c>
      <c r="R462" t="str">
        <f t="shared" si="31"/>
        <v>Missing recorded stay</v>
      </c>
    </row>
    <row r="463" spans="1:18">
      <c r="A463" s="1" t="s">
        <v>1546</v>
      </c>
      <c r="B463" s="1" t="s">
        <v>612</v>
      </c>
      <c r="C463" s="5">
        <v>45899</v>
      </c>
      <c r="D463" s="5">
        <v>45900</v>
      </c>
      <c r="E463" s="1" t="s">
        <v>18</v>
      </c>
      <c r="F463" s="1" t="s">
        <v>83</v>
      </c>
      <c r="G463" s="1">
        <v>39</v>
      </c>
      <c r="H463" s="1" t="s">
        <v>104</v>
      </c>
      <c r="I463" s="1" t="s">
        <v>49</v>
      </c>
      <c r="J463" s="1" t="s">
        <v>32</v>
      </c>
      <c r="K463" s="1">
        <v>5390</v>
      </c>
      <c r="L463" s="1">
        <v>1</v>
      </c>
      <c r="M463" s="1" t="s">
        <v>33</v>
      </c>
      <c r="N463" s="1" t="s">
        <v>52</v>
      </c>
      <c r="O463" t="str">
        <f t="shared" si="28"/>
        <v>OK</v>
      </c>
      <c r="P463" t="str">
        <f t="shared" si="29"/>
        <v>OK</v>
      </c>
      <c r="Q463">
        <f t="shared" si="30"/>
        <v>1</v>
      </c>
      <c r="R463" t="str">
        <f t="shared" si="31"/>
        <v>OK</v>
      </c>
    </row>
    <row r="464" spans="1:18">
      <c r="A464" s="1" t="s">
        <v>1548</v>
      </c>
      <c r="B464" s="1" t="s">
        <v>1549</v>
      </c>
      <c r="C464" s="5">
        <v>45797</v>
      </c>
      <c r="D464" s="5">
        <v>45799</v>
      </c>
      <c r="E464" s="1" t="s">
        <v>125</v>
      </c>
      <c r="F464" s="1" t="s">
        <v>126</v>
      </c>
      <c r="G464" s="1">
        <v>54</v>
      </c>
      <c r="H464" s="1" t="s">
        <v>104</v>
      </c>
      <c r="I464" s="1" t="s">
        <v>127</v>
      </c>
      <c r="J464" s="1" t="s">
        <v>40</v>
      </c>
      <c r="K464" s="1">
        <v>5489</v>
      </c>
      <c r="L464" s="1">
        <v>2</v>
      </c>
      <c r="M464" s="1" t="s">
        <v>33</v>
      </c>
      <c r="N464" s="1" t="s">
        <v>52</v>
      </c>
      <c r="O464" t="str">
        <f t="shared" si="28"/>
        <v>OK</v>
      </c>
      <c r="P464" t="str">
        <f t="shared" si="29"/>
        <v>OK</v>
      </c>
      <c r="Q464">
        <f t="shared" si="30"/>
        <v>2</v>
      </c>
      <c r="R464" t="str">
        <f t="shared" si="31"/>
        <v>OK</v>
      </c>
    </row>
    <row r="465" spans="1:18">
      <c r="A465" s="1" t="s">
        <v>1550</v>
      </c>
      <c r="B465" s="1" t="s">
        <v>376</v>
      </c>
      <c r="C465" s="5">
        <v>45760</v>
      </c>
      <c r="D465" s="5">
        <v>45761</v>
      </c>
      <c r="E465" s="1" t="s">
        <v>29</v>
      </c>
      <c r="F465" s="1" t="s">
        <v>77</v>
      </c>
      <c r="G465" s="1">
        <v>27</v>
      </c>
      <c r="H465" s="1" t="s">
        <v>84</v>
      </c>
      <c r="I465" s="1" t="s">
        <v>49</v>
      </c>
      <c r="J465" s="1" t="s">
        <v>40</v>
      </c>
      <c r="K465" s="1">
        <v>8589</v>
      </c>
      <c r="L465" s="1">
        <v>1</v>
      </c>
      <c r="M465" s="1" t="s">
        <v>33</v>
      </c>
      <c r="N465" s="1"/>
      <c r="O465" t="str">
        <f t="shared" si="28"/>
        <v>OK</v>
      </c>
      <c r="P465" t="str">
        <f t="shared" si="29"/>
        <v>OK</v>
      </c>
      <c r="Q465">
        <f t="shared" si="30"/>
        <v>1</v>
      </c>
      <c r="R465" t="str">
        <f t="shared" si="31"/>
        <v>OK</v>
      </c>
    </row>
    <row r="466" spans="1:18">
      <c r="A466" s="1" t="s">
        <v>1552</v>
      </c>
      <c r="B466" s="1" t="s">
        <v>266</v>
      </c>
      <c r="C466" s="5">
        <v>45712</v>
      </c>
      <c r="D466" s="5">
        <v>45722</v>
      </c>
      <c r="E466" s="1" t="s">
        <v>149</v>
      </c>
      <c r="F466" s="1" t="s">
        <v>109</v>
      </c>
      <c r="G466" s="1">
        <v>93</v>
      </c>
      <c r="H466" s="1" t="s">
        <v>84</v>
      </c>
      <c r="I466" s="1" t="s">
        <v>49</v>
      </c>
      <c r="J466" s="1" t="s">
        <v>40</v>
      </c>
      <c r="K466" s="1">
        <v>9892</v>
      </c>
      <c r="L466" s="1">
        <v>10</v>
      </c>
      <c r="M466" s="1" t="s">
        <v>33</v>
      </c>
      <c r="N466" s="1" t="s">
        <v>52</v>
      </c>
      <c r="O466" t="str">
        <f t="shared" si="28"/>
        <v>OK</v>
      </c>
      <c r="P466" t="str">
        <f t="shared" si="29"/>
        <v>OK</v>
      </c>
      <c r="Q466">
        <f t="shared" si="30"/>
        <v>10</v>
      </c>
      <c r="R466" t="str">
        <f t="shared" si="31"/>
        <v>OK</v>
      </c>
    </row>
    <row r="467" spans="1:18">
      <c r="A467" s="1" t="s">
        <v>1554</v>
      </c>
      <c r="B467" s="1" t="s">
        <v>569</v>
      </c>
      <c r="C467" s="5">
        <v>45946</v>
      </c>
      <c r="D467" s="5">
        <v>45956</v>
      </c>
      <c r="E467" s="1" t="s">
        <v>120</v>
      </c>
      <c r="F467" s="1" t="s">
        <v>39</v>
      </c>
      <c r="G467" s="1"/>
      <c r="H467" s="1" t="s">
        <v>84</v>
      </c>
      <c r="I467" s="1" t="s">
        <v>49</v>
      </c>
      <c r="J467" s="1" t="s">
        <v>22</v>
      </c>
      <c r="K467" s="1">
        <v>9854</v>
      </c>
      <c r="L467" s="1">
        <v>10</v>
      </c>
      <c r="M467" s="1" t="s">
        <v>33</v>
      </c>
      <c r="N467" s="1" t="s">
        <v>52</v>
      </c>
      <c r="O467" t="str">
        <f t="shared" si="28"/>
        <v>OK</v>
      </c>
      <c r="P467" t="str">
        <f t="shared" si="29"/>
        <v>OK</v>
      </c>
      <c r="Q467">
        <f t="shared" si="30"/>
        <v>10</v>
      </c>
      <c r="R467" t="str">
        <f t="shared" si="31"/>
        <v>OK</v>
      </c>
    </row>
    <row r="468" spans="1:18">
      <c r="A468" s="1" t="s">
        <v>1556</v>
      </c>
      <c r="B468" s="1" t="s">
        <v>129</v>
      </c>
      <c r="C468" s="5">
        <v>45699</v>
      </c>
      <c r="D468" s="5"/>
      <c r="E468" s="1" t="s">
        <v>120</v>
      </c>
      <c r="F468" s="1" t="s">
        <v>39</v>
      </c>
      <c r="G468" s="1">
        <v>53</v>
      </c>
      <c r="H468" s="1" t="s">
        <v>84</v>
      </c>
      <c r="I468" s="1" t="s">
        <v>49</v>
      </c>
      <c r="J468" s="1" t="s">
        <v>40</v>
      </c>
      <c r="K468" s="1"/>
      <c r="L468" s="1">
        <v>18</v>
      </c>
      <c r="M468" s="1" t="s">
        <v>52</v>
      </c>
      <c r="N468" s="1" t="s">
        <v>33</v>
      </c>
      <c r="O468" t="str">
        <f t="shared" si="28"/>
        <v>Missing date</v>
      </c>
      <c r="P468" t="str">
        <f t="shared" si="29"/>
        <v>Missing cost</v>
      </c>
      <c r="Q468" t="str">
        <f t="shared" si="30"/>
        <v/>
      </c>
      <c r="R468" t="str">
        <f t="shared" si="31"/>
        <v>Cannot check dates</v>
      </c>
    </row>
    <row r="469" spans="1:18">
      <c r="A469" s="1" t="s">
        <v>1557</v>
      </c>
      <c r="B469" s="1" t="s">
        <v>232</v>
      </c>
      <c r="C469" s="5">
        <v>45809</v>
      </c>
      <c r="D469" s="5" t="s">
        <v>1697</v>
      </c>
      <c r="E469" s="1" t="s">
        <v>120</v>
      </c>
      <c r="F469" s="1" t="s">
        <v>39</v>
      </c>
      <c r="G469" s="1">
        <v>35</v>
      </c>
      <c r="H469" s="1" t="s">
        <v>104</v>
      </c>
      <c r="I469" s="1" t="s">
        <v>65</v>
      </c>
      <c r="J469" s="1" t="s">
        <v>32</v>
      </c>
      <c r="K469" s="1">
        <v>5337</v>
      </c>
      <c r="L469" s="1">
        <v>12</v>
      </c>
      <c r="M469" s="1" t="s">
        <v>33</v>
      </c>
      <c r="N469" s="1" t="s">
        <v>52</v>
      </c>
      <c r="O469" t="str">
        <f t="shared" si="28"/>
        <v>OK</v>
      </c>
      <c r="P469" t="str">
        <f t="shared" si="29"/>
        <v>OK</v>
      </c>
      <c r="Q469" t="str">
        <f t="shared" si="30"/>
        <v/>
      </c>
      <c r="R469" t="str">
        <f t="shared" si="31"/>
        <v>Cannot check dates</v>
      </c>
    </row>
    <row r="470" spans="1:18">
      <c r="A470" s="1" t="s">
        <v>1558</v>
      </c>
      <c r="B470" s="1" t="s">
        <v>1559</v>
      </c>
      <c r="C470" s="5">
        <v>45925</v>
      </c>
      <c r="D470" s="5">
        <v>45945</v>
      </c>
      <c r="E470" s="1" t="s">
        <v>249</v>
      </c>
      <c r="F470" s="1" t="s">
        <v>96</v>
      </c>
      <c r="G470" s="1">
        <v>6</v>
      </c>
      <c r="H470" s="1" t="s">
        <v>84</v>
      </c>
      <c r="I470" s="1" t="s">
        <v>65</v>
      </c>
      <c r="J470" s="1" t="s">
        <v>22</v>
      </c>
      <c r="K470" s="1">
        <v>5653</v>
      </c>
      <c r="L470" s="1">
        <v>20</v>
      </c>
      <c r="M470" s="1" t="s">
        <v>52</v>
      </c>
      <c r="N470" s="1" t="s">
        <v>33</v>
      </c>
      <c r="O470" t="str">
        <f t="shared" si="28"/>
        <v>OK</v>
      </c>
      <c r="P470" t="str">
        <f t="shared" si="29"/>
        <v>OK</v>
      </c>
      <c r="Q470">
        <f t="shared" si="30"/>
        <v>20</v>
      </c>
      <c r="R470" t="str">
        <f t="shared" si="31"/>
        <v>OK</v>
      </c>
    </row>
    <row r="471" spans="1:18">
      <c r="A471" s="1" t="s">
        <v>1563</v>
      </c>
      <c r="B471" s="1" t="s">
        <v>1564</v>
      </c>
      <c r="C471" s="5">
        <v>45923</v>
      </c>
      <c r="D471" s="5">
        <v>45926</v>
      </c>
      <c r="E471" s="1" t="s">
        <v>125</v>
      </c>
      <c r="F471" s="1" t="s">
        <v>126</v>
      </c>
      <c r="G471" s="1">
        <v>83</v>
      </c>
      <c r="H471" s="1" t="s">
        <v>84</v>
      </c>
      <c r="I471" s="1" t="s">
        <v>127</v>
      </c>
      <c r="J471" s="1" t="s">
        <v>32</v>
      </c>
      <c r="K471" s="1">
        <v>13376</v>
      </c>
      <c r="L471" s="1">
        <v>3</v>
      </c>
      <c r="M471" s="1" t="s">
        <v>52</v>
      </c>
      <c r="N471" s="1" t="s">
        <v>52</v>
      </c>
      <c r="O471" t="str">
        <f t="shared" si="28"/>
        <v>OK</v>
      </c>
      <c r="P471" t="str">
        <f t="shared" si="29"/>
        <v>OK</v>
      </c>
      <c r="Q471">
        <f t="shared" si="30"/>
        <v>3</v>
      </c>
      <c r="R471" t="str">
        <f t="shared" si="31"/>
        <v>OK</v>
      </c>
    </row>
    <row r="472" spans="1:18">
      <c r="A472" s="1" t="s">
        <v>1566</v>
      </c>
      <c r="B472" s="1" t="s">
        <v>1567</v>
      </c>
      <c r="C472" s="5">
        <v>45770</v>
      </c>
      <c r="D472" s="5">
        <v>45783</v>
      </c>
      <c r="E472" s="1" t="s">
        <v>29</v>
      </c>
      <c r="F472" s="1" t="s">
        <v>77</v>
      </c>
      <c r="G472" s="1">
        <v>75</v>
      </c>
      <c r="H472" s="1" t="s">
        <v>84</v>
      </c>
      <c r="I472" s="1" t="s">
        <v>65</v>
      </c>
      <c r="J472" s="1" t="s">
        <v>32</v>
      </c>
      <c r="K472" s="1">
        <v>1475</v>
      </c>
      <c r="L472" s="1"/>
      <c r="M472" s="1" t="s">
        <v>52</v>
      </c>
      <c r="N472" s="1" t="s">
        <v>52</v>
      </c>
      <c r="O472" t="str">
        <f t="shared" si="28"/>
        <v>OK</v>
      </c>
      <c r="P472" t="str">
        <f t="shared" si="29"/>
        <v>OK</v>
      </c>
      <c r="Q472">
        <f t="shared" si="30"/>
        <v>13</v>
      </c>
      <c r="R472" t="str">
        <f t="shared" si="31"/>
        <v>Missing recorded stay</v>
      </c>
    </row>
    <row r="473" spans="1:18">
      <c r="A473" s="1" t="s">
        <v>1569</v>
      </c>
      <c r="B473" s="1" t="s">
        <v>337</v>
      </c>
      <c r="C473" s="5">
        <v>45947</v>
      </c>
      <c r="D473" s="5">
        <v>45962</v>
      </c>
      <c r="E473" s="1" t="s">
        <v>29</v>
      </c>
      <c r="F473" s="1" t="s">
        <v>77</v>
      </c>
      <c r="G473" s="1">
        <v>38</v>
      </c>
      <c r="H473" s="1" t="s">
        <v>84</v>
      </c>
      <c r="I473" s="1" t="s">
        <v>65</v>
      </c>
      <c r="J473" s="1" t="s">
        <v>40</v>
      </c>
      <c r="K473" s="1">
        <v>1900</v>
      </c>
      <c r="L473" s="1">
        <v>15</v>
      </c>
      <c r="M473" s="1" t="s">
        <v>33</v>
      </c>
      <c r="N473" s="1" t="s">
        <v>33</v>
      </c>
      <c r="O473" t="str">
        <f t="shared" si="28"/>
        <v>OK</v>
      </c>
      <c r="P473" t="str">
        <f t="shared" si="29"/>
        <v>OK</v>
      </c>
      <c r="Q473">
        <f t="shared" si="30"/>
        <v>15</v>
      </c>
      <c r="R473" t="str">
        <f t="shared" si="31"/>
        <v>OK</v>
      </c>
    </row>
    <row r="474" spans="1:18">
      <c r="A474" s="1" t="s">
        <v>1571</v>
      </c>
      <c r="B474" s="1" t="s">
        <v>43</v>
      </c>
      <c r="C474" s="5">
        <v>45855</v>
      </c>
      <c r="D474" s="5">
        <v>45863</v>
      </c>
      <c r="E474" s="1" t="s">
        <v>29</v>
      </c>
      <c r="F474" s="1" t="s">
        <v>77</v>
      </c>
      <c r="G474" s="1">
        <v>82</v>
      </c>
      <c r="H474" s="1" t="s">
        <v>84</v>
      </c>
      <c r="I474" s="1" t="s">
        <v>49</v>
      </c>
      <c r="J474" s="1" t="s">
        <v>32</v>
      </c>
      <c r="K474" s="1">
        <v>12137</v>
      </c>
      <c r="L474" s="1">
        <v>8</v>
      </c>
      <c r="M474" s="1" t="s">
        <v>52</v>
      </c>
      <c r="N474" s="1" t="s">
        <v>52</v>
      </c>
      <c r="O474" t="str">
        <f t="shared" si="28"/>
        <v>OK</v>
      </c>
      <c r="P474" t="str">
        <f t="shared" si="29"/>
        <v>OK</v>
      </c>
      <c r="Q474">
        <f t="shared" si="30"/>
        <v>8</v>
      </c>
      <c r="R474" t="str">
        <f t="shared" si="31"/>
        <v>OK</v>
      </c>
    </row>
    <row r="475" spans="1:18">
      <c r="A475" s="1" t="s">
        <v>1575</v>
      </c>
      <c r="B475" s="1" t="s">
        <v>1576</v>
      </c>
      <c r="C475" s="5">
        <v>45863</v>
      </c>
      <c r="D475" s="5">
        <v>45871</v>
      </c>
      <c r="E475" s="1" t="s">
        <v>149</v>
      </c>
      <c r="F475" s="1" t="s">
        <v>109</v>
      </c>
      <c r="G475" s="1">
        <v>64</v>
      </c>
      <c r="H475" s="1" t="s">
        <v>84</v>
      </c>
      <c r="I475" s="1" t="s">
        <v>65</v>
      </c>
      <c r="J475" s="1" t="s">
        <v>22</v>
      </c>
      <c r="K475" s="1">
        <v>5481</v>
      </c>
      <c r="L475" s="1">
        <v>8</v>
      </c>
      <c r="M475" s="1" t="s">
        <v>52</v>
      </c>
      <c r="N475" s="1" t="s">
        <v>52</v>
      </c>
      <c r="O475" t="str">
        <f t="shared" si="28"/>
        <v>OK</v>
      </c>
      <c r="P475" t="str">
        <f t="shared" si="29"/>
        <v>OK</v>
      </c>
      <c r="Q475">
        <f t="shared" si="30"/>
        <v>8</v>
      </c>
      <c r="R475" t="str">
        <f t="shared" si="31"/>
        <v>OK</v>
      </c>
    </row>
    <row r="476" spans="1:18">
      <c r="A476" s="1" t="s">
        <v>1577</v>
      </c>
      <c r="B476" s="1" t="s">
        <v>1578</v>
      </c>
      <c r="C476" s="5">
        <v>45863</v>
      </c>
      <c r="D476" s="5">
        <v>45880</v>
      </c>
      <c r="E476" s="1" t="s">
        <v>29</v>
      </c>
      <c r="F476" s="1" t="s">
        <v>77</v>
      </c>
      <c r="G476" s="1">
        <v>23</v>
      </c>
      <c r="H476" s="1" t="s">
        <v>104</v>
      </c>
      <c r="I476" s="1"/>
      <c r="J476" s="1" t="s">
        <v>32</v>
      </c>
      <c r="K476" s="1">
        <v>1971</v>
      </c>
      <c r="L476" s="1">
        <v>17</v>
      </c>
      <c r="M476" s="1" t="s">
        <v>52</v>
      </c>
      <c r="N476" s="1" t="s">
        <v>33</v>
      </c>
      <c r="O476" t="str">
        <f t="shared" si="28"/>
        <v>OK</v>
      </c>
      <c r="P476" t="str">
        <f t="shared" si="29"/>
        <v>OK</v>
      </c>
      <c r="Q476">
        <f t="shared" si="30"/>
        <v>17</v>
      </c>
      <c r="R476" t="str">
        <f t="shared" si="31"/>
        <v>OK</v>
      </c>
    </row>
    <row r="477" spans="1:18">
      <c r="A477" s="1" t="s">
        <v>1581</v>
      </c>
      <c r="B477" s="1" t="s">
        <v>1582</v>
      </c>
      <c r="C477" s="5">
        <v>45714</v>
      </c>
      <c r="D477" s="5">
        <v>45731</v>
      </c>
      <c r="E477" s="1" t="s">
        <v>149</v>
      </c>
      <c r="F477" s="1" t="s">
        <v>109</v>
      </c>
      <c r="G477" s="1">
        <v>34</v>
      </c>
      <c r="H477" s="1" t="s">
        <v>104</v>
      </c>
      <c r="I477" s="1" t="s">
        <v>49</v>
      </c>
      <c r="J477" s="1" t="s">
        <v>40</v>
      </c>
      <c r="K477" s="1">
        <v>3851</v>
      </c>
      <c r="L477" s="1">
        <v>17</v>
      </c>
      <c r="M477" s="1" t="s">
        <v>33</v>
      </c>
      <c r="N477" s="1" t="s">
        <v>52</v>
      </c>
      <c r="O477" t="str">
        <f t="shared" si="28"/>
        <v>OK</v>
      </c>
      <c r="P477" t="str">
        <f t="shared" si="29"/>
        <v>OK</v>
      </c>
      <c r="Q477">
        <f t="shared" si="30"/>
        <v>17</v>
      </c>
      <c r="R477" t="str">
        <f t="shared" si="31"/>
        <v>OK</v>
      </c>
    </row>
    <row r="478" spans="1:18">
      <c r="A478" s="1" t="s">
        <v>1585</v>
      </c>
      <c r="B478" s="1" t="s">
        <v>232</v>
      </c>
      <c r="C478" s="5">
        <v>46007</v>
      </c>
      <c r="D478" s="5">
        <v>46021</v>
      </c>
      <c r="E478" s="1" t="s">
        <v>149</v>
      </c>
      <c r="F478" s="1" t="s">
        <v>109</v>
      </c>
      <c r="G478" s="1"/>
      <c r="H478" s="1" t="s">
        <v>104</v>
      </c>
      <c r="I478" s="1" t="s">
        <v>127</v>
      </c>
      <c r="J478" s="1" t="s">
        <v>40</v>
      </c>
      <c r="K478" s="8">
        <v>4093</v>
      </c>
      <c r="L478" s="1">
        <v>14</v>
      </c>
      <c r="M478" s="1" t="s">
        <v>33</v>
      </c>
      <c r="N478" s="1" t="s">
        <v>33</v>
      </c>
      <c r="O478" t="str">
        <f t="shared" si="28"/>
        <v>OK</v>
      </c>
      <c r="P478" t="str">
        <f t="shared" si="29"/>
        <v>OK</v>
      </c>
      <c r="Q478">
        <f t="shared" si="30"/>
        <v>14</v>
      </c>
      <c r="R478" t="str">
        <f t="shared" si="31"/>
        <v>OK</v>
      </c>
    </row>
    <row r="479" spans="1:18">
      <c r="A479" s="1" t="s">
        <v>1588</v>
      </c>
      <c r="B479" s="1" t="s">
        <v>1589</v>
      </c>
      <c r="C479" s="5">
        <v>45734</v>
      </c>
      <c r="D479" s="5">
        <v>45750</v>
      </c>
      <c r="E479" s="1" t="s">
        <v>249</v>
      </c>
      <c r="F479" s="1" t="s">
        <v>96</v>
      </c>
      <c r="G479" s="1">
        <v>1</v>
      </c>
      <c r="H479" s="1" t="s">
        <v>84</v>
      </c>
      <c r="I479" s="1" t="s">
        <v>65</v>
      </c>
      <c r="J479" s="1" t="s">
        <v>32</v>
      </c>
      <c r="K479" s="1"/>
      <c r="L479" s="1">
        <v>16</v>
      </c>
      <c r="M479" s="1" t="s">
        <v>52</v>
      </c>
      <c r="N479" s="1" t="s">
        <v>52</v>
      </c>
      <c r="O479" t="str">
        <f t="shared" si="28"/>
        <v>OK</v>
      </c>
      <c r="P479" t="str">
        <f t="shared" si="29"/>
        <v>Missing cost</v>
      </c>
      <c r="Q479">
        <f t="shared" si="30"/>
        <v>16</v>
      </c>
      <c r="R479" t="str">
        <f t="shared" si="31"/>
        <v>OK</v>
      </c>
    </row>
    <row r="480" spans="1:18">
      <c r="A480" s="1" t="s">
        <v>1591</v>
      </c>
      <c r="B480" s="1" t="s">
        <v>1592</v>
      </c>
      <c r="C480" s="5">
        <v>45989</v>
      </c>
      <c r="D480" s="5">
        <v>45991</v>
      </c>
      <c r="E480" s="1" t="s">
        <v>18</v>
      </c>
      <c r="F480" s="1" t="s">
        <v>83</v>
      </c>
      <c r="G480" s="1">
        <v>63</v>
      </c>
      <c r="H480" s="1" t="s">
        <v>104</v>
      </c>
      <c r="I480" s="1" t="s">
        <v>127</v>
      </c>
      <c r="J480" s="1" t="s">
        <v>32</v>
      </c>
      <c r="K480" s="1">
        <v>-250</v>
      </c>
      <c r="L480" s="1">
        <v>2</v>
      </c>
      <c r="M480" s="1" t="s">
        <v>52</v>
      </c>
      <c r="N480" s="1" t="s">
        <v>52</v>
      </c>
      <c r="O480" t="str">
        <f t="shared" si="28"/>
        <v>OK</v>
      </c>
      <c r="P480" t="str">
        <f t="shared" si="29"/>
        <v>Negative cost</v>
      </c>
      <c r="Q480">
        <f t="shared" si="30"/>
        <v>2</v>
      </c>
      <c r="R480" t="str">
        <f t="shared" si="31"/>
        <v>OK</v>
      </c>
    </row>
    <row r="481" spans="1:18">
      <c r="A481" s="1" t="s">
        <v>1594</v>
      </c>
      <c r="B481" s="1" t="s">
        <v>1595</v>
      </c>
      <c r="C481" s="5">
        <v>45779</v>
      </c>
      <c r="D481" s="5">
        <v>45792</v>
      </c>
      <c r="E481" s="1" t="s">
        <v>29</v>
      </c>
      <c r="F481" s="1" t="s">
        <v>77</v>
      </c>
      <c r="G481" s="1">
        <v>32</v>
      </c>
      <c r="H481" s="1" t="s">
        <v>48</v>
      </c>
      <c r="I481" s="1" t="s">
        <v>65</v>
      </c>
      <c r="J481" s="1" t="s">
        <v>32</v>
      </c>
      <c r="K481" s="1">
        <v>4197</v>
      </c>
      <c r="L481" s="1">
        <v>13</v>
      </c>
      <c r="M481" s="1" t="s">
        <v>52</v>
      </c>
      <c r="N481" s="1" t="s">
        <v>52</v>
      </c>
      <c r="O481" t="str">
        <f t="shared" si="28"/>
        <v>OK</v>
      </c>
      <c r="P481" t="str">
        <f t="shared" si="29"/>
        <v>OK</v>
      </c>
      <c r="Q481">
        <f t="shared" si="30"/>
        <v>13</v>
      </c>
      <c r="R481" t="str">
        <f t="shared" si="31"/>
        <v>OK</v>
      </c>
    </row>
    <row r="482" spans="1:18">
      <c r="A482" s="1" t="s">
        <v>1598</v>
      </c>
      <c r="B482" s="1" t="s">
        <v>1559</v>
      </c>
      <c r="C482" s="5">
        <v>45745</v>
      </c>
      <c r="D482" s="5">
        <v>45750</v>
      </c>
      <c r="E482" s="1" t="s">
        <v>125</v>
      </c>
      <c r="F482" s="1" t="s">
        <v>126</v>
      </c>
      <c r="G482" s="1">
        <v>22</v>
      </c>
      <c r="H482" s="1" t="s">
        <v>84</v>
      </c>
      <c r="I482" s="1" t="s">
        <v>65</v>
      </c>
      <c r="J482" s="1" t="s">
        <v>32</v>
      </c>
      <c r="K482" s="8">
        <v>10395</v>
      </c>
      <c r="L482" s="1">
        <v>5</v>
      </c>
      <c r="M482" s="1" t="s">
        <v>52</v>
      </c>
      <c r="N482" s="1" t="s">
        <v>33</v>
      </c>
      <c r="O482" t="str">
        <f t="shared" si="28"/>
        <v>OK</v>
      </c>
      <c r="P482" t="str">
        <f t="shared" si="29"/>
        <v>OK</v>
      </c>
      <c r="Q482">
        <f t="shared" si="30"/>
        <v>5</v>
      </c>
      <c r="R482" t="str">
        <f t="shared" si="31"/>
        <v>OK</v>
      </c>
    </row>
    <row r="483" spans="1:18">
      <c r="A483" s="1" t="s">
        <v>1601</v>
      </c>
      <c r="B483" s="1" t="s">
        <v>1004</v>
      </c>
      <c r="C483" s="5">
        <v>45788</v>
      </c>
      <c r="D483" s="5">
        <v>45790</v>
      </c>
      <c r="E483" s="1" t="s">
        <v>29</v>
      </c>
      <c r="F483" s="1" t="s">
        <v>77</v>
      </c>
      <c r="G483" s="1">
        <v>52</v>
      </c>
      <c r="H483" s="1" t="s">
        <v>104</v>
      </c>
      <c r="I483" s="1" t="s">
        <v>65</v>
      </c>
      <c r="J483" s="1" t="s">
        <v>22</v>
      </c>
      <c r="K483" s="1">
        <v>9098</v>
      </c>
      <c r="L483" s="1">
        <v>2</v>
      </c>
      <c r="M483" s="1" t="s">
        <v>52</v>
      </c>
      <c r="N483" s="1" t="s">
        <v>33</v>
      </c>
      <c r="O483" t="str">
        <f t="shared" si="28"/>
        <v>OK</v>
      </c>
      <c r="P483" t="str">
        <f t="shared" si="29"/>
        <v>OK</v>
      </c>
      <c r="Q483">
        <f t="shared" si="30"/>
        <v>2</v>
      </c>
      <c r="R483" t="str">
        <f t="shared" si="31"/>
        <v>OK</v>
      </c>
    </row>
    <row r="484" spans="1:18">
      <c r="A484" s="1" t="s">
        <v>1603</v>
      </c>
      <c r="B484" s="1" t="s">
        <v>333</v>
      </c>
      <c r="C484" s="5">
        <v>45808</v>
      </c>
      <c r="D484" s="5">
        <v>45822</v>
      </c>
      <c r="E484" s="1" t="s">
        <v>120</v>
      </c>
      <c r="F484" s="1" t="s">
        <v>39</v>
      </c>
      <c r="G484" s="1">
        <v>66</v>
      </c>
      <c r="H484" s="1" t="s">
        <v>84</v>
      </c>
      <c r="I484" s="1" t="s">
        <v>65</v>
      </c>
      <c r="J484" s="1" t="s">
        <v>40</v>
      </c>
      <c r="K484" s="1">
        <v>11471</v>
      </c>
      <c r="L484" s="1">
        <v>14</v>
      </c>
      <c r="M484" s="1" t="s">
        <v>52</v>
      </c>
      <c r="N484" s="1" t="s">
        <v>52</v>
      </c>
      <c r="O484" t="str">
        <f t="shared" si="28"/>
        <v>OK</v>
      </c>
      <c r="P484" t="str">
        <f t="shared" si="29"/>
        <v>OK</v>
      </c>
      <c r="Q484">
        <f t="shared" si="30"/>
        <v>14</v>
      </c>
      <c r="R484" t="str">
        <f t="shared" si="31"/>
        <v>OK</v>
      </c>
    </row>
    <row r="485" spans="1:18">
      <c r="A485" s="1" t="s">
        <v>1606</v>
      </c>
      <c r="B485" s="1" t="s">
        <v>1607</v>
      </c>
      <c r="C485" s="5"/>
      <c r="D485" s="5">
        <v>45672</v>
      </c>
      <c r="E485" s="1" t="s">
        <v>149</v>
      </c>
      <c r="F485" s="1" t="s">
        <v>109</v>
      </c>
      <c r="G485" s="1">
        <v>41</v>
      </c>
      <c r="H485" s="1" t="s">
        <v>84</v>
      </c>
      <c r="I485" s="1" t="s">
        <v>127</v>
      </c>
      <c r="J485" s="1" t="s">
        <v>40</v>
      </c>
      <c r="K485" s="1">
        <v>4379</v>
      </c>
      <c r="L485" s="1">
        <v>9</v>
      </c>
      <c r="M485" s="1" t="s">
        <v>52</v>
      </c>
      <c r="N485" s="1" t="s">
        <v>52</v>
      </c>
      <c r="O485" t="str">
        <f t="shared" si="28"/>
        <v>Missing date</v>
      </c>
      <c r="P485" t="str">
        <f t="shared" si="29"/>
        <v>OK</v>
      </c>
      <c r="Q485" t="str">
        <f t="shared" si="30"/>
        <v/>
      </c>
      <c r="R485" t="str">
        <f t="shared" si="31"/>
        <v>Cannot check dates</v>
      </c>
    </row>
    <row r="486" spans="1:18">
      <c r="A486" s="1" t="s">
        <v>1609</v>
      </c>
      <c r="B486" s="1" t="s">
        <v>1610</v>
      </c>
      <c r="C486" s="5">
        <v>45834</v>
      </c>
      <c r="D486" s="5">
        <v>45853</v>
      </c>
      <c r="E486" s="1" t="s">
        <v>29</v>
      </c>
      <c r="F486" s="1" t="s">
        <v>77</v>
      </c>
      <c r="G486" s="1">
        <v>88</v>
      </c>
      <c r="H486" s="1" t="s">
        <v>84</v>
      </c>
      <c r="I486" s="1" t="s">
        <v>65</v>
      </c>
      <c r="J486" s="1" t="s">
        <v>22</v>
      </c>
      <c r="K486" s="1">
        <v>4601</v>
      </c>
      <c r="L486" s="1">
        <v>19</v>
      </c>
      <c r="M486" s="1" t="s">
        <v>33</v>
      </c>
      <c r="N486" s="1" t="s">
        <v>52</v>
      </c>
      <c r="O486" t="str">
        <f t="shared" si="28"/>
        <v>OK</v>
      </c>
      <c r="P486" t="str">
        <f t="shared" si="29"/>
        <v>OK</v>
      </c>
      <c r="Q486">
        <f t="shared" si="30"/>
        <v>19</v>
      </c>
      <c r="R486" t="str">
        <f t="shared" si="31"/>
        <v>OK</v>
      </c>
    </row>
    <row r="487" spans="1:18">
      <c r="A487" s="1" t="s">
        <v>1612</v>
      </c>
      <c r="B487" s="1" t="s">
        <v>442</v>
      </c>
      <c r="C487" s="5">
        <v>45923</v>
      </c>
      <c r="D487" s="5">
        <v>45924</v>
      </c>
      <c r="E487" s="1" t="s">
        <v>29</v>
      </c>
      <c r="F487" s="1" t="s">
        <v>77</v>
      </c>
      <c r="G487" s="1">
        <v>29</v>
      </c>
      <c r="H487" s="1" t="s">
        <v>84</v>
      </c>
      <c r="I487" s="1" t="s">
        <v>65</v>
      </c>
      <c r="J487" s="1" t="s">
        <v>40</v>
      </c>
      <c r="K487" s="1">
        <v>9856</v>
      </c>
      <c r="L487" s="1">
        <v>1</v>
      </c>
      <c r="M487" s="1" t="s">
        <v>33</v>
      </c>
      <c r="N487" s="1" t="s">
        <v>52</v>
      </c>
      <c r="O487" t="str">
        <f t="shared" si="28"/>
        <v>OK</v>
      </c>
      <c r="P487" t="str">
        <f t="shared" si="29"/>
        <v>OK</v>
      </c>
      <c r="Q487">
        <f t="shared" si="30"/>
        <v>1</v>
      </c>
      <c r="R487" t="str">
        <f t="shared" si="31"/>
        <v>OK</v>
      </c>
    </row>
    <row r="488" spans="1:18">
      <c r="A488" s="1" t="s">
        <v>116</v>
      </c>
      <c r="B488" s="1" t="s">
        <v>117</v>
      </c>
      <c r="C488" s="5">
        <v>45661</v>
      </c>
      <c r="D488" s="5">
        <v>45670</v>
      </c>
      <c r="E488" s="1" t="s">
        <v>120</v>
      </c>
      <c r="F488" s="1" t="s">
        <v>39</v>
      </c>
      <c r="G488" s="1">
        <v>49</v>
      </c>
      <c r="H488" s="1" t="s">
        <v>84</v>
      </c>
      <c r="I488" s="1" t="s">
        <v>65</v>
      </c>
      <c r="J488" s="1" t="s">
        <v>22</v>
      </c>
      <c r="K488" s="1"/>
      <c r="L488" s="1">
        <v>9</v>
      </c>
      <c r="M488" s="1" t="s">
        <v>33</v>
      </c>
      <c r="N488" s="1" t="s">
        <v>33</v>
      </c>
      <c r="O488" t="str">
        <f t="shared" si="28"/>
        <v>OK</v>
      </c>
      <c r="P488" t="str">
        <f t="shared" si="29"/>
        <v>Missing cost</v>
      </c>
      <c r="Q488">
        <f t="shared" si="30"/>
        <v>9</v>
      </c>
      <c r="R488" t="str">
        <f t="shared" si="31"/>
        <v>OK</v>
      </c>
    </row>
    <row r="489" spans="1:18">
      <c r="A489" s="1" t="s">
        <v>1614</v>
      </c>
      <c r="B489" s="1" t="s">
        <v>1404</v>
      </c>
      <c r="C489" s="5">
        <v>45719</v>
      </c>
      <c r="D489" s="5">
        <v>45727</v>
      </c>
      <c r="E489" s="1" t="s">
        <v>125</v>
      </c>
      <c r="F489" s="1" t="s">
        <v>126</v>
      </c>
      <c r="G489" s="1">
        <v>29</v>
      </c>
      <c r="H489" s="1" t="s">
        <v>84</v>
      </c>
      <c r="I489" s="1" t="s">
        <v>127</v>
      </c>
      <c r="J489" s="1" t="s">
        <v>22</v>
      </c>
      <c r="K489" s="1">
        <v>7647</v>
      </c>
      <c r="L489" s="1">
        <v>8</v>
      </c>
      <c r="M489" s="1" t="s">
        <v>52</v>
      </c>
      <c r="N489" s="1" t="s">
        <v>33</v>
      </c>
      <c r="O489" t="str">
        <f t="shared" si="28"/>
        <v>OK</v>
      </c>
      <c r="P489" t="str">
        <f t="shared" si="29"/>
        <v>OK</v>
      </c>
      <c r="Q489">
        <f t="shared" si="30"/>
        <v>8</v>
      </c>
      <c r="R489" t="str">
        <f t="shared" si="31"/>
        <v>OK</v>
      </c>
    </row>
    <row r="490" spans="1:18">
      <c r="A490" s="1" t="s">
        <v>1617</v>
      </c>
      <c r="B490" s="1" t="s">
        <v>1618</v>
      </c>
      <c r="C490" s="5">
        <v>45736</v>
      </c>
      <c r="D490" s="5">
        <v>45751</v>
      </c>
      <c r="E490" s="1" t="s">
        <v>18</v>
      </c>
      <c r="F490" s="1" t="s">
        <v>83</v>
      </c>
      <c r="G490" s="1">
        <v>46</v>
      </c>
      <c r="H490" s="1" t="s">
        <v>104</v>
      </c>
      <c r="I490" s="1" t="s">
        <v>127</v>
      </c>
      <c r="J490" s="1" t="s">
        <v>40</v>
      </c>
      <c r="K490" s="1">
        <v>10384</v>
      </c>
      <c r="L490" s="1">
        <v>15</v>
      </c>
      <c r="M490" s="1" t="s">
        <v>52</v>
      </c>
      <c r="N490" s="1" t="s">
        <v>33</v>
      </c>
      <c r="O490" t="str">
        <f t="shared" si="28"/>
        <v>OK</v>
      </c>
      <c r="P490" t="str">
        <f t="shared" si="29"/>
        <v>OK</v>
      </c>
      <c r="Q490">
        <f t="shared" si="30"/>
        <v>15</v>
      </c>
      <c r="R490" t="str">
        <f t="shared" si="31"/>
        <v>OK</v>
      </c>
    </row>
    <row r="491" spans="1:18">
      <c r="A491" s="1" t="s">
        <v>1622</v>
      </c>
      <c r="B491" s="1" t="s">
        <v>722</v>
      </c>
      <c r="C491" s="5">
        <v>45717</v>
      </c>
      <c r="D491" s="5">
        <v>45737</v>
      </c>
      <c r="E491" s="1" t="s">
        <v>249</v>
      </c>
      <c r="F491" s="1" t="s">
        <v>96</v>
      </c>
      <c r="G491" s="1">
        <v>8</v>
      </c>
      <c r="H491" s="1" t="s">
        <v>84</v>
      </c>
      <c r="I491" s="1" t="s">
        <v>153</v>
      </c>
      <c r="J491" s="1" t="s">
        <v>22</v>
      </c>
      <c r="K491" s="1">
        <v>12270</v>
      </c>
      <c r="L491" s="1"/>
      <c r="M491" s="1" t="s">
        <v>33</v>
      </c>
      <c r="N491" s="1" t="s">
        <v>52</v>
      </c>
      <c r="O491" t="str">
        <f t="shared" si="28"/>
        <v>OK</v>
      </c>
      <c r="P491" t="str">
        <f t="shared" si="29"/>
        <v>OK</v>
      </c>
      <c r="Q491">
        <f t="shared" si="30"/>
        <v>20</v>
      </c>
      <c r="R491" t="str">
        <f t="shared" si="31"/>
        <v>Missing recorded stay</v>
      </c>
    </row>
    <row r="492" spans="1:18">
      <c r="A492" s="1" t="s">
        <v>1624</v>
      </c>
      <c r="B492" s="1" t="s">
        <v>378</v>
      </c>
      <c r="C492" s="5">
        <v>45940</v>
      </c>
      <c r="D492" s="5">
        <v>45950</v>
      </c>
      <c r="E492" s="1" t="s">
        <v>249</v>
      </c>
      <c r="F492" s="1" t="s">
        <v>96</v>
      </c>
      <c r="G492" s="1">
        <v>13</v>
      </c>
      <c r="H492" s="1" t="s">
        <v>84</v>
      </c>
      <c r="I492" s="1" t="s">
        <v>127</v>
      </c>
      <c r="J492" s="1" t="s">
        <v>40</v>
      </c>
      <c r="K492" s="1">
        <v>3984</v>
      </c>
      <c r="L492" s="1">
        <v>10</v>
      </c>
      <c r="M492" s="1" t="s">
        <v>33</v>
      </c>
      <c r="N492" s="1" t="s">
        <v>52</v>
      </c>
      <c r="O492" t="str">
        <f t="shared" si="28"/>
        <v>OK</v>
      </c>
      <c r="P492" t="str">
        <f t="shared" si="29"/>
        <v>OK</v>
      </c>
      <c r="Q492">
        <f t="shared" si="30"/>
        <v>10</v>
      </c>
      <c r="R492" t="str">
        <f t="shared" si="31"/>
        <v>OK</v>
      </c>
    </row>
    <row r="493" spans="1:18">
      <c r="A493" s="1" t="s">
        <v>1627</v>
      </c>
      <c r="B493" s="1" t="s">
        <v>217</v>
      </c>
      <c r="C493" s="5"/>
      <c r="D493" s="5">
        <v>45973</v>
      </c>
      <c r="E493" s="1" t="s">
        <v>29</v>
      </c>
      <c r="F493" s="1" t="s">
        <v>77</v>
      </c>
      <c r="G493" s="1">
        <v>54</v>
      </c>
      <c r="H493" s="1" t="s">
        <v>104</v>
      </c>
      <c r="I493" s="1" t="s">
        <v>153</v>
      </c>
      <c r="J493" s="1" t="s">
        <v>40</v>
      </c>
      <c r="K493" s="1">
        <v>6766</v>
      </c>
      <c r="L493" s="1">
        <v>2</v>
      </c>
      <c r="M493" s="1" t="s">
        <v>33</v>
      </c>
      <c r="N493" s="1" t="s">
        <v>52</v>
      </c>
      <c r="O493" t="str">
        <f t="shared" si="28"/>
        <v>Missing date</v>
      </c>
      <c r="P493" t="str">
        <f t="shared" si="29"/>
        <v>OK</v>
      </c>
      <c r="Q493" t="str">
        <f t="shared" si="30"/>
        <v/>
      </c>
      <c r="R493" t="str">
        <f t="shared" si="31"/>
        <v>Cannot check dates</v>
      </c>
    </row>
    <row r="494" spans="1:18">
      <c r="A494" s="1" t="s">
        <v>1628</v>
      </c>
      <c r="B494" s="1" t="s">
        <v>254</v>
      </c>
      <c r="C494" s="5">
        <v>45888</v>
      </c>
      <c r="D494" s="5">
        <v>45894</v>
      </c>
      <c r="E494" s="1" t="s">
        <v>149</v>
      </c>
      <c r="F494" s="1" t="s">
        <v>109</v>
      </c>
      <c r="G494" s="1">
        <v>35</v>
      </c>
      <c r="H494" s="1" t="s">
        <v>84</v>
      </c>
      <c r="I494" s="1" t="s">
        <v>127</v>
      </c>
      <c r="J494" s="1" t="s">
        <v>22</v>
      </c>
      <c r="K494" s="1">
        <v>-250</v>
      </c>
      <c r="L494" s="1">
        <v>6</v>
      </c>
      <c r="M494" s="1" t="s">
        <v>33</v>
      </c>
      <c r="N494" s="1" t="s">
        <v>52</v>
      </c>
      <c r="O494" t="str">
        <f t="shared" si="28"/>
        <v>OK</v>
      </c>
      <c r="P494" t="str">
        <f t="shared" si="29"/>
        <v>Negative cost</v>
      </c>
      <c r="Q494">
        <f t="shared" si="30"/>
        <v>6</v>
      </c>
      <c r="R494" t="str">
        <f t="shared" si="31"/>
        <v>OK</v>
      </c>
    </row>
    <row r="495" spans="1:18">
      <c r="A495" s="1" t="s">
        <v>1630</v>
      </c>
      <c r="B495" s="1" t="s">
        <v>272</v>
      </c>
      <c r="C495" s="5">
        <v>45904</v>
      </c>
      <c r="D495" s="5">
        <v>45911</v>
      </c>
      <c r="E495" s="1" t="s">
        <v>125</v>
      </c>
      <c r="F495" s="1" t="s">
        <v>126</v>
      </c>
      <c r="G495" s="1">
        <v>66</v>
      </c>
      <c r="H495" s="1" t="s">
        <v>104</v>
      </c>
      <c r="I495" s="1" t="s">
        <v>127</v>
      </c>
      <c r="J495" s="1" t="s">
        <v>32</v>
      </c>
      <c r="K495" s="1">
        <v>14181</v>
      </c>
      <c r="L495" s="1">
        <v>7</v>
      </c>
      <c r="M495" s="1" t="s">
        <v>52</v>
      </c>
      <c r="N495" s="1" t="s">
        <v>52</v>
      </c>
      <c r="O495" t="str">
        <f t="shared" si="28"/>
        <v>OK</v>
      </c>
      <c r="P495" t="str">
        <f t="shared" si="29"/>
        <v>OK</v>
      </c>
      <c r="Q495">
        <f t="shared" si="30"/>
        <v>7</v>
      </c>
      <c r="R495" t="str">
        <f t="shared" si="31"/>
        <v>OK</v>
      </c>
    </row>
    <row r="496" spans="1:18">
      <c r="A496" s="1" t="s">
        <v>1632</v>
      </c>
      <c r="B496" s="1" t="s">
        <v>1633</v>
      </c>
      <c r="C496" s="5">
        <v>45927</v>
      </c>
      <c r="D496" s="5">
        <v>45937</v>
      </c>
      <c r="E496" s="1" t="s">
        <v>29</v>
      </c>
      <c r="F496" s="1" t="s">
        <v>77</v>
      </c>
      <c r="G496" s="1">
        <v>60</v>
      </c>
      <c r="H496" s="1" t="s">
        <v>84</v>
      </c>
      <c r="I496" s="1"/>
      <c r="J496" s="1" t="s">
        <v>40</v>
      </c>
      <c r="K496" s="8">
        <v>11242</v>
      </c>
      <c r="L496" s="1">
        <v>10</v>
      </c>
      <c r="M496" s="1" t="s">
        <v>52</v>
      </c>
      <c r="N496" s="1" t="s">
        <v>33</v>
      </c>
      <c r="O496" t="str">
        <f t="shared" si="28"/>
        <v>OK</v>
      </c>
      <c r="P496" t="str">
        <f t="shared" si="29"/>
        <v>OK</v>
      </c>
      <c r="Q496">
        <f t="shared" si="30"/>
        <v>10</v>
      </c>
      <c r="R496" t="str">
        <f t="shared" si="31"/>
        <v>OK</v>
      </c>
    </row>
    <row r="497" spans="1:18">
      <c r="A497" s="1" t="s">
        <v>1636</v>
      </c>
      <c r="B497" s="1" t="s">
        <v>337</v>
      </c>
      <c r="C497" s="5">
        <v>45918</v>
      </c>
      <c r="D497" s="5">
        <v>45936</v>
      </c>
      <c r="E497" s="1" t="s">
        <v>120</v>
      </c>
      <c r="F497" s="1" t="s">
        <v>39</v>
      </c>
      <c r="G497" s="1">
        <v>79</v>
      </c>
      <c r="H497" s="1" t="s">
        <v>104</v>
      </c>
      <c r="I497" s="1" t="s">
        <v>127</v>
      </c>
      <c r="J497" s="1" t="s">
        <v>40</v>
      </c>
      <c r="K497" s="1">
        <v>883</v>
      </c>
      <c r="L497" s="1">
        <v>18</v>
      </c>
      <c r="M497" s="1" t="s">
        <v>33</v>
      </c>
      <c r="N497" s="1" t="s">
        <v>52</v>
      </c>
      <c r="O497" t="str">
        <f t="shared" si="28"/>
        <v>OK</v>
      </c>
      <c r="P497" t="str">
        <f t="shared" si="29"/>
        <v>OK</v>
      </c>
      <c r="Q497">
        <f t="shared" si="30"/>
        <v>18</v>
      </c>
      <c r="R497" t="str">
        <f t="shared" si="31"/>
        <v>OK</v>
      </c>
    </row>
    <row r="498" spans="1:18">
      <c r="A498" s="1" t="s">
        <v>1637</v>
      </c>
      <c r="B498" s="1" t="s">
        <v>1243</v>
      </c>
      <c r="C498" s="5">
        <v>45767</v>
      </c>
      <c r="D498" s="5">
        <v>45781</v>
      </c>
      <c r="E498" s="1" t="s">
        <v>149</v>
      </c>
      <c r="F498" s="1" t="s">
        <v>109</v>
      </c>
      <c r="G498" s="1">
        <v>83</v>
      </c>
      <c r="H498" s="1" t="s">
        <v>104</v>
      </c>
      <c r="I498" s="1" t="s">
        <v>65</v>
      </c>
      <c r="J498" s="1" t="s">
        <v>32</v>
      </c>
      <c r="K498" s="1">
        <v>8097</v>
      </c>
      <c r="L498" s="1">
        <v>14</v>
      </c>
      <c r="M498" s="1" t="s">
        <v>33</v>
      </c>
      <c r="N498" s="1" t="s">
        <v>33</v>
      </c>
      <c r="O498" t="str">
        <f t="shared" si="28"/>
        <v>OK</v>
      </c>
      <c r="P498" t="str">
        <f t="shared" si="29"/>
        <v>OK</v>
      </c>
      <c r="Q498">
        <f t="shared" si="30"/>
        <v>14</v>
      </c>
      <c r="R498" t="str">
        <f t="shared" si="31"/>
        <v>OK</v>
      </c>
    </row>
    <row r="499" spans="1:18">
      <c r="A499" s="1" t="s">
        <v>1639</v>
      </c>
      <c r="B499" s="1" t="s">
        <v>878</v>
      </c>
      <c r="C499" s="5">
        <v>46005</v>
      </c>
      <c r="D499" s="5">
        <v>46015</v>
      </c>
      <c r="E499" s="1" t="s">
        <v>149</v>
      </c>
      <c r="F499" s="1" t="s">
        <v>109</v>
      </c>
      <c r="G499" s="1">
        <v>39</v>
      </c>
      <c r="H499" s="1" t="s">
        <v>84</v>
      </c>
      <c r="I499" s="1" t="s">
        <v>49</v>
      </c>
      <c r="J499" s="1" t="s">
        <v>32</v>
      </c>
      <c r="K499" s="1"/>
      <c r="L499" s="1">
        <v>10</v>
      </c>
      <c r="M499" s="1" t="s">
        <v>52</v>
      </c>
      <c r="N499" s="1" t="s">
        <v>52</v>
      </c>
      <c r="O499" t="str">
        <f t="shared" si="28"/>
        <v>OK</v>
      </c>
      <c r="P499" t="str">
        <f t="shared" si="29"/>
        <v>Missing cost</v>
      </c>
      <c r="Q499">
        <f t="shared" si="30"/>
        <v>10</v>
      </c>
      <c r="R499" t="str">
        <f t="shared" si="31"/>
        <v>OK</v>
      </c>
    </row>
    <row r="500" spans="1:18">
      <c r="A500" s="1" t="s">
        <v>1642</v>
      </c>
      <c r="B500" s="1" t="s">
        <v>604</v>
      </c>
      <c r="C500" s="5">
        <v>45877</v>
      </c>
      <c r="D500" s="5">
        <v>45887</v>
      </c>
      <c r="E500" s="1" t="s">
        <v>125</v>
      </c>
      <c r="F500" s="1" t="s">
        <v>126</v>
      </c>
      <c r="G500" s="1">
        <v>39</v>
      </c>
      <c r="H500" s="1" t="s">
        <v>104</v>
      </c>
      <c r="I500" s="1" t="s">
        <v>65</v>
      </c>
      <c r="J500" s="1" t="s">
        <v>32</v>
      </c>
      <c r="K500" s="1">
        <v>721</v>
      </c>
      <c r="L500" s="1">
        <v>10</v>
      </c>
      <c r="M500" s="1" t="s">
        <v>52</v>
      </c>
      <c r="N500" s="1" t="s">
        <v>33</v>
      </c>
      <c r="O500" t="str">
        <f t="shared" si="28"/>
        <v>OK</v>
      </c>
      <c r="P500" t="str">
        <f t="shared" si="29"/>
        <v>OK</v>
      </c>
      <c r="Q500">
        <f t="shared" si="30"/>
        <v>10</v>
      </c>
      <c r="R500" t="str">
        <f t="shared" si="31"/>
        <v>OK</v>
      </c>
    </row>
    <row r="501" spans="1:18">
      <c r="A501" s="1" t="s">
        <v>1644</v>
      </c>
      <c r="B501" s="1" t="s">
        <v>1153</v>
      </c>
      <c r="C501" s="5">
        <v>45925</v>
      </c>
      <c r="D501" s="5">
        <v>45935</v>
      </c>
      <c r="E501" s="1" t="s">
        <v>125</v>
      </c>
      <c r="F501" s="1" t="s">
        <v>126</v>
      </c>
      <c r="G501" s="1">
        <v>82</v>
      </c>
      <c r="H501" s="1" t="s">
        <v>84</v>
      </c>
      <c r="I501" s="1" t="s">
        <v>153</v>
      </c>
      <c r="J501" s="1" t="s">
        <v>40</v>
      </c>
      <c r="K501" s="1">
        <v>9852</v>
      </c>
      <c r="L501" s="1">
        <v>10</v>
      </c>
      <c r="M501" s="1" t="s">
        <v>52</v>
      </c>
      <c r="N501" s="1" t="s">
        <v>33</v>
      </c>
      <c r="O501" t="str">
        <f t="shared" si="28"/>
        <v>OK</v>
      </c>
      <c r="P501" t="str">
        <f t="shared" si="29"/>
        <v>OK</v>
      </c>
      <c r="Q501">
        <f t="shared" si="30"/>
        <v>10</v>
      </c>
      <c r="R501" t="str">
        <f t="shared" si="31"/>
        <v>OK</v>
      </c>
    </row>
    <row r="502" spans="1:18">
      <c r="A502" s="1" t="s">
        <v>1647</v>
      </c>
      <c r="B502" s="1" t="s">
        <v>1648</v>
      </c>
      <c r="C502" s="5">
        <v>45778</v>
      </c>
      <c r="D502" s="5">
        <v>45786</v>
      </c>
      <c r="E502" s="1" t="s">
        <v>18</v>
      </c>
      <c r="F502" s="1" t="s">
        <v>83</v>
      </c>
      <c r="G502" s="1">
        <v>29</v>
      </c>
      <c r="H502" s="1" t="s">
        <v>84</v>
      </c>
      <c r="I502" s="1" t="s">
        <v>127</v>
      </c>
      <c r="J502" s="1" t="s">
        <v>40</v>
      </c>
      <c r="K502" s="1">
        <v>4733</v>
      </c>
      <c r="L502" s="1">
        <v>8</v>
      </c>
      <c r="M502" s="1" t="s">
        <v>52</v>
      </c>
      <c r="N502" s="1" t="s">
        <v>52</v>
      </c>
      <c r="O502" t="str">
        <f t="shared" si="28"/>
        <v>OK</v>
      </c>
      <c r="P502" t="str">
        <f t="shared" si="29"/>
        <v>OK</v>
      </c>
      <c r="Q502">
        <f t="shared" si="30"/>
        <v>8</v>
      </c>
      <c r="R502" t="str">
        <f t="shared" si="31"/>
        <v>OK</v>
      </c>
    </row>
    <row r="503" spans="1:18">
      <c r="A503" s="1" t="s">
        <v>1649</v>
      </c>
      <c r="B503" s="1" t="s">
        <v>918</v>
      </c>
      <c r="C503" s="5">
        <v>45986</v>
      </c>
      <c r="D503" s="5">
        <v>46002</v>
      </c>
      <c r="E503" s="1" t="s">
        <v>18</v>
      </c>
      <c r="F503" s="1" t="s">
        <v>83</v>
      </c>
      <c r="G503" s="1">
        <v>47</v>
      </c>
      <c r="H503" s="1" t="s">
        <v>104</v>
      </c>
      <c r="I503" s="1" t="s">
        <v>127</v>
      </c>
      <c r="J503" s="1" t="s">
        <v>32</v>
      </c>
      <c r="K503" s="1">
        <v>10794</v>
      </c>
      <c r="L503" s="1">
        <v>16</v>
      </c>
      <c r="M503" s="1" t="s">
        <v>33</v>
      </c>
      <c r="N503" s="1" t="s">
        <v>33</v>
      </c>
      <c r="O503" t="str">
        <f t="shared" si="28"/>
        <v>OK</v>
      </c>
      <c r="P503" t="str">
        <f t="shared" si="29"/>
        <v>OK</v>
      </c>
      <c r="Q503">
        <f t="shared" si="30"/>
        <v>16</v>
      </c>
      <c r="R503" t="str">
        <f t="shared" si="31"/>
        <v>OK</v>
      </c>
    </row>
    <row r="504" spans="1:18">
      <c r="A504" s="1" t="s">
        <v>1650</v>
      </c>
      <c r="B504" s="1" t="s">
        <v>507</v>
      </c>
      <c r="C504" s="5"/>
      <c r="D504" s="5">
        <v>45979</v>
      </c>
      <c r="E504" s="1" t="s">
        <v>249</v>
      </c>
      <c r="F504" s="1" t="s">
        <v>96</v>
      </c>
      <c r="G504" s="1">
        <v>3</v>
      </c>
      <c r="H504" s="1" t="s">
        <v>104</v>
      </c>
      <c r="I504" s="1" t="s">
        <v>49</v>
      </c>
      <c r="J504" s="1" t="s">
        <v>40</v>
      </c>
      <c r="K504" s="1">
        <v>714</v>
      </c>
      <c r="L504" s="1">
        <v>1</v>
      </c>
      <c r="M504" s="1" t="s">
        <v>33</v>
      </c>
      <c r="N504" s="1" t="s">
        <v>52</v>
      </c>
      <c r="O504" t="str">
        <f t="shared" si="28"/>
        <v>Missing date</v>
      </c>
      <c r="P504" t="str">
        <f t="shared" si="29"/>
        <v>OK</v>
      </c>
      <c r="Q504" t="str">
        <f t="shared" si="30"/>
        <v/>
      </c>
      <c r="R504" t="str">
        <f t="shared" si="31"/>
        <v>Cannot check dates</v>
      </c>
    </row>
    <row r="505" spans="1:18">
      <c r="A505" s="1" t="s">
        <v>1652</v>
      </c>
      <c r="B505" s="1" t="s">
        <v>1653</v>
      </c>
      <c r="C505" s="5">
        <v>45845</v>
      </c>
      <c r="D505" s="5"/>
      <c r="E505" s="1" t="s">
        <v>149</v>
      </c>
      <c r="F505" s="1" t="s">
        <v>109</v>
      </c>
      <c r="G505" s="1">
        <v>73</v>
      </c>
      <c r="H505" s="1" t="s">
        <v>84</v>
      </c>
      <c r="I505" s="1" t="s">
        <v>127</v>
      </c>
      <c r="J505" s="1" t="s">
        <v>40</v>
      </c>
      <c r="K505" s="1">
        <v>13245</v>
      </c>
      <c r="L505" s="1">
        <v>18</v>
      </c>
      <c r="M505" s="1" t="s">
        <v>33</v>
      </c>
      <c r="N505" s="1" t="s">
        <v>52</v>
      </c>
      <c r="O505" t="str">
        <f t="shared" si="28"/>
        <v>Missing date</v>
      </c>
      <c r="P505" t="str">
        <f t="shared" si="29"/>
        <v>OK</v>
      </c>
      <c r="Q505" t="str">
        <f t="shared" si="30"/>
        <v/>
      </c>
      <c r="R505" t="str">
        <f t="shared" si="31"/>
        <v>Cannot check dates</v>
      </c>
    </row>
    <row r="506" spans="1:18">
      <c r="A506" s="1" t="s">
        <v>1654</v>
      </c>
      <c r="B506" s="1" t="s">
        <v>1655</v>
      </c>
      <c r="C506" s="5">
        <v>45755</v>
      </c>
      <c r="D506" s="5">
        <v>45765</v>
      </c>
      <c r="E506" s="1" t="s">
        <v>120</v>
      </c>
      <c r="F506" s="1" t="s">
        <v>39</v>
      </c>
      <c r="G506" s="1">
        <v>42</v>
      </c>
      <c r="H506" s="1" t="s">
        <v>84</v>
      </c>
      <c r="I506" s="1" t="s">
        <v>127</v>
      </c>
      <c r="J506" s="1" t="s">
        <v>40</v>
      </c>
      <c r="K506" s="8">
        <v>5253</v>
      </c>
      <c r="L506" s="1">
        <v>10</v>
      </c>
      <c r="M506" s="1" t="s">
        <v>33</v>
      </c>
      <c r="N506" s="1" t="s">
        <v>33</v>
      </c>
      <c r="O506" t="str">
        <f t="shared" si="28"/>
        <v>OK</v>
      </c>
      <c r="P506" t="str">
        <f t="shared" si="29"/>
        <v>OK</v>
      </c>
      <c r="Q506">
        <f t="shared" si="30"/>
        <v>10</v>
      </c>
      <c r="R506" t="str">
        <f t="shared" si="31"/>
        <v>OK</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B71A-9853-4FAC-871C-85B8F30E4839}">
  <dimension ref="A3:B11"/>
  <sheetViews>
    <sheetView workbookViewId="0">
      <selection activeCell="E2" sqref="E2:L16"/>
    </sheetView>
  </sheetViews>
  <sheetFormatPr defaultRowHeight="14.25"/>
  <cols>
    <col min="1" max="1" width="15" bestFit="1" customWidth="1"/>
    <col min="2" max="2" width="21.25" bestFit="1" customWidth="1"/>
  </cols>
  <sheetData>
    <row r="3" spans="1:2">
      <c r="A3" s="11" t="s">
        <v>1710</v>
      </c>
      <c r="B3" t="s">
        <v>1713</v>
      </c>
    </row>
    <row r="4" spans="1:2">
      <c r="A4" s="12" t="s">
        <v>29</v>
      </c>
      <c r="B4" s="13">
        <v>92</v>
      </c>
    </row>
    <row r="5" spans="1:2">
      <c r="A5" s="12" t="s">
        <v>120</v>
      </c>
      <c r="B5" s="13">
        <v>87</v>
      </c>
    </row>
    <row r="6" spans="1:2">
      <c r="A6" s="12" t="s">
        <v>149</v>
      </c>
      <c r="B6" s="13">
        <v>99</v>
      </c>
    </row>
    <row r="7" spans="1:2">
      <c r="A7" s="12" t="s">
        <v>18</v>
      </c>
      <c r="B7" s="13">
        <v>66</v>
      </c>
    </row>
    <row r="8" spans="1:2">
      <c r="A8" s="12" t="s">
        <v>125</v>
      </c>
      <c r="B8" s="13">
        <v>74</v>
      </c>
    </row>
    <row r="9" spans="1:2">
      <c r="A9" s="12" t="s">
        <v>249</v>
      </c>
      <c r="B9" s="13">
        <v>75</v>
      </c>
    </row>
    <row r="10" spans="1:2">
      <c r="A10" s="12" t="s">
        <v>1711</v>
      </c>
      <c r="B10" s="13">
        <v>12</v>
      </c>
    </row>
    <row r="11" spans="1:2">
      <c r="A11" s="12" t="s">
        <v>1712</v>
      </c>
      <c r="B11" s="13">
        <v>505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31F5-C1BE-4DF5-8CFD-9B1457079CDC}">
  <dimension ref="A1"/>
  <sheetViews>
    <sheetView tabSelected="1" topLeftCell="D2" zoomScale="89" zoomScaleNormal="89" workbookViewId="0">
      <selection activeCell="H49" sqref="H49"/>
    </sheetView>
  </sheetViews>
  <sheetFormatPr defaultRowHeight="14.25"/>
  <cols>
    <col min="7" max="7" width="19"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1"/>
  <sheetViews>
    <sheetView showGridLines="0" workbookViewId="0">
      <pane ySplit="1" topLeftCell="A2" activePane="bottomLeft" state="frozen"/>
      <selection activeCell="M1" sqref="M1"/>
      <selection pane="bottomLeft" activeCell="A15" sqref="A15"/>
    </sheetView>
  </sheetViews>
  <sheetFormatPr defaultRowHeight="14.25"/>
  <cols>
    <col min="1" max="10" width="22" customWidth="1"/>
    <col min="11" max="11" width="27" customWidth="1"/>
    <col min="12" max="14" width="25" customWidth="1"/>
  </cols>
  <sheetData>
    <row r="1" spans="1:14" ht="33.950000000000003" customHeight="1">
      <c r="A1" s="2" t="s">
        <v>0</v>
      </c>
      <c r="B1" s="2" t="s">
        <v>1</v>
      </c>
      <c r="C1" s="2" t="s">
        <v>2</v>
      </c>
      <c r="D1" s="2" t="s">
        <v>3</v>
      </c>
      <c r="E1" s="2" t="s">
        <v>4</v>
      </c>
      <c r="F1" s="2" t="s">
        <v>5</v>
      </c>
      <c r="G1" s="2" t="s">
        <v>6</v>
      </c>
      <c r="H1" s="2" t="s">
        <v>7</v>
      </c>
      <c r="I1" s="2" t="s">
        <v>8</v>
      </c>
      <c r="J1" s="2" t="s">
        <v>9</v>
      </c>
      <c r="K1" s="2" t="s">
        <v>10</v>
      </c>
      <c r="L1" s="2" t="s">
        <v>11</v>
      </c>
      <c r="M1" s="2" t="s">
        <v>12</v>
      </c>
      <c r="N1" s="2" t="s">
        <v>13</v>
      </c>
    </row>
    <row r="2" spans="1:14">
      <c r="A2" s="1" t="s">
        <v>14</v>
      </c>
      <c r="B2" s="1" t="s">
        <v>15</v>
      </c>
      <c r="C2" s="1" t="s">
        <v>16</v>
      </c>
      <c r="D2" s="1" t="s">
        <v>17</v>
      </c>
      <c r="E2" s="1" t="s">
        <v>18</v>
      </c>
      <c r="F2" s="1" t="s">
        <v>19</v>
      </c>
      <c r="G2" s="1">
        <v>29</v>
      </c>
      <c r="H2" s="1" t="s">
        <v>20</v>
      </c>
      <c r="I2" s="1" t="s">
        <v>21</v>
      </c>
      <c r="J2" s="1" t="s">
        <v>22</v>
      </c>
      <c r="K2" s="1">
        <v>6896</v>
      </c>
      <c r="L2" s="1">
        <v>3</v>
      </c>
      <c r="M2" s="1" t="s">
        <v>23</v>
      </c>
      <c r="N2" s="1" t="s">
        <v>24</v>
      </c>
    </row>
    <row r="3" spans="1:14">
      <c r="A3" s="1" t="s">
        <v>25</v>
      </c>
      <c r="B3" s="1" t="s">
        <v>26</v>
      </c>
      <c r="C3" s="1" t="s">
        <v>27</v>
      </c>
      <c r="D3" s="1" t="s">
        <v>28</v>
      </c>
      <c r="E3" s="1" t="s">
        <v>29</v>
      </c>
      <c r="F3" s="1" t="s">
        <v>30</v>
      </c>
      <c r="G3" s="1">
        <v>61</v>
      </c>
      <c r="H3" s="1"/>
      <c r="I3" s="1" t="s">
        <v>31</v>
      </c>
      <c r="J3" s="1" t="s">
        <v>32</v>
      </c>
      <c r="K3" s="1">
        <v>10642</v>
      </c>
      <c r="L3" s="1">
        <v>7</v>
      </c>
      <c r="M3" s="1">
        <v>0</v>
      </c>
      <c r="N3" s="1" t="s">
        <v>33</v>
      </c>
    </row>
    <row r="4" spans="1:14">
      <c r="A4" s="1" t="s">
        <v>34</v>
      </c>
      <c r="B4" s="1" t="s">
        <v>35</v>
      </c>
      <c r="C4" s="1" t="s">
        <v>36</v>
      </c>
      <c r="D4" s="1" t="s">
        <v>37</v>
      </c>
      <c r="E4" s="1" t="s">
        <v>38</v>
      </c>
      <c r="F4" s="1" t="s">
        <v>39</v>
      </c>
      <c r="G4" s="1">
        <v>93</v>
      </c>
      <c r="H4" s="1" t="s">
        <v>20</v>
      </c>
      <c r="I4" s="1" t="s">
        <v>21</v>
      </c>
      <c r="J4" s="1" t="s">
        <v>40</v>
      </c>
      <c r="K4" s="1">
        <v>4998</v>
      </c>
      <c r="L4" s="1">
        <v>5</v>
      </c>
      <c r="M4" s="1" t="s">
        <v>41</v>
      </c>
      <c r="N4" s="1" t="s">
        <v>23</v>
      </c>
    </row>
    <row r="5" spans="1:14">
      <c r="A5" s="1" t="s">
        <v>42</v>
      </c>
      <c r="B5" s="1" t="s">
        <v>43</v>
      </c>
      <c r="C5" s="1" t="s">
        <v>44</v>
      </c>
      <c r="D5" s="1" t="s">
        <v>45</v>
      </c>
      <c r="E5" s="1" t="s">
        <v>46</v>
      </c>
      <c r="F5" s="1" t="s">
        <v>47</v>
      </c>
      <c r="G5" s="1"/>
      <c r="H5" s="1" t="s">
        <v>48</v>
      </c>
      <c r="I5" s="1" t="s">
        <v>49</v>
      </c>
      <c r="J5" s="1" t="s">
        <v>50</v>
      </c>
      <c r="K5" s="1">
        <v>9680</v>
      </c>
      <c r="L5" s="1">
        <v>11</v>
      </c>
      <c r="M5" s="1" t="s">
        <v>51</v>
      </c>
      <c r="N5" s="1" t="s">
        <v>52</v>
      </c>
    </row>
    <row r="6" spans="1:14">
      <c r="A6" s="1" t="s">
        <v>53</v>
      </c>
      <c r="B6" s="1" t="s">
        <v>54</v>
      </c>
      <c r="C6" s="1" t="s">
        <v>55</v>
      </c>
      <c r="D6" s="1" t="s">
        <v>56</v>
      </c>
      <c r="E6" s="1" t="s">
        <v>57</v>
      </c>
      <c r="F6" s="1" t="s">
        <v>19</v>
      </c>
      <c r="G6" s="1">
        <v>43</v>
      </c>
      <c r="H6" s="1" t="s">
        <v>58</v>
      </c>
      <c r="I6" s="1" t="s">
        <v>59</v>
      </c>
      <c r="J6" s="1" t="s">
        <v>32</v>
      </c>
      <c r="K6" s="1">
        <v>725</v>
      </c>
      <c r="L6" s="1">
        <v>16</v>
      </c>
      <c r="M6" s="1">
        <v>1</v>
      </c>
      <c r="N6" s="1" t="s">
        <v>41</v>
      </c>
    </row>
    <row r="7" spans="1:14">
      <c r="A7" s="1" t="s">
        <v>60</v>
      </c>
      <c r="B7" s="1" t="s">
        <v>61</v>
      </c>
      <c r="C7" s="1" t="s">
        <v>62</v>
      </c>
      <c r="D7" s="1" t="s">
        <v>63</v>
      </c>
      <c r="E7" s="1" t="s">
        <v>64</v>
      </c>
      <c r="F7" s="1" t="s">
        <v>30</v>
      </c>
      <c r="G7" s="1">
        <v>54</v>
      </c>
      <c r="H7" s="1" t="s">
        <v>48</v>
      </c>
      <c r="I7" s="1" t="s">
        <v>65</v>
      </c>
      <c r="J7" s="1" t="s">
        <v>22</v>
      </c>
      <c r="K7" s="1">
        <v>3665</v>
      </c>
      <c r="L7" s="1">
        <v>3</v>
      </c>
      <c r="M7" s="1" t="s">
        <v>33</v>
      </c>
      <c r="N7" s="1" t="s">
        <v>24</v>
      </c>
    </row>
    <row r="8" spans="1:14">
      <c r="A8" s="1" t="s">
        <v>66</v>
      </c>
      <c r="B8" s="1" t="s">
        <v>67</v>
      </c>
      <c r="C8" s="1"/>
      <c r="D8" s="1"/>
      <c r="E8" s="1" t="s">
        <v>68</v>
      </c>
      <c r="F8" s="1" t="s">
        <v>69</v>
      </c>
      <c r="G8" s="1">
        <v>68</v>
      </c>
      <c r="H8" s="1" t="s">
        <v>70</v>
      </c>
      <c r="I8" s="1" t="s">
        <v>65</v>
      </c>
      <c r="J8" s="1" t="s">
        <v>71</v>
      </c>
      <c r="K8" s="1" t="s">
        <v>72</v>
      </c>
      <c r="L8" s="1">
        <v>7</v>
      </c>
      <c r="M8" s="1" t="s">
        <v>24</v>
      </c>
      <c r="N8" s="1" t="s">
        <v>33</v>
      </c>
    </row>
    <row r="9" spans="1:14">
      <c r="A9" s="1" t="s">
        <v>73</v>
      </c>
      <c r="B9" s="1" t="s">
        <v>74</v>
      </c>
      <c r="C9" s="1" t="s">
        <v>75</v>
      </c>
      <c r="D9" s="1" t="s">
        <v>76</v>
      </c>
      <c r="E9" s="1" t="s">
        <v>29</v>
      </c>
      <c r="F9" s="1" t="s">
        <v>77</v>
      </c>
      <c r="G9" s="1">
        <v>32</v>
      </c>
      <c r="H9" s="1" t="s">
        <v>70</v>
      </c>
      <c r="I9" s="1" t="s">
        <v>59</v>
      </c>
      <c r="J9" s="1" t="s">
        <v>32</v>
      </c>
      <c r="K9" s="1">
        <v>6061</v>
      </c>
      <c r="L9" s="1"/>
      <c r="M9" s="1">
        <v>1</v>
      </c>
      <c r="N9" s="1" t="s">
        <v>23</v>
      </c>
    </row>
    <row r="10" spans="1:14">
      <c r="A10" s="1" t="s">
        <v>78</v>
      </c>
      <c r="B10" s="1" t="s">
        <v>79</v>
      </c>
      <c r="C10" s="1" t="s">
        <v>80</v>
      </c>
      <c r="D10" s="1" t="s">
        <v>81</v>
      </c>
      <c r="E10" s="1" t="s">
        <v>82</v>
      </c>
      <c r="F10" s="1" t="s">
        <v>83</v>
      </c>
      <c r="G10" s="1">
        <v>30</v>
      </c>
      <c r="H10" s="1" t="s">
        <v>84</v>
      </c>
      <c r="I10" s="1" t="s">
        <v>65</v>
      </c>
      <c r="J10" s="1" t="s">
        <v>22</v>
      </c>
      <c r="K10" s="1">
        <v>13262</v>
      </c>
      <c r="L10" s="1">
        <v>16</v>
      </c>
      <c r="M10" s="1" t="s">
        <v>52</v>
      </c>
      <c r="N10" s="1" t="s">
        <v>33</v>
      </c>
    </row>
    <row r="11" spans="1:14">
      <c r="A11" s="1" t="s">
        <v>85</v>
      </c>
      <c r="B11" s="1" t="s">
        <v>86</v>
      </c>
      <c r="C11" s="1" t="s">
        <v>87</v>
      </c>
      <c r="D11" s="1" t="s">
        <v>88</v>
      </c>
      <c r="E11" s="1" t="s">
        <v>38</v>
      </c>
      <c r="F11" s="1" t="s">
        <v>39</v>
      </c>
      <c r="G11" s="1">
        <v>78</v>
      </c>
      <c r="H11" s="1" t="s">
        <v>84</v>
      </c>
      <c r="I11" s="1" t="s">
        <v>59</v>
      </c>
      <c r="J11" s="1" t="s">
        <v>89</v>
      </c>
      <c r="K11" s="1" t="s">
        <v>90</v>
      </c>
      <c r="L11" s="1">
        <v>3</v>
      </c>
      <c r="M11" s="1" t="s">
        <v>23</v>
      </c>
      <c r="N11" s="1" t="s">
        <v>23</v>
      </c>
    </row>
    <row r="12" spans="1:14">
      <c r="A12" s="1" t="s">
        <v>91</v>
      </c>
      <c r="B12" s="1" t="s">
        <v>92</v>
      </c>
      <c r="C12" s="1" t="s">
        <v>93</v>
      </c>
      <c r="D12" s="1" t="s">
        <v>94</v>
      </c>
      <c r="E12" s="1" t="s">
        <v>95</v>
      </c>
      <c r="F12" s="1" t="s">
        <v>96</v>
      </c>
      <c r="G12" s="1" t="s">
        <v>97</v>
      </c>
      <c r="H12" s="1" t="s">
        <v>48</v>
      </c>
      <c r="I12" s="1" t="s">
        <v>49</v>
      </c>
      <c r="J12" s="1" t="s">
        <v>22</v>
      </c>
      <c r="K12" s="1">
        <v>9078</v>
      </c>
      <c r="L12" s="1">
        <v>10</v>
      </c>
      <c r="M12" s="1" t="s">
        <v>41</v>
      </c>
      <c r="N12" s="1" t="s">
        <v>52</v>
      </c>
    </row>
    <row r="13" spans="1:14">
      <c r="A13" s="1" t="s">
        <v>98</v>
      </c>
      <c r="B13" s="1" t="s">
        <v>99</v>
      </c>
      <c r="C13" s="1" t="s">
        <v>100</v>
      </c>
      <c r="D13" s="1" t="s">
        <v>101</v>
      </c>
      <c r="E13" s="1" t="s">
        <v>64</v>
      </c>
      <c r="F13" s="1" t="s">
        <v>102</v>
      </c>
      <c r="G13" s="1" t="s">
        <v>103</v>
      </c>
      <c r="H13" s="1" t="s">
        <v>104</v>
      </c>
      <c r="I13" s="1" t="s">
        <v>49</v>
      </c>
      <c r="J13" s="1" t="s">
        <v>40</v>
      </c>
      <c r="K13" s="1">
        <v>7799</v>
      </c>
      <c r="L13" s="1">
        <v>20</v>
      </c>
      <c r="M13" s="1" t="s">
        <v>52</v>
      </c>
      <c r="N13" s="1" t="s">
        <v>52</v>
      </c>
    </row>
    <row r="14" spans="1:14">
      <c r="A14" s="1" t="s">
        <v>105</v>
      </c>
      <c r="B14" s="1" t="s">
        <v>106</v>
      </c>
      <c r="C14" s="1"/>
      <c r="D14" s="1" t="s">
        <v>107</v>
      </c>
      <c r="E14" s="1" t="s">
        <v>108</v>
      </c>
      <c r="F14" s="1" t="s">
        <v>109</v>
      </c>
      <c r="G14" s="1">
        <v>34</v>
      </c>
      <c r="H14" s="1" t="s">
        <v>58</v>
      </c>
      <c r="I14" s="1" t="s">
        <v>110</v>
      </c>
      <c r="J14" s="1" t="s">
        <v>89</v>
      </c>
      <c r="K14" s="1">
        <v>6679</v>
      </c>
      <c r="L14" s="1">
        <v>15</v>
      </c>
      <c r="M14" s="1" t="s">
        <v>52</v>
      </c>
      <c r="N14" s="1" t="s">
        <v>41</v>
      </c>
    </row>
    <row r="15" spans="1:14">
      <c r="A15" s="1" t="s">
        <v>111</v>
      </c>
      <c r="B15" s="1" t="s">
        <v>112</v>
      </c>
      <c r="C15" s="1"/>
      <c r="D15" s="1" t="s">
        <v>113</v>
      </c>
      <c r="E15" s="1" t="s">
        <v>95</v>
      </c>
      <c r="F15" s="1" t="s">
        <v>114</v>
      </c>
      <c r="G15" s="1">
        <v>13</v>
      </c>
      <c r="H15" s="1" t="s">
        <v>84</v>
      </c>
      <c r="I15" s="1" t="s">
        <v>115</v>
      </c>
      <c r="J15" s="1" t="s">
        <v>71</v>
      </c>
      <c r="K15" s="1"/>
      <c r="L15" s="1">
        <v>6</v>
      </c>
      <c r="M15" s="1" t="s">
        <v>51</v>
      </c>
      <c r="N15" s="1" t="s">
        <v>33</v>
      </c>
    </row>
    <row r="16" spans="1:14">
      <c r="A16" s="1" t="s">
        <v>116</v>
      </c>
      <c r="B16" s="1" t="s">
        <v>117</v>
      </c>
      <c r="C16" s="1" t="s">
        <v>118</v>
      </c>
      <c r="D16" s="1" t="s">
        <v>119</v>
      </c>
      <c r="E16" s="1" t="s">
        <v>120</v>
      </c>
      <c r="F16" s="1" t="s">
        <v>39</v>
      </c>
      <c r="G16" s="1">
        <v>49</v>
      </c>
      <c r="H16" s="1" t="s">
        <v>20</v>
      </c>
      <c r="I16" s="1" t="s">
        <v>115</v>
      </c>
      <c r="J16" s="1" t="s">
        <v>22</v>
      </c>
      <c r="K16" s="1">
        <v>9999</v>
      </c>
      <c r="L16" s="1">
        <v>9</v>
      </c>
      <c r="M16" s="1" t="s">
        <v>23</v>
      </c>
      <c r="N16" s="1" t="s">
        <v>33</v>
      </c>
    </row>
    <row r="17" spans="1:14">
      <c r="A17" s="1" t="s">
        <v>121</v>
      </c>
      <c r="B17" s="1" t="s">
        <v>122</v>
      </c>
      <c r="C17" s="1" t="s">
        <v>123</v>
      </c>
      <c r="D17" s="1" t="s">
        <v>124</v>
      </c>
      <c r="E17" s="1" t="s">
        <v>125</v>
      </c>
      <c r="F17" s="1" t="s">
        <v>126</v>
      </c>
      <c r="G17" s="1">
        <v>24</v>
      </c>
      <c r="H17" s="1" t="s">
        <v>104</v>
      </c>
      <c r="I17" s="1" t="s">
        <v>127</v>
      </c>
      <c r="J17" s="1" t="s">
        <v>32</v>
      </c>
      <c r="K17" s="1">
        <v>750000</v>
      </c>
      <c r="L17" s="1">
        <v>17</v>
      </c>
      <c r="M17" s="1">
        <v>1</v>
      </c>
      <c r="N17" s="1" t="s">
        <v>41</v>
      </c>
    </row>
    <row r="18" spans="1:14">
      <c r="A18" s="1" t="s">
        <v>128</v>
      </c>
      <c r="B18" s="1" t="s">
        <v>129</v>
      </c>
      <c r="C18" s="1" t="s">
        <v>130</v>
      </c>
      <c r="D18" s="1" t="s">
        <v>131</v>
      </c>
      <c r="E18" s="1" t="s">
        <v>18</v>
      </c>
      <c r="F18" s="1" t="s">
        <v>132</v>
      </c>
      <c r="G18" s="1">
        <v>79</v>
      </c>
      <c r="H18" s="1" t="s">
        <v>84</v>
      </c>
      <c r="I18" s="1" t="s">
        <v>110</v>
      </c>
      <c r="J18" s="1" t="s">
        <v>89</v>
      </c>
      <c r="K18" s="1">
        <v>7788</v>
      </c>
      <c r="L18" s="1">
        <v>17</v>
      </c>
      <c r="M18" s="1" t="s">
        <v>52</v>
      </c>
      <c r="N18" s="1" t="s">
        <v>52</v>
      </c>
    </row>
    <row r="19" spans="1:14">
      <c r="A19" s="1" t="s">
        <v>133</v>
      </c>
      <c r="B19" s="1" t="s">
        <v>134</v>
      </c>
      <c r="C19" s="1" t="s">
        <v>135</v>
      </c>
      <c r="D19" s="1" t="s">
        <v>136</v>
      </c>
      <c r="E19" s="1" t="s">
        <v>137</v>
      </c>
      <c r="F19" s="1" t="s">
        <v>102</v>
      </c>
      <c r="G19" s="1">
        <v>76</v>
      </c>
      <c r="H19" s="1" t="s">
        <v>48</v>
      </c>
      <c r="I19" s="1" t="s">
        <v>59</v>
      </c>
      <c r="J19" s="1" t="s">
        <v>22</v>
      </c>
      <c r="K19" s="1">
        <v>12878</v>
      </c>
      <c r="L19" s="1">
        <v>2</v>
      </c>
      <c r="M19" s="1" t="s">
        <v>52</v>
      </c>
      <c r="N19" s="1" t="s">
        <v>33</v>
      </c>
    </row>
    <row r="20" spans="1:14">
      <c r="A20" s="1" t="s">
        <v>138</v>
      </c>
      <c r="B20" s="1" t="s">
        <v>139</v>
      </c>
      <c r="C20" s="1" t="s">
        <v>140</v>
      </c>
      <c r="D20" s="1" t="s">
        <v>141</v>
      </c>
      <c r="E20" s="1" t="s">
        <v>142</v>
      </c>
      <c r="F20" s="1" t="s">
        <v>143</v>
      </c>
      <c r="G20" s="1">
        <v>51</v>
      </c>
      <c r="H20" s="1" t="s">
        <v>144</v>
      </c>
      <c r="I20" s="1" t="s">
        <v>31</v>
      </c>
      <c r="J20" s="1" t="s">
        <v>50</v>
      </c>
      <c r="K20" s="1">
        <v>11956</v>
      </c>
      <c r="L20" s="1">
        <v>13</v>
      </c>
      <c r="M20" s="1" t="s">
        <v>51</v>
      </c>
      <c r="N20" s="1" t="s">
        <v>52</v>
      </c>
    </row>
    <row r="21" spans="1:14">
      <c r="A21" s="1" t="s">
        <v>145</v>
      </c>
      <c r="B21" s="1" t="s">
        <v>146</v>
      </c>
      <c r="C21" s="1" t="s">
        <v>147</v>
      </c>
      <c r="D21" s="1" t="s">
        <v>148</v>
      </c>
      <c r="E21" s="1" t="s">
        <v>149</v>
      </c>
      <c r="F21" s="1" t="s">
        <v>47</v>
      </c>
      <c r="G21" s="1">
        <v>60</v>
      </c>
      <c r="H21" s="1" t="s">
        <v>48</v>
      </c>
      <c r="I21" s="1" t="s">
        <v>65</v>
      </c>
      <c r="J21" s="1" t="s">
        <v>22</v>
      </c>
      <c r="K21" s="1">
        <v>12793</v>
      </c>
      <c r="L21" s="1"/>
      <c r="M21" s="1" t="s">
        <v>23</v>
      </c>
      <c r="N21" s="1" t="s">
        <v>41</v>
      </c>
    </row>
    <row r="22" spans="1:14">
      <c r="A22" s="1" t="s">
        <v>150</v>
      </c>
      <c r="B22" s="1" t="s">
        <v>151</v>
      </c>
      <c r="C22" s="1"/>
      <c r="D22" s="1" t="s">
        <v>152</v>
      </c>
      <c r="E22" s="1" t="s">
        <v>108</v>
      </c>
      <c r="F22" s="1" t="s">
        <v>109</v>
      </c>
      <c r="G22" s="1">
        <v>51</v>
      </c>
      <c r="H22" s="1" t="s">
        <v>58</v>
      </c>
      <c r="I22" s="1" t="s">
        <v>153</v>
      </c>
      <c r="J22" s="1" t="s">
        <v>22</v>
      </c>
      <c r="K22" s="1" t="s">
        <v>154</v>
      </c>
      <c r="L22" s="1">
        <v>7</v>
      </c>
      <c r="M22" s="1" t="s">
        <v>41</v>
      </c>
      <c r="N22" s="1" t="s">
        <v>33</v>
      </c>
    </row>
    <row r="23" spans="1:14">
      <c r="A23" s="1" t="s">
        <v>155</v>
      </c>
      <c r="B23" s="1" t="s">
        <v>156</v>
      </c>
      <c r="C23" s="1" t="s">
        <v>157</v>
      </c>
      <c r="D23" s="1" t="s">
        <v>158</v>
      </c>
      <c r="E23" s="1" t="s">
        <v>95</v>
      </c>
      <c r="F23" s="1" t="s">
        <v>96</v>
      </c>
      <c r="G23" s="1" t="s">
        <v>159</v>
      </c>
      <c r="H23" s="1" t="s">
        <v>58</v>
      </c>
      <c r="I23" s="1" t="s">
        <v>31</v>
      </c>
      <c r="J23" s="1" t="s">
        <v>22</v>
      </c>
      <c r="K23" s="1">
        <v>4874</v>
      </c>
      <c r="L23" s="1">
        <v>16</v>
      </c>
      <c r="M23" s="1" t="s">
        <v>33</v>
      </c>
      <c r="N23" s="1" t="s">
        <v>52</v>
      </c>
    </row>
    <row r="24" spans="1:14">
      <c r="A24" s="1" t="s">
        <v>160</v>
      </c>
      <c r="B24" s="1" t="s">
        <v>161</v>
      </c>
      <c r="C24" s="1" t="s">
        <v>162</v>
      </c>
      <c r="D24" s="1" t="s">
        <v>163</v>
      </c>
      <c r="E24" s="1" t="s">
        <v>120</v>
      </c>
      <c r="F24" s="1" t="s">
        <v>164</v>
      </c>
      <c r="G24" s="1">
        <v>47</v>
      </c>
      <c r="H24" s="1" t="s">
        <v>104</v>
      </c>
      <c r="I24" s="1" t="s">
        <v>65</v>
      </c>
      <c r="J24" s="1" t="s">
        <v>22</v>
      </c>
      <c r="K24" s="1">
        <v>14275</v>
      </c>
      <c r="L24" s="1">
        <v>9</v>
      </c>
      <c r="M24" s="1" t="s">
        <v>52</v>
      </c>
      <c r="N24" s="1" t="s">
        <v>33</v>
      </c>
    </row>
    <row r="25" spans="1:14">
      <c r="A25" s="1" t="s">
        <v>165</v>
      </c>
      <c r="B25" s="1" t="s">
        <v>166</v>
      </c>
      <c r="C25" s="1" t="s">
        <v>167</v>
      </c>
      <c r="D25" s="1" t="s">
        <v>168</v>
      </c>
      <c r="E25" s="1" t="s">
        <v>169</v>
      </c>
      <c r="F25" s="1" t="s">
        <v>39</v>
      </c>
      <c r="G25" s="1">
        <v>59</v>
      </c>
      <c r="H25" s="1"/>
      <c r="I25" s="1" t="s">
        <v>49</v>
      </c>
      <c r="J25" s="1" t="s">
        <v>71</v>
      </c>
      <c r="K25" s="1" t="s">
        <v>170</v>
      </c>
      <c r="L25" s="1">
        <v>16</v>
      </c>
      <c r="M25" s="1" t="s">
        <v>51</v>
      </c>
      <c r="N25" s="1" t="s">
        <v>41</v>
      </c>
    </row>
    <row r="26" spans="1:14">
      <c r="A26" s="1" t="s">
        <v>171</v>
      </c>
      <c r="B26" s="1" t="s">
        <v>172</v>
      </c>
      <c r="C26" s="1" t="s">
        <v>173</v>
      </c>
      <c r="D26" s="1" t="s">
        <v>174</v>
      </c>
      <c r="E26" s="1" t="s">
        <v>175</v>
      </c>
      <c r="F26" s="1" t="s">
        <v>96</v>
      </c>
      <c r="G26" s="1">
        <v>5</v>
      </c>
      <c r="H26" s="1" t="s">
        <v>70</v>
      </c>
      <c r="I26" s="1" t="s">
        <v>153</v>
      </c>
      <c r="J26" s="1" t="s">
        <v>50</v>
      </c>
      <c r="K26" s="1">
        <v>10008</v>
      </c>
      <c r="L26" s="1">
        <v>17</v>
      </c>
      <c r="M26" s="1" t="s">
        <v>41</v>
      </c>
      <c r="N26" s="1" t="s">
        <v>24</v>
      </c>
    </row>
    <row r="27" spans="1:14">
      <c r="A27" s="1" t="s">
        <v>176</v>
      </c>
      <c r="B27" s="1" t="s">
        <v>177</v>
      </c>
      <c r="C27" s="1" t="s">
        <v>178</v>
      </c>
      <c r="D27" s="1"/>
      <c r="E27" s="1" t="s">
        <v>125</v>
      </c>
      <c r="F27" s="1" t="s">
        <v>69</v>
      </c>
      <c r="G27" s="1">
        <v>59</v>
      </c>
      <c r="H27" s="1" t="s">
        <v>58</v>
      </c>
      <c r="I27" s="1" t="s">
        <v>153</v>
      </c>
      <c r="J27" s="1" t="s">
        <v>22</v>
      </c>
      <c r="K27" s="1">
        <v>608</v>
      </c>
      <c r="L27" s="1">
        <v>6</v>
      </c>
      <c r="M27" s="1">
        <v>1</v>
      </c>
      <c r="N27" s="1" t="s">
        <v>23</v>
      </c>
    </row>
    <row r="28" spans="1:14">
      <c r="A28" s="1" t="s">
        <v>179</v>
      </c>
      <c r="B28" s="1" t="s">
        <v>180</v>
      </c>
      <c r="C28" s="1" t="s">
        <v>181</v>
      </c>
      <c r="D28" s="1"/>
      <c r="E28" s="1" t="s">
        <v>182</v>
      </c>
      <c r="F28" s="1" t="s">
        <v>183</v>
      </c>
      <c r="G28" s="1" t="s">
        <v>184</v>
      </c>
      <c r="H28" s="1" t="s">
        <v>48</v>
      </c>
      <c r="I28" s="1" t="s">
        <v>31</v>
      </c>
      <c r="J28" s="1" t="s">
        <v>32</v>
      </c>
      <c r="K28" s="1" t="s">
        <v>185</v>
      </c>
      <c r="L28" s="1">
        <v>14</v>
      </c>
      <c r="M28" s="1" t="s">
        <v>41</v>
      </c>
      <c r="N28" s="1" t="s">
        <v>186</v>
      </c>
    </row>
    <row r="29" spans="1:14">
      <c r="A29" s="1" t="s">
        <v>187</v>
      </c>
      <c r="B29" s="1" t="s">
        <v>188</v>
      </c>
      <c r="C29" s="1" t="s">
        <v>189</v>
      </c>
      <c r="D29" s="1" t="s">
        <v>158</v>
      </c>
      <c r="E29" s="1" t="s">
        <v>68</v>
      </c>
      <c r="F29" s="1" t="s">
        <v>126</v>
      </c>
      <c r="G29" s="1">
        <v>-5</v>
      </c>
      <c r="H29" s="1" t="s">
        <v>144</v>
      </c>
      <c r="I29" s="1" t="s">
        <v>115</v>
      </c>
      <c r="J29" s="1" t="s">
        <v>22</v>
      </c>
      <c r="K29" s="1">
        <v>6937</v>
      </c>
      <c r="L29" s="1">
        <v>14</v>
      </c>
      <c r="M29" s="1">
        <v>0</v>
      </c>
      <c r="N29" s="1" t="s">
        <v>186</v>
      </c>
    </row>
    <row r="30" spans="1:14">
      <c r="A30" s="1" t="s">
        <v>190</v>
      </c>
      <c r="B30" s="1" t="s">
        <v>191</v>
      </c>
      <c r="C30" s="1" t="s">
        <v>192</v>
      </c>
      <c r="D30" s="1" t="s">
        <v>193</v>
      </c>
      <c r="E30" s="1" t="s">
        <v>57</v>
      </c>
      <c r="F30" s="1" t="s">
        <v>83</v>
      </c>
      <c r="G30" s="1" t="s">
        <v>194</v>
      </c>
      <c r="H30" s="1" t="s">
        <v>84</v>
      </c>
      <c r="I30" s="1" t="s">
        <v>110</v>
      </c>
      <c r="J30" s="1" t="s">
        <v>22</v>
      </c>
      <c r="K30" s="1">
        <v>-250</v>
      </c>
      <c r="L30" s="1">
        <v>2</v>
      </c>
      <c r="M30" s="1">
        <v>1</v>
      </c>
      <c r="N30" s="1" t="s">
        <v>23</v>
      </c>
    </row>
    <row r="31" spans="1:14">
      <c r="A31" s="1" t="s">
        <v>195</v>
      </c>
      <c r="B31" s="1" t="s">
        <v>196</v>
      </c>
      <c r="C31" s="1" t="s">
        <v>197</v>
      </c>
      <c r="D31" s="1" t="s">
        <v>198</v>
      </c>
      <c r="E31" s="1" t="s">
        <v>149</v>
      </c>
      <c r="F31" s="1" t="s">
        <v>199</v>
      </c>
      <c r="G31" s="1">
        <v>21</v>
      </c>
      <c r="H31" s="1" t="s">
        <v>48</v>
      </c>
      <c r="I31" s="1" t="s">
        <v>65</v>
      </c>
      <c r="J31" s="1" t="s">
        <v>22</v>
      </c>
      <c r="K31" s="1">
        <v>9200</v>
      </c>
      <c r="L31" s="1">
        <v>1</v>
      </c>
      <c r="M31" s="1" t="s">
        <v>52</v>
      </c>
      <c r="N31" s="1" t="s">
        <v>186</v>
      </c>
    </row>
    <row r="32" spans="1:14">
      <c r="A32" s="1" t="s">
        <v>200</v>
      </c>
      <c r="B32" s="1" t="s">
        <v>201</v>
      </c>
      <c r="C32" s="1" t="s">
        <v>202</v>
      </c>
      <c r="D32" s="1" t="s">
        <v>203</v>
      </c>
      <c r="E32" s="1" t="s">
        <v>182</v>
      </c>
      <c r="F32" s="1" t="s">
        <v>126</v>
      </c>
      <c r="G32" s="1">
        <v>65</v>
      </c>
      <c r="H32" s="1" t="s">
        <v>84</v>
      </c>
      <c r="I32" s="1" t="s">
        <v>65</v>
      </c>
      <c r="J32" s="1" t="s">
        <v>40</v>
      </c>
      <c r="K32" s="1" t="s">
        <v>204</v>
      </c>
      <c r="L32" s="1">
        <v>10</v>
      </c>
      <c r="M32" s="1" t="s">
        <v>51</v>
      </c>
      <c r="N32" s="1" t="s">
        <v>52</v>
      </c>
    </row>
    <row r="33" spans="1:14">
      <c r="A33" s="1" t="s">
        <v>205</v>
      </c>
      <c r="B33" s="1" t="s">
        <v>206</v>
      </c>
      <c r="C33" s="1" t="s">
        <v>207</v>
      </c>
      <c r="D33" s="1" t="s">
        <v>208</v>
      </c>
      <c r="E33" s="1" t="s">
        <v>95</v>
      </c>
      <c r="F33" s="1" t="s">
        <v>209</v>
      </c>
      <c r="G33" s="1">
        <v>15</v>
      </c>
      <c r="H33" s="1" t="s">
        <v>48</v>
      </c>
      <c r="I33" s="1" t="s">
        <v>49</v>
      </c>
      <c r="J33" s="1" t="s">
        <v>210</v>
      </c>
      <c r="K33" s="1">
        <v>2056</v>
      </c>
      <c r="L33" s="1">
        <v>18</v>
      </c>
      <c r="M33" s="1">
        <v>1</v>
      </c>
      <c r="N33" s="1" t="s">
        <v>52</v>
      </c>
    </row>
    <row r="34" spans="1:14">
      <c r="A34" s="1" t="s">
        <v>211</v>
      </c>
      <c r="B34" s="1" t="s">
        <v>212</v>
      </c>
      <c r="C34" s="1" t="s">
        <v>213</v>
      </c>
      <c r="D34" s="1" t="s">
        <v>214</v>
      </c>
      <c r="E34" s="1" t="s">
        <v>108</v>
      </c>
      <c r="F34" s="1" t="s">
        <v>199</v>
      </c>
      <c r="G34" s="1">
        <v>69</v>
      </c>
      <c r="H34" s="1" t="s">
        <v>20</v>
      </c>
      <c r="I34" s="1" t="s">
        <v>153</v>
      </c>
      <c r="J34" s="1" t="s">
        <v>22</v>
      </c>
      <c r="K34" s="1" t="s">
        <v>215</v>
      </c>
      <c r="L34" s="1"/>
      <c r="M34" s="1">
        <v>0</v>
      </c>
      <c r="N34" s="1" t="s">
        <v>24</v>
      </c>
    </row>
    <row r="35" spans="1:14">
      <c r="A35" s="1" t="s">
        <v>216</v>
      </c>
      <c r="B35" s="1" t="s">
        <v>217</v>
      </c>
      <c r="C35" s="1" t="s">
        <v>197</v>
      </c>
      <c r="D35" s="1" t="s">
        <v>218</v>
      </c>
      <c r="E35" s="1" t="s">
        <v>169</v>
      </c>
      <c r="F35" s="1" t="s">
        <v>164</v>
      </c>
      <c r="G35" s="1">
        <v>87</v>
      </c>
      <c r="H35" s="1" t="s">
        <v>144</v>
      </c>
      <c r="I35" s="1" t="s">
        <v>49</v>
      </c>
      <c r="J35" s="1" t="s">
        <v>50</v>
      </c>
      <c r="K35" s="1">
        <v>4727</v>
      </c>
      <c r="L35" s="1">
        <v>13</v>
      </c>
      <c r="M35" s="1" t="s">
        <v>24</v>
      </c>
      <c r="N35" s="1" t="s">
        <v>33</v>
      </c>
    </row>
    <row r="36" spans="1:14">
      <c r="A36" s="1" t="s">
        <v>219</v>
      </c>
      <c r="B36" s="1" t="s">
        <v>220</v>
      </c>
      <c r="C36" s="1" t="s">
        <v>221</v>
      </c>
      <c r="D36" s="1" t="s">
        <v>135</v>
      </c>
      <c r="E36" s="1" t="s">
        <v>18</v>
      </c>
      <c r="F36" s="1" t="s">
        <v>132</v>
      </c>
      <c r="G36" s="1">
        <v>67</v>
      </c>
      <c r="H36" s="1" t="s">
        <v>84</v>
      </c>
      <c r="I36" s="1" t="s">
        <v>31</v>
      </c>
      <c r="J36" s="1" t="s">
        <v>71</v>
      </c>
      <c r="K36" s="1">
        <v>12873</v>
      </c>
      <c r="L36" s="1">
        <v>10</v>
      </c>
      <c r="M36" s="1" t="s">
        <v>51</v>
      </c>
      <c r="N36" s="1" t="s">
        <v>186</v>
      </c>
    </row>
    <row r="37" spans="1:14">
      <c r="A37" s="1" t="s">
        <v>222</v>
      </c>
      <c r="B37" s="1" t="s">
        <v>223</v>
      </c>
      <c r="C37" s="1" t="s">
        <v>224</v>
      </c>
      <c r="D37" s="1" t="s">
        <v>81</v>
      </c>
      <c r="E37" s="1" t="s">
        <v>169</v>
      </c>
      <c r="F37" s="1" t="s">
        <v>39</v>
      </c>
      <c r="G37" s="1">
        <v>36</v>
      </c>
      <c r="H37" s="1" t="s">
        <v>20</v>
      </c>
      <c r="I37" s="1" t="s">
        <v>65</v>
      </c>
      <c r="J37" s="1" t="s">
        <v>71</v>
      </c>
      <c r="K37" s="1">
        <v>-250</v>
      </c>
      <c r="L37" s="1">
        <v>6</v>
      </c>
      <c r="M37" s="1" t="s">
        <v>41</v>
      </c>
      <c r="N37" s="1" t="s">
        <v>186</v>
      </c>
    </row>
    <row r="38" spans="1:14">
      <c r="A38" s="1" t="s">
        <v>225</v>
      </c>
      <c r="B38" s="1" t="s">
        <v>226</v>
      </c>
      <c r="C38" s="1" t="s">
        <v>227</v>
      </c>
      <c r="D38" s="1" t="s">
        <v>228</v>
      </c>
      <c r="E38" s="1" t="s">
        <v>169</v>
      </c>
      <c r="F38" s="1" t="s">
        <v>39</v>
      </c>
      <c r="G38" s="1" t="s">
        <v>229</v>
      </c>
      <c r="H38" s="1" t="s">
        <v>104</v>
      </c>
      <c r="I38" s="1" t="s">
        <v>115</v>
      </c>
      <c r="J38" s="1" t="s">
        <v>230</v>
      </c>
      <c r="K38" s="1">
        <v>856</v>
      </c>
      <c r="L38" s="1">
        <v>13</v>
      </c>
      <c r="M38" s="1" t="s">
        <v>41</v>
      </c>
      <c r="N38" s="1" t="s">
        <v>186</v>
      </c>
    </row>
    <row r="39" spans="1:14">
      <c r="A39" s="1" t="s">
        <v>231</v>
      </c>
      <c r="B39" s="1" t="s">
        <v>232</v>
      </c>
      <c r="C39" s="1" t="s">
        <v>233</v>
      </c>
      <c r="D39" s="1" t="s">
        <v>234</v>
      </c>
      <c r="E39" s="1"/>
      <c r="F39" s="1" t="s">
        <v>183</v>
      </c>
      <c r="G39" s="1" t="s">
        <v>235</v>
      </c>
      <c r="H39" s="1" t="s">
        <v>104</v>
      </c>
      <c r="I39" s="1" t="s">
        <v>153</v>
      </c>
      <c r="J39" s="1" t="s">
        <v>71</v>
      </c>
      <c r="K39" s="1" t="s">
        <v>236</v>
      </c>
      <c r="L39" s="1">
        <v>9</v>
      </c>
      <c r="M39" s="1" t="s">
        <v>51</v>
      </c>
      <c r="N39" s="1" t="s">
        <v>23</v>
      </c>
    </row>
    <row r="40" spans="1:14">
      <c r="A40" s="1" t="s">
        <v>237</v>
      </c>
      <c r="B40" s="1" t="s">
        <v>238</v>
      </c>
      <c r="C40" s="1" t="s">
        <v>100</v>
      </c>
      <c r="D40" s="1" t="s">
        <v>239</v>
      </c>
      <c r="E40" s="1" t="s">
        <v>182</v>
      </c>
      <c r="F40" s="1" t="s">
        <v>183</v>
      </c>
      <c r="G40" s="1" t="s">
        <v>240</v>
      </c>
      <c r="H40" s="1"/>
      <c r="I40" s="1" t="s">
        <v>31</v>
      </c>
      <c r="J40" s="1" t="s">
        <v>22</v>
      </c>
      <c r="K40" s="1" t="s">
        <v>241</v>
      </c>
      <c r="L40" s="1">
        <v>18</v>
      </c>
      <c r="M40" s="1">
        <v>1</v>
      </c>
      <c r="N40" s="1" t="s">
        <v>52</v>
      </c>
    </row>
    <row r="41" spans="1:14">
      <c r="A41" s="1" t="s">
        <v>242</v>
      </c>
      <c r="B41" s="1" t="s">
        <v>243</v>
      </c>
      <c r="C41" s="1" t="s">
        <v>244</v>
      </c>
      <c r="D41" s="1" t="s">
        <v>245</v>
      </c>
      <c r="E41" s="1" t="s">
        <v>29</v>
      </c>
      <c r="F41" s="1" t="s">
        <v>30</v>
      </c>
      <c r="G41" s="1">
        <v>87</v>
      </c>
      <c r="H41" s="1" t="s">
        <v>104</v>
      </c>
      <c r="I41" s="1" t="s">
        <v>49</v>
      </c>
      <c r="J41" s="1" t="s">
        <v>40</v>
      </c>
      <c r="K41" s="1">
        <v>6421</v>
      </c>
      <c r="L41" s="1">
        <v>90</v>
      </c>
      <c r="M41" s="1" t="s">
        <v>41</v>
      </c>
      <c r="N41" s="1" t="s">
        <v>33</v>
      </c>
    </row>
    <row r="42" spans="1:14">
      <c r="A42" s="1" t="s">
        <v>246</v>
      </c>
      <c r="B42" s="1" t="s">
        <v>247</v>
      </c>
      <c r="C42" s="1"/>
      <c r="D42" s="1" t="s">
        <v>248</v>
      </c>
      <c r="E42" s="1" t="s">
        <v>249</v>
      </c>
      <c r="F42" s="1" t="s">
        <v>114</v>
      </c>
      <c r="G42" s="1">
        <v>12</v>
      </c>
      <c r="H42" s="1" t="s">
        <v>144</v>
      </c>
      <c r="I42" s="1" t="s">
        <v>153</v>
      </c>
      <c r="J42" s="1" t="s">
        <v>50</v>
      </c>
      <c r="K42" s="1">
        <v>8538</v>
      </c>
      <c r="L42" s="1">
        <v>20</v>
      </c>
      <c r="M42" s="1" t="s">
        <v>33</v>
      </c>
      <c r="N42" s="1" t="s">
        <v>23</v>
      </c>
    </row>
    <row r="43" spans="1:14">
      <c r="A43" s="1" t="s">
        <v>250</v>
      </c>
      <c r="B43" s="1" t="s">
        <v>191</v>
      </c>
      <c r="C43" s="1" t="s">
        <v>251</v>
      </c>
      <c r="D43" s="1" t="s">
        <v>252</v>
      </c>
      <c r="E43" s="1" t="s">
        <v>108</v>
      </c>
      <c r="F43" s="1" t="s">
        <v>47</v>
      </c>
      <c r="G43" s="1">
        <v>36</v>
      </c>
      <c r="H43" s="1" t="s">
        <v>84</v>
      </c>
      <c r="I43" s="1" t="s">
        <v>153</v>
      </c>
      <c r="J43" s="1" t="s">
        <v>210</v>
      </c>
      <c r="K43" s="1">
        <v>5199</v>
      </c>
      <c r="L43" s="1">
        <v>4</v>
      </c>
      <c r="M43" s="1">
        <v>0</v>
      </c>
      <c r="N43" s="1" t="s">
        <v>41</v>
      </c>
    </row>
    <row r="44" spans="1:14">
      <c r="A44" s="1" t="s">
        <v>253</v>
      </c>
      <c r="B44" s="1" t="s">
        <v>254</v>
      </c>
      <c r="C44" s="1" t="s">
        <v>255</v>
      </c>
      <c r="D44" s="1" t="s">
        <v>256</v>
      </c>
      <c r="E44" s="1" t="s">
        <v>95</v>
      </c>
      <c r="F44" s="1" t="s">
        <v>114</v>
      </c>
      <c r="G44" s="1">
        <v>1</v>
      </c>
      <c r="H44" s="1" t="s">
        <v>70</v>
      </c>
      <c r="I44" s="1" t="s">
        <v>127</v>
      </c>
      <c r="J44" s="1" t="s">
        <v>89</v>
      </c>
      <c r="K44" s="1">
        <v>6909</v>
      </c>
      <c r="L44" s="1">
        <v>12</v>
      </c>
      <c r="M44" s="1" t="s">
        <v>24</v>
      </c>
      <c r="N44" s="1" t="s">
        <v>41</v>
      </c>
    </row>
    <row r="45" spans="1:14">
      <c r="A45" s="1" t="s">
        <v>257</v>
      </c>
      <c r="B45" s="1" t="s">
        <v>258</v>
      </c>
      <c r="C45" s="1" t="s">
        <v>259</v>
      </c>
      <c r="D45" s="1" t="s">
        <v>260</v>
      </c>
      <c r="E45" s="1" t="s">
        <v>120</v>
      </c>
      <c r="F45" s="1" t="s">
        <v>143</v>
      </c>
      <c r="G45" s="1">
        <v>41</v>
      </c>
      <c r="H45" s="1"/>
      <c r="I45" s="1" t="s">
        <v>115</v>
      </c>
      <c r="J45" s="1" t="s">
        <v>210</v>
      </c>
      <c r="K45" s="1" t="s">
        <v>261</v>
      </c>
      <c r="L45" s="1">
        <v>19</v>
      </c>
      <c r="M45" s="1" t="s">
        <v>33</v>
      </c>
      <c r="N45" s="1" t="s">
        <v>41</v>
      </c>
    </row>
    <row r="46" spans="1:14">
      <c r="A46" s="1" t="s">
        <v>262</v>
      </c>
      <c r="B46" s="1" t="s">
        <v>254</v>
      </c>
      <c r="C46" s="1" t="s">
        <v>263</v>
      </c>
      <c r="D46" s="1" t="s">
        <v>264</v>
      </c>
      <c r="E46" s="1" t="s">
        <v>46</v>
      </c>
      <c r="F46" s="1" t="s">
        <v>47</v>
      </c>
      <c r="G46" s="1">
        <v>54</v>
      </c>
      <c r="H46" s="1" t="s">
        <v>84</v>
      </c>
      <c r="I46" s="1" t="s">
        <v>127</v>
      </c>
      <c r="J46" s="1" t="s">
        <v>230</v>
      </c>
      <c r="K46" s="1">
        <v>13154</v>
      </c>
      <c r="L46" s="1">
        <v>18</v>
      </c>
      <c r="M46" s="1" t="s">
        <v>52</v>
      </c>
      <c r="N46" s="1" t="s">
        <v>186</v>
      </c>
    </row>
    <row r="47" spans="1:14">
      <c r="A47" s="1" t="s">
        <v>265</v>
      </c>
      <c r="B47" s="1" t="s">
        <v>266</v>
      </c>
      <c r="C47" s="1" t="s">
        <v>267</v>
      </c>
      <c r="D47" s="1" t="s">
        <v>268</v>
      </c>
      <c r="E47" s="1" t="s">
        <v>64</v>
      </c>
      <c r="F47" s="1" t="s">
        <v>102</v>
      </c>
      <c r="G47" s="1" t="s">
        <v>269</v>
      </c>
      <c r="H47" s="1" t="s">
        <v>48</v>
      </c>
      <c r="I47" s="1" t="s">
        <v>49</v>
      </c>
      <c r="J47" s="1" t="s">
        <v>230</v>
      </c>
      <c r="K47" s="1" t="s">
        <v>270</v>
      </c>
      <c r="L47" s="1">
        <v>17</v>
      </c>
      <c r="M47" s="1" t="s">
        <v>24</v>
      </c>
      <c r="N47" s="1" t="s">
        <v>24</v>
      </c>
    </row>
    <row r="48" spans="1:14">
      <c r="A48" s="1" t="s">
        <v>271</v>
      </c>
      <c r="B48" s="1" t="s">
        <v>272</v>
      </c>
      <c r="C48" s="1"/>
      <c r="D48" s="1" t="s">
        <v>273</v>
      </c>
      <c r="E48" s="1" t="s">
        <v>175</v>
      </c>
      <c r="F48" s="1" t="s">
        <v>209</v>
      </c>
      <c r="G48" s="1">
        <v>15</v>
      </c>
      <c r="H48" s="1" t="s">
        <v>104</v>
      </c>
      <c r="I48" s="1" t="s">
        <v>153</v>
      </c>
      <c r="J48" s="1" t="s">
        <v>50</v>
      </c>
      <c r="K48" s="1">
        <v>6395</v>
      </c>
      <c r="L48" s="1">
        <v>9</v>
      </c>
      <c r="M48" s="1" t="s">
        <v>23</v>
      </c>
      <c r="N48" s="1" t="s">
        <v>24</v>
      </c>
    </row>
    <row r="49" spans="1:14">
      <c r="A49" s="1" t="s">
        <v>274</v>
      </c>
      <c r="B49" s="1" t="s">
        <v>275</v>
      </c>
      <c r="C49" s="1" t="s">
        <v>276</v>
      </c>
      <c r="D49" s="1" t="s">
        <v>277</v>
      </c>
      <c r="E49" s="1" t="s">
        <v>82</v>
      </c>
      <c r="F49" s="1" t="s">
        <v>83</v>
      </c>
      <c r="G49" s="1">
        <v>38</v>
      </c>
      <c r="H49" s="1" t="s">
        <v>104</v>
      </c>
      <c r="I49" s="1" t="s">
        <v>115</v>
      </c>
      <c r="J49" s="1" t="s">
        <v>40</v>
      </c>
      <c r="K49" s="1">
        <v>10025</v>
      </c>
      <c r="L49" s="1">
        <v>18</v>
      </c>
      <c r="M49" s="1" t="s">
        <v>41</v>
      </c>
      <c r="N49" s="1" t="s">
        <v>23</v>
      </c>
    </row>
    <row r="50" spans="1:14">
      <c r="A50" s="1" t="s">
        <v>278</v>
      </c>
      <c r="B50" s="1" t="s">
        <v>279</v>
      </c>
      <c r="C50" s="1" t="s">
        <v>280</v>
      </c>
      <c r="D50" s="1" t="s">
        <v>281</v>
      </c>
      <c r="E50" s="1" t="s">
        <v>108</v>
      </c>
      <c r="F50" s="1" t="s">
        <v>47</v>
      </c>
      <c r="G50" s="1">
        <v>77</v>
      </c>
      <c r="H50" s="1" t="s">
        <v>58</v>
      </c>
      <c r="I50" s="1" t="s">
        <v>110</v>
      </c>
      <c r="J50" s="1" t="s">
        <v>40</v>
      </c>
      <c r="K50" s="1">
        <v>750000</v>
      </c>
      <c r="L50" s="1">
        <v>19</v>
      </c>
      <c r="M50" s="1" t="s">
        <v>24</v>
      </c>
      <c r="N50" s="1" t="s">
        <v>24</v>
      </c>
    </row>
    <row r="51" spans="1:14">
      <c r="A51" s="1" t="s">
        <v>282</v>
      </c>
      <c r="B51" s="1" t="s">
        <v>283</v>
      </c>
      <c r="C51" s="1" t="s">
        <v>284</v>
      </c>
      <c r="D51" s="1" t="s">
        <v>285</v>
      </c>
      <c r="E51" s="1" t="s">
        <v>95</v>
      </c>
      <c r="F51" s="1" t="s">
        <v>96</v>
      </c>
      <c r="G51" s="1" t="s">
        <v>286</v>
      </c>
      <c r="H51" s="1" t="s">
        <v>144</v>
      </c>
      <c r="I51" s="1" t="s">
        <v>153</v>
      </c>
      <c r="J51" s="1" t="s">
        <v>32</v>
      </c>
      <c r="K51" s="1" t="s">
        <v>287</v>
      </c>
      <c r="L51" s="1">
        <v>8</v>
      </c>
      <c r="M51" s="1" t="s">
        <v>51</v>
      </c>
      <c r="N51" s="1" t="s">
        <v>41</v>
      </c>
    </row>
    <row r="52" spans="1:14">
      <c r="A52" s="1" t="s">
        <v>288</v>
      </c>
      <c r="B52" s="1" t="s">
        <v>289</v>
      </c>
      <c r="C52" s="1"/>
      <c r="D52" s="1" t="s">
        <v>290</v>
      </c>
      <c r="E52" s="1" t="s">
        <v>142</v>
      </c>
      <c r="F52" s="1" t="s">
        <v>164</v>
      </c>
      <c r="G52" s="1">
        <v>50</v>
      </c>
      <c r="H52" s="1"/>
      <c r="I52" s="1" t="s">
        <v>49</v>
      </c>
      <c r="J52" s="1" t="s">
        <v>32</v>
      </c>
      <c r="K52" s="1">
        <v>3076</v>
      </c>
      <c r="L52" s="1">
        <v>1</v>
      </c>
      <c r="M52" s="1" t="s">
        <v>23</v>
      </c>
      <c r="N52" s="1" t="s">
        <v>52</v>
      </c>
    </row>
    <row r="53" spans="1:14">
      <c r="A53" s="1" t="s">
        <v>291</v>
      </c>
      <c r="B53" s="1" t="s">
        <v>292</v>
      </c>
      <c r="C53" s="1" t="s">
        <v>293</v>
      </c>
      <c r="D53" s="1" t="s">
        <v>294</v>
      </c>
      <c r="E53" s="1" t="s">
        <v>120</v>
      </c>
      <c r="F53" s="1" t="s">
        <v>39</v>
      </c>
      <c r="G53" s="1">
        <v>33</v>
      </c>
      <c r="H53" s="1" t="s">
        <v>144</v>
      </c>
      <c r="I53" s="1" t="s">
        <v>65</v>
      </c>
      <c r="J53" s="1" t="s">
        <v>32</v>
      </c>
      <c r="K53" s="1">
        <v>1239</v>
      </c>
      <c r="L53" s="1">
        <v>17</v>
      </c>
      <c r="M53" s="1">
        <v>1</v>
      </c>
      <c r="N53" s="1" t="s">
        <v>186</v>
      </c>
    </row>
    <row r="54" spans="1:14">
      <c r="A54" s="1" t="s">
        <v>295</v>
      </c>
      <c r="B54" s="1" t="s">
        <v>151</v>
      </c>
      <c r="C54" s="1" t="s">
        <v>296</v>
      </c>
      <c r="D54" s="1" t="s">
        <v>297</v>
      </c>
      <c r="E54" s="1" t="s">
        <v>120</v>
      </c>
      <c r="F54" s="1" t="s">
        <v>126</v>
      </c>
      <c r="G54" s="1">
        <v>41</v>
      </c>
      <c r="H54" s="1" t="s">
        <v>48</v>
      </c>
      <c r="I54" s="1" t="s">
        <v>115</v>
      </c>
      <c r="J54" s="1" t="s">
        <v>50</v>
      </c>
      <c r="K54" s="1">
        <v>9999</v>
      </c>
      <c r="L54" s="1">
        <v>9</v>
      </c>
      <c r="M54" s="1" t="s">
        <v>41</v>
      </c>
      <c r="N54" s="1" t="s">
        <v>41</v>
      </c>
    </row>
    <row r="55" spans="1:14">
      <c r="A55" s="1" t="s">
        <v>298</v>
      </c>
      <c r="B55" s="1" t="s">
        <v>299</v>
      </c>
      <c r="C55" s="1" t="s">
        <v>300</v>
      </c>
      <c r="D55" s="1" t="s">
        <v>301</v>
      </c>
      <c r="E55" s="1" t="s">
        <v>149</v>
      </c>
      <c r="F55" s="1" t="s">
        <v>199</v>
      </c>
      <c r="G55" s="1">
        <v>38</v>
      </c>
      <c r="H55" s="1" t="s">
        <v>104</v>
      </c>
      <c r="I55" s="1" t="s">
        <v>153</v>
      </c>
      <c r="J55" s="1" t="s">
        <v>40</v>
      </c>
      <c r="K55" s="1" t="s">
        <v>302</v>
      </c>
      <c r="L55" s="1" t="s">
        <v>303</v>
      </c>
      <c r="M55" s="1" t="s">
        <v>51</v>
      </c>
      <c r="N55" s="1" t="s">
        <v>23</v>
      </c>
    </row>
    <row r="56" spans="1:14">
      <c r="A56" s="1" t="s">
        <v>304</v>
      </c>
      <c r="B56" s="1" t="s">
        <v>191</v>
      </c>
      <c r="C56" s="1" t="s">
        <v>305</v>
      </c>
      <c r="D56" s="1" t="s">
        <v>306</v>
      </c>
      <c r="E56" s="1" t="s">
        <v>46</v>
      </c>
      <c r="F56" s="1" t="s">
        <v>109</v>
      </c>
      <c r="G56" s="1" t="s">
        <v>307</v>
      </c>
      <c r="H56" s="1" t="s">
        <v>20</v>
      </c>
      <c r="I56" s="1" t="s">
        <v>59</v>
      </c>
      <c r="J56" s="1" t="s">
        <v>40</v>
      </c>
      <c r="K56" s="1" t="s">
        <v>308</v>
      </c>
      <c r="L56" s="1">
        <v>13</v>
      </c>
      <c r="M56" s="1" t="s">
        <v>33</v>
      </c>
      <c r="N56" s="1" t="s">
        <v>52</v>
      </c>
    </row>
    <row r="57" spans="1:14">
      <c r="A57" s="1" t="s">
        <v>309</v>
      </c>
      <c r="B57" s="1" t="s">
        <v>310</v>
      </c>
      <c r="C57" s="1"/>
      <c r="D57" s="1" t="s">
        <v>311</v>
      </c>
      <c r="E57" s="1" t="s">
        <v>149</v>
      </c>
      <c r="F57" s="1" t="s">
        <v>109</v>
      </c>
      <c r="G57" s="1">
        <v>52</v>
      </c>
      <c r="H57" s="1" t="s">
        <v>48</v>
      </c>
      <c r="I57" s="1" t="s">
        <v>49</v>
      </c>
      <c r="J57" s="1" t="s">
        <v>32</v>
      </c>
      <c r="K57" s="1">
        <v>7195</v>
      </c>
      <c r="L57" s="1">
        <v>1</v>
      </c>
      <c r="M57" s="1" t="s">
        <v>24</v>
      </c>
      <c r="N57" s="1" t="s">
        <v>186</v>
      </c>
    </row>
    <row r="58" spans="1:14">
      <c r="A58" s="1" t="s">
        <v>312</v>
      </c>
      <c r="B58" s="1" t="s">
        <v>313</v>
      </c>
      <c r="C58" s="1" t="s">
        <v>314</v>
      </c>
      <c r="D58" s="1" t="s">
        <v>315</v>
      </c>
      <c r="E58" s="1" t="s">
        <v>64</v>
      </c>
      <c r="F58" s="1" t="s">
        <v>102</v>
      </c>
      <c r="G58" s="1" t="s">
        <v>316</v>
      </c>
      <c r="H58" s="1" t="s">
        <v>48</v>
      </c>
      <c r="I58" s="1" t="s">
        <v>65</v>
      </c>
      <c r="J58" s="1" t="s">
        <v>89</v>
      </c>
      <c r="K58" s="1" t="s">
        <v>317</v>
      </c>
      <c r="L58" s="1">
        <v>10</v>
      </c>
      <c r="M58" s="1" t="s">
        <v>52</v>
      </c>
      <c r="N58" s="1" t="s">
        <v>186</v>
      </c>
    </row>
    <row r="59" spans="1:14">
      <c r="A59" s="1" t="s">
        <v>318</v>
      </c>
      <c r="B59" s="1" t="s">
        <v>319</v>
      </c>
      <c r="C59" s="1" t="s">
        <v>320</v>
      </c>
      <c r="D59" s="1" t="s">
        <v>321</v>
      </c>
      <c r="E59" s="1" t="s">
        <v>18</v>
      </c>
      <c r="F59" s="1" t="s">
        <v>132</v>
      </c>
      <c r="G59" s="1">
        <v>46</v>
      </c>
      <c r="H59" s="1" t="s">
        <v>20</v>
      </c>
      <c r="I59" s="1" t="s">
        <v>65</v>
      </c>
      <c r="J59" s="1" t="s">
        <v>22</v>
      </c>
      <c r="K59" s="1">
        <v>11093</v>
      </c>
      <c r="L59" s="1">
        <v>6</v>
      </c>
      <c r="M59" s="1">
        <v>0</v>
      </c>
      <c r="N59" s="1" t="s">
        <v>24</v>
      </c>
    </row>
    <row r="60" spans="1:14">
      <c r="A60" s="1" t="s">
        <v>322</v>
      </c>
      <c r="B60" s="1" t="s">
        <v>323</v>
      </c>
      <c r="C60" s="1" t="s">
        <v>324</v>
      </c>
      <c r="D60" s="1" t="s">
        <v>325</v>
      </c>
      <c r="E60" s="1" t="s">
        <v>108</v>
      </c>
      <c r="F60" s="1" t="s">
        <v>109</v>
      </c>
      <c r="G60" s="1">
        <v>18</v>
      </c>
      <c r="H60" s="1" t="s">
        <v>104</v>
      </c>
      <c r="I60" s="1" t="s">
        <v>65</v>
      </c>
      <c r="J60" s="1" t="s">
        <v>32</v>
      </c>
      <c r="K60" s="1">
        <v>4295</v>
      </c>
      <c r="L60" s="1">
        <v>5</v>
      </c>
      <c r="M60" s="1" t="s">
        <v>33</v>
      </c>
      <c r="N60" s="1" t="s">
        <v>186</v>
      </c>
    </row>
    <row r="61" spans="1:14">
      <c r="A61" s="1" t="s">
        <v>326</v>
      </c>
      <c r="B61" s="1" t="s">
        <v>327</v>
      </c>
      <c r="C61" s="1" t="s">
        <v>328</v>
      </c>
      <c r="D61" s="1" t="s">
        <v>329</v>
      </c>
      <c r="E61" s="1" t="s">
        <v>149</v>
      </c>
      <c r="F61" s="1" t="s">
        <v>47</v>
      </c>
      <c r="G61" s="1" t="s">
        <v>330</v>
      </c>
      <c r="H61" s="1" t="s">
        <v>70</v>
      </c>
      <c r="I61" s="1" t="s">
        <v>59</v>
      </c>
      <c r="J61" s="1" t="s">
        <v>22</v>
      </c>
      <c r="K61" s="1" t="s">
        <v>331</v>
      </c>
      <c r="L61" s="1">
        <v>2</v>
      </c>
      <c r="M61" s="1" t="s">
        <v>23</v>
      </c>
      <c r="N61" s="1" t="s">
        <v>33</v>
      </c>
    </row>
    <row r="62" spans="1:14">
      <c r="A62" s="1" t="s">
        <v>332</v>
      </c>
      <c r="B62" s="1" t="s">
        <v>333</v>
      </c>
      <c r="C62" s="1" t="s">
        <v>334</v>
      </c>
      <c r="D62" s="1" t="s">
        <v>335</v>
      </c>
      <c r="E62" s="1" t="s">
        <v>64</v>
      </c>
      <c r="F62" s="1" t="s">
        <v>77</v>
      </c>
      <c r="G62" s="1">
        <v>88</v>
      </c>
      <c r="H62" s="1" t="s">
        <v>58</v>
      </c>
      <c r="I62" s="1" t="s">
        <v>49</v>
      </c>
      <c r="J62" s="1" t="s">
        <v>32</v>
      </c>
      <c r="K62" s="1">
        <v>11050</v>
      </c>
      <c r="L62" s="1">
        <v>5</v>
      </c>
      <c r="M62" s="1" t="s">
        <v>23</v>
      </c>
      <c r="N62" s="1" t="s">
        <v>33</v>
      </c>
    </row>
    <row r="63" spans="1:14">
      <c r="A63" s="1" t="s">
        <v>336</v>
      </c>
      <c r="B63" s="1" t="s">
        <v>337</v>
      </c>
      <c r="C63" s="1" t="s">
        <v>338</v>
      </c>
      <c r="D63" s="1" t="s">
        <v>339</v>
      </c>
      <c r="E63" s="1"/>
      <c r="F63" s="1" t="s">
        <v>96</v>
      </c>
      <c r="G63" s="1">
        <v>4</v>
      </c>
      <c r="H63" s="1" t="s">
        <v>70</v>
      </c>
      <c r="I63" s="1" t="s">
        <v>21</v>
      </c>
      <c r="J63" s="1" t="s">
        <v>89</v>
      </c>
      <c r="K63" s="1" t="s">
        <v>340</v>
      </c>
      <c r="L63" s="1">
        <v>1</v>
      </c>
      <c r="M63" s="1">
        <v>0</v>
      </c>
      <c r="N63" s="1" t="s">
        <v>41</v>
      </c>
    </row>
    <row r="64" spans="1:14">
      <c r="A64" s="1" t="s">
        <v>341</v>
      </c>
      <c r="B64" s="1" t="s">
        <v>342</v>
      </c>
      <c r="C64" s="1" t="s">
        <v>343</v>
      </c>
      <c r="D64" s="1" t="s">
        <v>267</v>
      </c>
      <c r="E64" s="1" t="s">
        <v>149</v>
      </c>
      <c r="F64" s="1" t="s">
        <v>47</v>
      </c>
      <c r="G64" s="1">
        <v>33</v>
      </c>
      <c r="H64" s="1" t="s">
        <v>48</v>
      </c>
      <c r="I64" s="1" t="s">
        <v>31</v>
      </c>
      <c r="J64" s="1" t="s">
        <v>22</v>
      </c>
      <c r="K64" s="1" t="s">
        <v>344</v>
      </c>
      <c r="L64" s="1">
        <v>4</v>
      </c>
      <c r="M64" s="1" t="s">
        <v>51</v>
      </c>
      <c r="N64" s="1"/>
    </row>
    <row r="65" spans="1:14">
      <c r="A65" s="1" t="s">
        <v>345</v>
      </c>
      <c r="B65" s="1" t="s">
        <v>346</v>
      </c>
      <c r="C65" s="1" t="s">
        <v>347</v>
      </c>
      <c r="D65" s="1"/>
      <c r="E65" s="1" t="s">
        <v>29</v>
      </c>
      <c r="F65" s="1" t="s">
        <v>102</v>
      </c>
      <c r="G65" s="1">
        <v>20</v>
      </c>
      <c r="H65" s="1" t="s">
        <v>48</v>
      </c>
      <c r="I65" s="1" t="s">
        <v>49</v>
      </c>
      <c r="J65" s="1" t="s">
        <v>50</v>
      </c>
      <c r="K65" s="1">
        <v>13725</v>
      </c>
      <c r="L65" s="1">
        <v>2</v>
      </c>
      <c r="M65" s="1" t="s">
        <v>33</v>
      </c>
      <c r="N65" s="1" t="s">
        <v>24</v>
      </c>
    </row>
    <row r="66" spans="1:14">
      <c r="A66" s="1" t="s">
        <v>348</v>
      </c>
      <c r="B66" s="1" t="s">
        <v>275</v>
      </c>
      <c r="C66" s="1" t="s">
        <v>349</v>
      </c>
      <c r="D66" s="1" t="s">
        <v>350</v>
      </c>
      <c r="E66" s="1" t="s">
        <v>108</v>
      </c>
      <c r="F66" s="1" t="s">
        <v>199</v>
      </c>
      <c r="G66" s="1" t="s">
        <v>351</v>
      </c>
      <c r="H66" s="1" t="s">
        <v>58</v>
      </c>
      <c r="I66" s="1" t="s">
        <v>31</v>
      </c>
      <c r="J66" s="1" t="s">
        <v>50</v>
      </c>
      <c r="K66" s="1" t="s">
        <v>352</v>
      </c>
      <c r="L66" s="1">
        <v>19</v>
      </c>
      <c r="M66" s="1" t="s">
        <v>51</v>
      </c>
      <c r="N66" s="1" t="s">
        <v>52</v>
      </c>
    </row>
    <row r="67" spans="1:14">
      <c r="A67" s="1" t="s">
        <v>353</v>
      </c>
      <c r="B67" s="1" t="s">
        <v>354</v>
      </c>
      <c r="C67" s="1" t="s">
        <v>355</v>
      </c>
      <c r="D67" s="1" t="s">
        <v>356</v>
      </c>
      <c r="E67" s="1" t="s">
        <v>357</v>
      </c>
      <c r="F67" s="1" t="s">
        <v>183</v>
      </c>
      <c r="G67" s="1">
        <v>66</v>
      </c>
      <c r="H67" s="1" t="s">
        <v>58</v>
      </c>
      <c r="I67" s="1" t="s">
        <v>153</v>
      </c>
      <c r="J67" s="1" t="s">
        <v>22</v>
      </c>
      <c r="K67" s="1" t="s">
        <v>358</v>
      </c>
      <c r="L67" s="1">
        <v>20</v>
      </c>
      <c r="M67" s="1" t="s">
        <v>52</v>
      </c>
      <c r="N67" s="1" t="s">
        <v>33</v>
      </c>
    </row>
    <row r="68" spans="1:14">
      <c r="A68" s="1" t="s">
        <v>359</v>
      </c>
      <c r="B68" s="1" t="s">
        <v>360</v>
      </c>
      <c r="C68" s="1" t="s">
        <v>361</v>
      </c>
      <c r="D68" s="1" t="s">
        <v>362</v>
      </c>
      <c r="E68" s="1" t="s">
        <v>68</v>
      </c>
      <c r="F68" s="1" t="s">
        <v>69</v>
      </c>
      <c r="G68" s="1">
        <v>78</v>
      </c>
      <c r="H68" s="1" t="s">
        <v>144</v>
      </c>
      <c r="I68" s="1" t="s">
        <v>110</v>
      </c>
      <c r="J68" s="1" t="s">
        <v>22</v>
      </c>
      <c r="K68" s="1">
        <v>8892</v>
      </c>
      <c r="L68" s="1">
        <v>18</v>
      </c>
      <c r="M68" s="1" t="s">
        <v>23</v>
      </c>
      <c r="N68" s="1" t="s">
        <v>41</v>
      </c>
    </row>
    <row r="69" spans="1:14">
      <c r="A69" s="1" t="s">
        <v>363</v>
      </c>
      <c r="B69" s="1" t="s">
        <v>364</v>
      </c>
      <c r="C69" s="1" t="s">
        <v>365</v>
      </c>
      <c r="D69" s="1" t="s">
        <v>366</v>
      </c>
      <c r="E69" s="1" t="s">
        <v>82</v>
      </c>
      <c r="F69" s="1" t="s">
        <v>83</v>
      </c>
      <c r="G69" s="1">
        <v>18</v>
      </c>
      <c r="H69" s="1" t="s">
        <v>144</v>
      </c>
      <c r="I69" s="1" t="s">
        <v>115</v>
      </c>
      <c r="J69" s="1" t="s">
        <v>40</v>
      </c>
      <c r="K69" s="1">
        <v>4236</v>
      </c>
      <c r="L69" s="1">
        <v>16</v>
      </c>
      <c r="M69" s="1" t="s">
        <v>33</v>
      </c>
      <c r="N69" s="1" t="s">
        <v>186</v>
      </c>
    </row>
    <row r="70" spans="1:14">
      <c r="A70" s="1" t="s">
        <v>367</v>
      </c>
      <c r="B70" s="1" t="s">
        <v>368</v>
      </c>
      <c r="C70" s="1" t="s">
        <v>325</v>
      </c>
      <c r="D70" s="1" t="s">
        <v>369</v>
      </c>
      <c r="E70" s="1" t="s">
        <v>149</v>
      </c>
      <c r="F70" s="1" t="s">
        <v>47</v>
      </c>
      <c r="G70" s="1">
        <v>89</v>
      </c>
      <c r="H70" s="1" t="s">
        <v>48</v>
      </c>
      <c r="I70" s="1" t="s">
        <v>49</v>
      </c>
      <c r="J70" s="1" t="s">
        <v>210</v>
      </c>
      <c r="K70" s="1">
        <v>9255</v>
      </c>
      <c r="L70" s="1">
        <v>18</v>
      </c>
      <c r="M70" s="1" t="s">
        <v>52</v>
      </c>
      <c r="N70" s="1" t="s">
        <v>23</v>
      </c>
    </row>
    <row r="71" spans="1:14">
      <c r="A71" s="1" t="s">
        <v>370</v>
      </c>
      <c r="B71" s="1" t="s">
        <v>371</v>
      </c>
      <c r="C71" s="1" t="s">
        <v>372</v>
      </c>
      <c r="D71" s="1" t="s">
        <v>373</v>
      </c>
      <c r="E71" s="1" t="s">
        <v>82</v>
      </c>
      <c r="F71" s="1" t="s">
        <v>83</v>
      </c>
      <c r="G71" s="1">
        <v>60</v>
      </c>
      <c r="H71" s="1" t="s">
        <v>58</v>
      </c>
      <c r="I71" s="1" t="s">
        <v>59</v>
      </c>
      <c r="J71" s="1" t="s">
        <v>210</v>
      </c>
      <c r="K71" s="1" t="s">
        <v>374</v>
      </c>
      <c r="L71" s="1">
        <v>11</v>
      </c>
      <c r="M71" s="1" t="s">
        <v>33</v>
      </c>
      <c r="N71" s="1" t="s">
        <v>52</v>
      </c>
    </row>
    <row r="72" spans="1:14">
      <c r="A72" s="1" t="s">
        <v>375</v>
      </c>
      <c r="B72" s="1" t="s">
        <v>376</v>
      </c>
      <c r="C72" s="1" t="s">
        <v>80</v>
      </c>
      <c r="D72" s="1" t="s">
        <v>87</v>
      </c>
      <c r="E72" s="1" t="s">
        <v>249</v>
      </c>
      <c r="F72" s="1" t="s">
        <v>96</v>
      </c>
      <c r="G72" s="1">
        <v>10</v>
      </c>
      <c r="H72" s="1" t="s">
        <v>144</v>
      </c>
      <c r="I72" s="1" t="s">
        <v>115</v>
      </c>
      <c r="J72" s="1" t="s">
        <v>40</v>
      </c>
      <c r="K72" s="1" t="s">
        <v>358</v>
      </c>
      <c r="L72" s="1">
        <v>4</v>
      </c>
      <c r="M72" s="1" t="s">
        <v>41</v>
      </c>
      <c r="N72" s="1" t="s">
        <v>52</v>
      </c>
    </row>
    <row r="73" spans="1:14">
      <c r="A73" s="1" t="s">
        <v>377</v>
      </c>
      <c r="B73" s="1" t="s">
        <v>378</v>
      </c>
      <c r="C73" s="1" t="s">
        <v>305</v>
      </c>
      <c r="D73" s="1" t="s">
        <v>379</v>
      </c>
      <c r="E73" s="1" t="s">
        <v>357</v>
      </c>
      <c r="F73" s="1" t="s">
        <v>69</v>
      </c>
      <c r="G73" s="1">
        <v>29</v>
      </c>
      <c r="H73" s="1" t="s">
        <v>20</v>
      </c>
      <c r="I73" s="1" t="s">
        <v>115</v>
      </c>
      <c r="J73" s="1" t="s">
        <v>50</v>
      </c>
      <c r="K73" s="1">
        <v>750000</v>
      </c>
      <c r="L73" s="1">
        <v>18</v>
      </c>
      <c r="M73" s="1" t="s">
        <v>23</v>
      </c>
      <c r="N73" s="1" t="s">
        <v>23</v>
      </c>
    </row>
    <row r="74" spans="1:14">
      <c r="A74" s="1" t="s">
        <v>380</v>
      </c>
      <c r="B74" s="1" t="s">
        <v>381</v>
      </c>
      <c r="C74" s="1" t="s">
        <v>148</v>
      </c>
      <c r="D74" s="1" t="s">
        <v>382</v>
      </c>
      <c r="E74" s="1" t="s">
        <v>149</v>
      </c>
      <c r="F74" s="1" t="s">
        <v>47</v>
      </c>
      <c r="G74" s="1">
        <v>37</v>
      </c>
      <c r="H74" s="1" t="s">
        <v>20</v>
      </c>
      <c r="I74" s="1" t="s">
        <v>110</v>
      </c>
      <c r="J74" s="1" t="s">
        <v>22</v>
      </c>
      <c r="K74" s="1" t="s">
        <v>383</v>
      </c>
      <c r="L74" s="1">
        <v>20</v>
      </c>
      <c r="M74" s="1">
        <v>0</v>
      </c>
      <c r="N74" s="1" t="s">
        <v>52</v>
      </c>
    </row>
    <row r="75" spans="1:14">
      <c r="A75" s="1" t="s">
        <v>384</v>
      </c>
      <c r="B75" s="1" t="s">
        <v>385</v>
      </c>
      <c r="C75" s="1" t="s">
        <v>386</v>
      </c>
      <c r="D75" s="1" t="s">
        <v>387</v>
      </c>
      <c r="E75" s="1" t="s">
        <v>149</v>
      </c>
      <c r="F75" s="1" t="s">
        <v>109</v>
      </c>
      <c r="G75" s="1">
        <v>-5</v>
      </c>
      <c r="H75" s="1" t="s">
        <v>70</v>
      </c>
      <c r="I75" s="1" t="s">
        <v>115</v>
      </c>
      <c r="J75" s="1" t="s">
        <v>71</v>
      </c>
      <c r="K75" s="1">
        <v>10331</v>
      </c>
      <c r="L75" s="1">
        <v>12</v>
      </c>
      <c r="M75" s="1">
        <v>0</v>
      </c>
      <c r="N75" s="1" t="s">
        <v>41</v>
      </c>
    </row>
    <row r="76" spans="1:14">
      <c r="A76" s="1" t="s">
        <v>388</v>
      </c>
      <c r="B76" s="1" t="s">
        <v>323</v>
      </c>
      <c r="C76" s="1" t="s">
        <v>389</v>
      </c>
      <c r="D76" s="1" t="s">
        <v>390</v>
      </c>
      <c r="E76" s="1" t="s">
        <v>149</v>
      </c>
      <c r="F76" s="1" t="s">
        <v>199</v>
      </c>
      <c r="G76" s="1">
        <v>62</v>
      </c>
      <c r="H76" s="1" t="s">
        <v>84</v>
      </c>
      <c r="I76" s="1" t="s">
        <v>21</v>
      </c>
      <c r="J76" s="1" t="s">
        <v>40</v>
      </c>
      <c r="K76" s="1">
        <v>11489</v>
      </c>
      <c r="L76" s="1">
        <v>8</v>
      </c>
      <c r="M76" s="1" t="s">
        <v>51</v>
      </c>
      <c r="N76" s="1" t="s">
        <v>41</v>
      </c>
    </row>
    <row r="77" spans="1:14">
      <c r="A77" s="1" t="s">
        <v>391</v>
      </c>
      <c r="B77" s="1" t="s">
        <v>392</v>
      </c>
      <c r="C77" s="1" t="s">
        <v>393</v>
      </c>
      <c r="D77" s="1"/>
      <c r="E77" s="1" t="s">
        <v>57</v>
      </c>
      <c r="F77" s="1" t="s">
        <v>132</v>
      </c>
      <c r="G77" s="1">
        <v>82</v>
      </c>
      <c r="H77" s="1" t="s">
        <v>58</v>
      </c>
      <c r="I77" s="1" t="s">
        <v>110</v>
      </c>
      <c r="J77" s="1" t="s">
        <v>71</v>
      </c>
      <c r="K77" s="1">
        <v>5830</v>
      </c>
      <c r="L77" s="1">
        <v>12</v>
      </c>
      <c r="M77" s="1" t="s">
        <v>24</v>
      </c>
      <c r="N77" s="1" t="s">
        <v>33</v>
      </c>
    </row>
    <row r="78" spans="1:14">
      <c r="A78" s="1" t="s">
        <v>394</v>
      </c>
      <c r="B78" s="1" t="s">
        <v>217</v>
      </c>
      <c r="C78" s="1" t="s">
        <v>395</v>
      </c>
      <c r="D78" s="1" t="s">
        <v>396</v>
      </c>
      <c r="E78" s="1" t="s">
        <v>120</v>
      </c>
      <c r="F78" s="1" t="s">
        <v>39</v>
      </c>
      <c r="G78" s="1">
        <v>82</v>
      </c>
      <c r="H78" s="1" t="s">
        <v>70</v>
      </c>
      <c r="I78" s="1" t="s">
        <v>65</v>
      </c>
      <c r="J78" s="1" t="s">
        <v>22</v>
      </c>
      <c r="K78" s="1">
        <v>3457</v>
      </c>
      <c r="L78" s="1">
        <v>16</v>
      </c>
      <c r="M78" s="1" t="s">
        <v>23</v>
      </c>
      <c r="N78" s="1" t="s">
        <v>52</v>
      </c>
    </row>
    <row r="79" spans="1:14">
      <c r="A79" s="1" t="s">
        <v>397</v>
      </c>
      <c r="B79" s="1" t="s">
        <v>206</v>
      </c>
      <c r="C79" s="1" t="s">
        <v>197</v>
      </c>
      <c r="D79" s="1" t="s">
        <v>398</v>
      </c>
      <c r="E79" s="1" t="s">
        <v>68</v>
      </c>
      <c r="F79" s="1" t="s">
        <v>126</v>
      </c>
      <c r="G79" s="1" t="s">
        <v>399</v>
      </c>
      <c r="H79" s="1" t="s">
        <v>58</v>
      </c>
      <c r="I79" s="1" t="s">
        <v>110</v>
      </c>
      <c r="J79" s="1" t="s">
        <v>230</v>
      </c>
      <c r="K79" s="1">
        <v>9842</v>
      </c>
      <c r="L79" s="1">
        <v>18</v>
      </c>
      <c r="M79" s="1" t="s">
        <v>51</v>
      </c>
      <c r="N79" s="1" t="s">
        <v>186</v>
      </c>
    </row>
    <row r="80" spans="1:14">
      <c r="A80" s="1" t="s">
        <v>400</v>
      </c>
      <c r="B80" s="1" t="s">
        <v>346</v>
      </c>
      <c r="C80" s="1" t="s">
        <v>401</v>
      </c>
      <c r="D80" s="1" t="s">
        <v>402</v>
      </c>
      <c r="E80" s="1" t="s">
        <v>182</v>
      </c>
      <c r="F80" s="1" t="s">
        <v>126</v>
      </c>
      <c r="G80" s="1">
        <v>87</v>
      </c>
      <c r="H80" s="1" t="s">
        <v>58</v>
      </c>
      <c r="I80" s="1"/>
      <c r="J80" s="1" t="s">
        <v>210</v>
      </c>
      <c r="K80" s="1">
        <v>13913</v>
      </c>
      <c r="L80" s="1" t="s">
        <v>403</v>
      </c>
      <c r="M80" s="1" t="s">
        <v>41</v>
      </c>
      <c r="N80" s="1" t="s">
        <v>33</v>
      </c>
    </row>
    <row r="81" spans="1:14">
      <c r="A81" s="1" t="s">
        <v>404</v>
      </c>
      <c r="B81" s="1" t="s">
        <v>405</v>
      </c>
      <c r="C81" s="1" t="s">
        <v>406</v>
      </c>
      <c r="D81" s="1" t="s">
        <v>407</v>
      </c>
      <c r="E81" s="1" t="s">
        <v>29</v>
      </c>
      <c r="F81" s="1" t="s">
        <v>77</v>
      </c>
      <c r="G81" s="1">
        <v>21</v>
      </c>
      <c r="H81" s="1" t="s">
        <v>84</v>
      </c>
      <c r="I81" s="1" t="s">
        <v>153</v>
      </c>
      <c r="J81" s="1" t="s">
        <v>89</v>
      </c>
      <c r="K81" s="1">
        <v>2825</v>
      </c>
      <c r="L81" s="1">
        <v>18</v>
      </c>
      <c r="M81" s="1" t="s">
        <v>52</v>
      </c>
      <c r="N81" s="1" t="s">
        <v>186</v>
      </c>
    </row>
    <row r="82" spans="1:14">
      <c r="A82" s="1" t="s">
        <v>408</v>
      </c>
      <c r="B82" s="1" t="s">
        <v>409</v>
      </c>
      <c r="C82" s="1" t="s">
        <v>285</v>
      </c>
      <c r="D82" s="1" t="s">
        <v>410</v>
      </c>
      <c r="E82" s="1" t="s">
        <v>149</v>
      </c>
      <c r="F82" s="1" t="s">
        <v>109</v>
      </c>
      <c r="G82" s="1">
        <v>42</v>
      </c>
      <c r="H82" s="1" t="s">
        <v>48</v>
      </c>
      <c r="I82" s="1" t="s">
        <v>59</v>
      </c>
      <c r="J82" s="1" t="s">
        <v>89</v>
      </c>
      <c r="K82" s="1" t="s">
        <v>411</v>
      </c>
      <c r="L82" s="1">
        <v>18</v>
      </c>
      <c r="M82" s="1" t="s">
        <v>23</v>
      </c>
      <c r="N82" s="1" t="s">
        <v>33</v>
      </c>
    </row>
    <row r="83" spans="1:14">
      <c r="A83" s="1" t="s">
        <v>412</v>
      </c>
      <c r="B83" s="1" t="s">
        <v>413</v>
      </c>
      <c r="C83" s="1" t="s">
        <v>81</v>
      </c>
      <c r="D83" s="1" t="s">
        <v>414</v>
      </c>
      <c r="E83" s="1" t="s">
        <v>415</v>
      </c>
      <c r="F83" s="1" t="s">
        <v>114</v>
      </c>
      <c r="G83" s="1">
        <v>15</v>
      </c>
      <c r="H83" s="1" t="s">
        <v>70</v>
      </c>
      <c r="I83" s="1" t="s">
        <v>110</v>
      </c>
      <c r="J83" s="1" t="s">
        <v>50</v>
      </c>
      <c r="K83" s="1" t="s">
        <v>416</v>
      </c>
      <c r="L83" s="1">
        <v>14</v>
      </c>
      <c r="M83" s="1" t="s">
        <v>52</v>
      </c>
      <c r="N83" s="1" t="s">
        <v>41</v>
      </c>
    </row>
    <row r="84" spans="1:14">
      <c r="A84" s="1" t="s">
        <v>417</v>
      </c>
      <c r="B84" s="1" t="s">
        <v>418</v>
      </c>
      <c r="C84" s="1" t="s">
        <v>419</v>
      </c>
      <c r="D84" s="1" t="s">
        <v>420</v>
      </c>
      <c r="E84" s="1" t="s">
        <v>137</v>
      </c>
      <c r="F84" s="1" t="s">
        <v>77</v>
      </c>
      <c r="G84" s="1" t="s">
        <v>330</v>
      </c>
      <c r="H84" s="1" t="s">
        <v>104</v>
      </c>
      <c r="I84" s="1" t="s">
        <v>59</v>
      </c>
      <c r="J84" s="1" t="s">
        <v>230</v>
      </c>
      <c r="K84" s="1">
        <v>10605</v>
      </c>
      <c r="L84" s="1">
        <v>13</v>
      </c>
      <c r="M84" s="1" t="s">
        <v>51</v>
      </c>
      <c r="N84" s="1" t="s">
        <v>52</v>
      </c>
    </row>
    <row r="85" spans="1:14">
      <c r="A85" s="1" t="s">
        <v>421</v>
      </c>
      <c r="B85" s="1" t="s">
        <v>422</v>
      </c>
      <c r="C85" s="1" t="s">
        <v>423</v>
      </c>
      <c r="D85" s="1" t="s">
        <v>424</v>
      </c>
      <c r="E85" s="1" t="s">
        <v>357</v>
      </c>
      <c r="F85" s="1" t="s">
        <v>183</v>
      </c>
      <c r="G85" s="1" t="s">
        <v>425</v>
      </c>
      <c r="H85" s="1" t="s">
        <v>58</v>
      </c>
      <c r="I85" s="1" t="s">
        <v>115</v>
      </c>
      <c r="J85" s="1" t="s">
        <v>22</v>
      </c>
      <c r="K85" s="1" t="s">
        <v>270</v>
      </c>
      <c r="L85" s="1">
        <v>19</v>
      </c>
      <c r="M85" s="1" t="s">
        <v>52</v>
      </c>
      <c r="N85" s="1" t="s">
        <v>24</v>
      </c>
    </row>
    <row r="86" spans="1:14">
      <c r="A86" s="1" t="s">
        <v>426</v>
      </c>
      <c r="B86" s="1" t="s">
        <v>427</v>
      </c>
      <c r="C86" s="1" t="s">
        <v>428</v>
      </c>
      <c r="D86" s="1" t="s">
        <v>429</v>
      </c>
      <c r="E86" s="1" t="s">
        <v>29</v>
      </c>
      <c r="F86" s="1" t="s">
        <v>30</v>
      </c>
      <c r="G86" s="1">
        <v>150</v>
      </c>
      <c r="H86" s="1" t="s">
        <v>84</v>
      </c>
      <c r="I86" s="1" t="s">
        <v>31</v>
      </c>
      <c r="J86" s="1" t="s">
        <v>50</v>
      </c>
      <c r="K86" s="1">
        <v>12572</v>
      </c>
      <c r="L86" s="1">
        <v>7</v>
      </c>
      <c r="M86" s="1" t="s">
        <v>33</v>
      </c>
      <c r="N86" s="1" t="s">
        <v>23</v>
      </c>
    </row>
    <row r="87" spans="1:14">
      <c r="A87" s="1" t="s">
        <v>430</v>
      </c>
      <c r="B87" s="1" t="s">
        <v>431</v>
      </c>
      <c r="C87" s="1" t="s">
        <v>432</v>
      </c>
      <c r="D87" s="1" t="s">
        <v>433</v>
      </c>
      <c r="E87" s="1" t="s">
        <v>68</v>
      </c>
      <c r="F87" s="1" t="s">
        <v>183</v>
      </c>
      <c r="G87" s="1">
        <v>47</v>
      </c>
      <c r="H87" s="1" t="s">
        <v>48</v>
      </c>
      <c r="I87" s="1" t="s">
        <v>31</v>
      </c>
      <c r="J87" s="1" t="s">
        <v>40</v>
      </c>
      <c r="K87" s="1">
        <v>12688</v>
      </c>
      <c r="L87" s="1">
        <v>14</v>
      </c>
      <c r="M87" s="1" t="s">
        <v>51</v>
      </c>
      <c r="N87" s="1" t="s">
        <v>33</v>
      </c>
    </row>
    <row r="88" spans="1:14">
      <c r="A88" s="1" t="s">
        <v>434</v>
      </c>
      <c r="B88" s="1" t="s">
        <v>435</v>
      </c>
      <c r="C88" s="1" t="s">
        <v>436</v>
      </c>
      <c r="D88" s="1" t="s">
        <v>429</v>
      </c>
      <c r="E88" s="1" t="s">
        <v>108</v>
      </c>
      <c r="F88" s="1" t="s">
        <v>109</v>
      </c>
      <c r="G88" s="1">
        <v>62</v>
      </c>
      <c r="H88" s="1" t="s">
        <v>84</v>
      </c>
      <c r="I88" s="1" t="s">
        <v>21</v>
      </c>
      <c r="J88" s="1" t="s">
        <v>210</v>
      </c>
      <c r="K88" s="1">
        <v>1152</v>
      </c>
      <c r="L88" s="1">
        <v>4</v>
      </c>
      <c r="M88" s="1" t="s">
        <v>52</v>
      </c>
      <c r="N88" s="1" t="s">
        <v>186</v>
      </c>
    </row>
    <row r="89" spans="1:14">
      <c r="A89" s="1" t="s">
        <v>437</v>
      </c>
      <c r="B89" s="1" t="s">
        <v>438</v>
      </c>
      <c r="C89" s="1" t="s">
        <v>439</v>
      </c>
      <c r="D89" s="1" t="s">
        <v>440</v>
      </c>
      <c r="E89" s="1" t="s">
        <v>182</v>
      </c>
      <c r="F89" s="1" t="s">
        <v>183</v>
      </c>
      <c r="G89" s="1">
        <v>71</v>
      </c>
      <c r="H89" s="1" t="s">
        <v>84</v>
      </c>
      <c r="I89" s="1" t="s">
        <v>21</v>
      </c>
      <c r="J89" s="1" t="s">
        <v>22</v>
      </c>
      <c r="K89" s="1">
        <v>4174</v>
      </c>
      <c r="L89" s="1">
        <v>18</v>
      </c>
      <c r="M89" s="1">
        <v>0</v>
      </c>
      <c r="N89" s="1"/>
    </row>
    <row r="90" spans="1:14">
      <c r="A90" s="1" t="s">
        <v>441</v>
      </c>
      <c r="B90" s="1" t="s">
        <v>442</v>
      </c>
      <c r="C90" s="1" t="s">
        <v>305</v>
      </c>
      <c r="D90" s="1" t="s">
        <v>443</v>
      </c>
      <c r="E90" s="1" t="s">
        <v>357</v>
      </c>
      <c r="F90" s="1" t="s">
        <v>126</v>
      </c>
      <c r="G90" s="1">
        <v>61</v>
      </c>
      <c r="H90" s="1" t="s">
        <v>58</v>
      </c>
      <c r="I90" s="1" t="s">
        <v>49</v>
      </c>
      <c r="J90" s="1" t="s">
        <v>22</v>
      </c>
      <c r="K90" s="1" t="s">
        <v>444</v>
      </c>
      <c r="L90" s="1">
        <v>90</v>
      </c>
      <c r="M90" s="1" t="s">
        <v>41</v>
      </c>
      <c r="N90" s="1" t="s">
        <v>33</v>
      </c>
    </row>
    <row r="91" spans="1:14">
      <c r="A91" s="1" t="s">
        <v>445</v>
      </c>
      <c r="B91" s="1" t="s">
        <v>446</v>
      </c>
      <c r="C91" s="1" t="s">
        <v>197</v>
      </c>
      <c r="D91" s="1" t="s">
        <v>447</v>
      </c>
      <c r="E91" s="1" t="s">
        <v>57</v>
      </c>
      <c r="F91" s="1" t="s">
        <v>83</v>
      </c>
      <c r="G91" s="1">
        <v>54</v>
      </c>
      <c r="H91" s="1" t="s">
        <v>48</v>
      </c>
      <c r="I91" s="1" t="s">
        <v>49</v>
      </c>
      <c r="J91" s="1" t="s">
        <v>230</v>
      </c>
      <c r="K91" s="1">
        <v>3402</v>
      </c>
      <c r="L91" s="1">
        <v>4</v>
      </c>
      <c r="M91" s="1" t="s">
        <v>23</v>
      </c>
      <c r="N91" s="1" t="s">
        <v>24</v>
      </c>
    </row>
    <row r="92" spans="1:14">
      <c r="A92" s="1" t="s">
        <v>448</v>
      </c>
      <c r="B92" s="1" t="s">
        <v>323</v>
      </c>
      <c r="C92" s="1" t="s">
        <v>449</v>
      </c>
      <c r="D92" s="1" t="s">
        <v>450</v>
      </c>
      <c r="E92" s="1" t="s">
        <v>18</v>
      </c>
      <c r="F92" s="1" t="s">
        <v>19</v>
      </c>
      <c r="G92" s="1">
        <v>44</v>
      </c>
      <c r="H92" s="1" t="s">
        <v>84</v>
      </c>
      <c r="I92" s="1" t="s">
        <v>153</v>
      </c>
      <c r="J92" s="1" t="s">
        <v>71</v>
      </c>
      <c r="K92" s="1" t="s">
        <v>451</v>
      </c>
      <c r="L92" s="1"/>
      <c r="M92" s="1" t="s">
        <v>52</v>
      </c>
      <c r="N92" s="1" t="s">
        <v>52</v>
      </c>
    </row>
    <row r="93" spans="1:14">
      <c r="A93" s="1" t="s">
        <v>452</v>
      </c>
      <c r="B93" s="1" t="s">
        <v>453</v>
      </c>
      <c r="C93" s="1" t="s">
        <v>454</v>
      </c>
      <c r="D93" s="1" t="s">
        <v>455</v>
      </c>
      <c r="E93" s="1" t="s">
        <v>120</v>
      </c>
      <c r="F93" s="1" t="s">
        <v>164</v>
      </c>
      <c r="G93" s="1" t="s">
        <v>456</v>
      </c>
      <c r="H93" s="1" t="s">
        <v>58</v>
      </c>
      <c r="I93" s="1" t="s">
        <v>110</v>
      </c>
      <c r="J93" s="1" t="s">
        <v>32</v>
      </c>
      <c r="K93" s="1">
        <v>14101</v>
      </c>
      <c r="L93" s="1">
        <v>9</v>
      </c>
      <c r="M93" s="1" t="s">
        <v>33</v>
      </c>
      <c r="N93" s="1" t="s">
        <v>33</v>
      </c>
    </row>
    <row r="94" spans="1:14">
      <c r="A94" s="1" t="s">
        <v>457</v>
      </c>
      <c r="B94" s="1" t="s">
        <v>458</v>
      </c>
      <c r="C94" s="1" t="s">
        <v>459</v>
      </c>
      <c r="D94" s="1" t="s">
        <v>460</v>
      </c>
      <c r="E94" s="1" t="s">
        <v>29</v>
      </c>
      <c r="F94" s="1" t="s">
        <v>30</v>
      </c>
      <c r="G94" s="1" t="s">
        <v>461</v>
      </c>
      <c r="H94" s="1" t="s">
        <v>144</v>
      </c>
      <c r="I94" s="1" t="s">
        <v>65</v>
      </c>
      <c r="J94" s="1" t="s">
        <v>22</v>
      </c>
      <c r="K94" s="1">
        <v>14365</v>
      </c>
      <c r="L94" s="1">
        <v>18</v>
      </c>
      <c r="M94" s="1" t="s">
        <v>24</v>
      </c>
      <c r="N94" s="1" t="s">
        <v>23</v>
      </c>
    </row>
    <row r="95" spans="1:14">
      <c r="A95" s="1" t="s">
        <v>462</v>
      </c>
      <c r="B95" s="1" t="s">
        <v>463</v>
      </c>
      <c r="C95" s="1" t="s">
        <v>464</v>
      </c>
      <c r="D95" s="1" t="s">
        <v>465</v>
      </c>
      <c r="E95" s="1"/>
      <c r="F95" s="1" t="s">
        <v>83</v>
      </c>
      <c r="G95" s="1">
        <v>56</v>
      </c>
      <c r="H95" s="1" t="s">
        <v>84</v>
      </c>
      <c r="I95" s="1" t="s">
        <v>110</v>
      </c>
      <c r="J95" s="1" t="s">
        <v>89</v>
      </c>
      <c r="K95" s="1">
        <v>10764</v>
      </c>
      <c r="L95" s="1">
        <v>15</v>
      </c>
      <c r="M95" s="1" t="s">
        <v>23</v>
      </c>
      <c r="N95" s="1" t="s">
        <v>52</v>
      </c>
    </row>
    <row r="96" spans="1:14">
      <c r="A96" s="1" t="s">
        <v>466</v>
      </c>
      <c r="B96" s="1" t="s">
        <v>368</v>
      </c>
      <c r="C96" s="1" t="s">
        <v>197</v>
      </c>
      <c r="D96" s="1" t="s">
        <v>467</v>
      </c>
      <c r="E96" s="1" t="s">
        <v>120</v>
      </c>
      <c r="F96" s="1" t="s">
        <v>132</v>
      </c>
      <c r="G96" s="1">
        <v>72</v>
      </c>
      <c r="H96" s="1" t="s">
        <v>70</v>
      </c>
      <c r="I96" s="1" t="s">
        <v>21</v>
      </c>
      <c r="J96" s="1" t="s">
        <v>210</v>
      </c>
      <c r="K96" s="1">
        <v>9999</v>
      </c>
      <c r="L96" s="1">
        <v>19</v>
      </c>
      <c r="M96" s="1" t="s">
        <v>52</v>
      </c>
      <c r="N96" s="1" t="s">
        <v>52</v>
      </c>
    </row>
    <row r="97" spans="1:14">
      <c r="A97" s="1" t="s">
        <v>468</v>
      </c>
      <c r="B97" s="1" t="s">
        <v>469</v>
      </c>
      <c r="C97" s="1" t="s">
        <v>470</v>
      </c>
      <c r="D97" s="1" t="s">
        <v>471</v>
      </c>
      <c r="E97" s="1" t="s">
        <v>149</v>
      </c>
      <c r="F97" s="1" t="s">
        <v>109</v>
      </c>
      <c r="G97" s="1">
        <v>71</v>
      </c>
      <c r="H97" s="1" t="s">
        <v>58</v>
      </c>
      <c r="I97" s="1" t="s">
        <v>59</v>
      </c>
      <c r="J97" s="1" t="s">
        <v>50</v>
      </c>
      <c r="K97" s="1">
        <v>7266</v>
      </c>
      <c r="L97" s="1">
        <v>1</v>
      </c>
      <c r="M97" s="1" t="s">
        <v>52</v>
      </c>
      <c r="N97" s="1" t="s">
        <v>24</v>
      </c>
    </row>
    <row r="98" spans="1:14">
      <c r="A98" s="1" t="s">
        <v>472</v>
      </c>
      <c r="B98" s="1" t="s">
        <v>473</v>
      </c>
      <c r="C98" s="1" t="s">
        <v>474</v>
      </c>
      <c r="D98" s="1" t="s">
        <v>475</v>
      </c>
      <c r="E98" s="1" t="s">
        <v>149</v>
      </c>
      <c r="F98" s="1" t="s">
        <v>109</v>
      </c>
      <c r="G98" s="1" t="s">
        <v>476</v>
      </c>
      <c r="H98" s="1" t="s">
        <v>48</v>
      </c>
      <c r="I98" s="1" t="s">
        <v>153</v>
      </c>
      <c r="J98" s="1" t="s">
        <v>50</v>
      </c>
      <c r="K98" s="1">
        <v>5940</v>
      </c>
      <c r="L98" s="1">
        <v>11</v>
      </c>
      <c r="M98" s="1" t="s">
        <v>51</v>
      </c>
      <c r="N98" s="1" t="s">
        <v>186</v>
      </c>
    </row>
    <row r="99" spans="1:14">
      <c r="A99" s="1" t="s">
        <v>477</v>
      </c>
      <c r="B99" s="1" t="s">
        <v>206</v>
      </c>
      <c r="C99" s="1" t="s">
        <v>44</v>
      </c>
      <c r="D99" s="1" t="s">
        <v>478</v>
      </c>
      <c r="E99" s="1" t="s">
        <v>182</v>
      </c>
      <c r="F99" s="1" t="s">
        <v>126</v>
      </c>
      <c r="G99" s="1">
        <v>26</v>
      </c>
      <c r="H99" s="1" t="s">
        <v>48</v>
      </c>
      <c r="I99" s="1" t="s">
        <v>21</v>
      </c>
      <c r="J99" s="1" t="s">
        <v>230</v>
      </c>
      <c r="K99" s="1" t="s">
        <v>479</v>
      </c>
      <c r="L99" s="1">
        <v>3</v>
      </c>
      <c r="M99" s="1">
        <v>1</v>
      </c>
      <c r="N99" s="1" t="s">
        <v>52</v>
      </c>
    </row>
    <row r="100" spans="1:14">
      <c r="A100" s="1" t="s">
        <v>480</v>
      </c>
      <c r="B100" s="1" t="s">
        <v>481</v>
      </c>
      <c r="C100" s="1" t="s">
        <v>482</v>
      </c>
      <c r="D100" s="1" t="s">
        <v>483</v>
      </c>
      <c r="E100" s="1" t="s">
        <v>57</v>
      </c>
      <c r="F100" s="1" t="s">
        <v>83</v>
      </c>
      <c r="G100" s="1" t="s">
        <v>484</v>
      </c>
      <c r="H100" s="1" t="s">
        <v>144</v>
      </c>
      <c r="I100" s="1" t="s">
        <v>21</v>
      </c>
      <c r="J100" s="1" t="s">
        <v>22</v>
      </c>
      <c r="K100" s="1">
        <v>5140</v>
      </c>
      <c r="L100" s="1">
        <v>6</v>
      </c>
      <c r="M100" s="1" t="s">
        <v>51</v>
      </c>
      <c r="N100" s="1" t="s">
        <v>186</v>
      </c>
    </row>
    <row r="101" spans="1:14">
      <c r="A101" s="1" t="s">
        <v>485</v>
      </c>
      <c r="B101" s="1" t="s">
        <v>486</v>
      </c>
      <c r="C101" s="1" t="s">
        <v>487</v>
      </c>
      <c r="D101" s="1" t="s">
        <v>488</v>
      </c>
      <c r="E101" s="1" t="s">
        <v>175</v>
      </c>
      <c r="F101" s="1" t="s">
        <v>209</v>
      </c>
      <c r="G101" s="1">
        <v>17</v>
      </c>
      <c r="H101" s="1" t="s">
        <v>144</v>
      </c>
      <c r="I101" s="1" t="s">
        <v>21</v>
      </c>
      <c r="J101" s="1" t="s">
        <v>22</v>
      </c>
      <c r="K101" s="1" t="s">
        <v>270</v>
      </c>
      <c r="L101" s="1">
        <v>1</v>
      </c>
      <c r="M101" s="1" t="s">
        <v>33</v>
      </c>
      <c r="N101" s="1" t="s">
        <v>52</v>
      </c>
    </row>
    <row r="102" spans="1:14">
      <c r="A102" s="1" t="s">
        <v>489</v>
      </c>
      <c r="B102" s="1" t="s">
        <v>490</v>
      </c>
      <c r="C102" s="1" t="s">
        <v>491</v>
      </c>
      <c r="D102" s="1" t="s">
        <v>492</v>
      </c>
      <c r="E102" s="1" t="s">
        <v>149</v>
      </c>
      <c r="F102" s="1" t="s">
        <v>109</v>
      </c>
      <c r="G102" s="1">
        <v>36</v>
      </c>
      <c r="H102" s="1" t="s">
        <v>58</v>
      </c>
      <c r="I102" s="1" t="s">
        <v>65</v>
      </c>
      <c r="J102" s="1" t="s">
        <v>22</v>
      </c>
      <c r="K102" s="1">
        <v>12646</v>
      </c>
      <c r="L102" s="1">
        <v>3</v>
      </c>
      <c r="M102" s="1" t="s">
        <v>51</v>
      </c>
      <c r="N102" s="1" t="s">
        <v>23</v>
      </c>
    </row>
    <row r="103" spans="1:14">
      <c r="A103" s="1" t="s">
        <v>493</v>
      </c>
      <c r="B103" s="1" t="s">
        <v>494</v>
      </c>
      <c r="C103" s="1" t="s">
        <v>455</v>
      </c>
      <c r="D103" s="1" t="s">
        <v>495</v>
      </c>
      <c r="E103" s="1" t="s">
        <v>18</v>
      </c>
      <c r="F103" s="1" t="s">
        <v>19</v>
      </c>
      <c r="G103" s="1">
        <v>18</v>
      </c>
      <c r="H103" s="1" t="s">
        <v>48</v>
      </c>
      <c r="I103" s="1" t="s">
        <v>21</v>
      </c>
      <c r="J103" s="1" t="s">
        <v>32</v>
      </c>
      <c r="K103" s="1">
        <v>8346</v>
      </c>
      <c r="L103" s="1">
        <v>9</v>
      </c>
      <c r="M103" s="1" t="s">
        <v>51</v>
      </c>
      <c r="N103" s="1" t="s">
        <v>23</v>
      </c>
    </row>
    <row r="104" spans="1:14">
      <c r="A104" s="1" t="s">
        <v>496</v>
      </c>
      <c r="B104" s="1" t="s">
        <v>161</v>
      </c>
      <c r="C104" s="1" t="s">
        <v>365</v>
      </c>
      <c r="D104" s="1" t="s">
        <v>497</v>
      </c>
      <c r="E104" s="1" t="s">
        <v>249</v>
      </c>
      <c r="F104" s="1" t="s">
        <v>114</v>
      </c>
      <c r="G104" s="1">
        <v>3</v>
      </c>
      <c r="H104" s="1" t="s">
        <v>20</v>
      </c>
      <c r="I104" s="1" t="s">
        <v>65</v>
      </c>
      <c r="J104" s="1" t="s">
        <v>40</v>
      </c>
      <c r="K104" s="1" t="s">
        <v>270</v>
      </c>
      <c r="L104" s="1">
        <v>18</v>
      </c>
      <c r="M104" s="1" t="s">
        <v>51</v>
      </c>
      <c r="N104" s="1" t="s">
        <v>41</v>
      </c>
    </row>
    <row r="105" spans="1:14">
      <c r="A105" s="1" t="s">
        <v>498</v>
      </c>
      <c r="B105" s="1" t="s">
        <v>61</v>
      </c>
      <c r="C105" s="1" t="s">
        <v>499</v>
      </c>
      <c r="D105" s="1" t="s">
        <v>500</v>
      </c>
      <c r="E105" s="1" t="s">
        <v>120</v>
      </c>
      <c r="F105" s="1" t="s">
        <v>143</v>
      </c>
      <c r="G105" s="1">
        <v>43</v>
      </c>
      <c r="H105" s="1" t="s">
        <v>58</v>
      </c>
      <c r="I105" s="1" t="s">
        <v>49</v>
      </c>
      <c r="J105" s="1" t="s">
        <v>50</v>
      </c>
      <c r="K105" s="1">
        <v>10087</v>
      </c>
      <c r="L105" s="1">
        <v>2</v>
      </c>
      <c r="M105" s="1">
        <v>1</v>
      </c>
      <c r="N105" s="1" t="s">
        <v>186</v>
      </c>
    </row>
    <row r="106" spans="1:14">
      <c r="A106" s="1" t="s">
        <v>501</v>
      </c>
      <c r="B106" s="1" t="s">
        <v>502</v>
      </c>
      <c r="C106" s="1" t="s">
        <v>503</v>
      </c>
      <c r="D106" s="1" t="s">
        <v>504</v>
      </c>
      <c r="E106" s="1" t="s">
        <v>108</v>
      </c>
      <c r="F106" s="1" t="s">
        <v>199</v>
      </c>
      <c r="G106" s="1">
        <v>65</v>
      </c>
      <c r="H106" s="1" t="s">
        <v>58</v>
      </c>
      <c r="I106" s="1" t="s">
        <v>31</v>
      </c>
      <c r="J106" s="1" t="s">
        <v>40</v>
      </c>
      <c r="K106" s="1" t="s">
        <v>505</v>
      </c>
      <c r="L106" s="1">
        <v>7</v>
      </c>
      <c r="M106" s="1">
        <v>1</v>
      </c>
      <c r="N106" s="1" t="s">
        <v>52</v>
      </c>
    </row>
    <row r="107" spans="1:14">
      <c r="A107" s="1" t="s">
        <v>506</v>
      </c>
      <c r="B107" s="1" t="s">
        <v>507</v>
      </c>
      <c r="C107" s="1" t="s">
        <v>508</v>
      </c>
      <c r="D107" s="1" t="s">
        <v>509</v>
      </c>
      <c r="E107" s="1" t="s">
        <v>95</v>
      </c>
      <c r="F107" s="1" t="s">
        <v>114</v>
      </c>
      <c r="G107" s="1">
        <v>16</v>
      </c>
      <c r="H107" s="1" t="s">
        <v>104</v>
      </c>
      <c r="I107" s="1" t="s">
        <v>127</v>
      </c>
      <c r="J107" s="1" t="s">
        <v>71</v>
      </c>
      <c r="K107" s="1" t="s">
        <v>510</v>
      </c>
      <c r="L107" s="1">
        <v>9</v>
      </c>
      <c r="M107" s="1">
        <v>1</v>
      </c>
      <c r="N107" s="1" t="s">
        <v>24</v>
      </c>
    </row>
    <row r="108" spans="1:14">
      <c r="A108" s="1" t="s">
        <v>511</v>
      </c>
      <c r="B108" s="1" t="s">
        <v>512</v>
      </c>
      <c r="C108" s="1" t="s">
        <v>513</v>
      </c>
      <c r="D108" s="1" t="s">
        <v>514</v>
      </c>
      <c r="E108" s="1" t="s">
        <v>29</v>
      </c>
      <c r="F108" s="1" t="s">
        <v>102</v>
      </c>
      <c r="G108" s="1">
        <v>77</v>
      </c>
      <c r="H108" s="1" t="s">
        <v>20</v>
      </c>
      <c r="I108" s="1" t="s">
        <v>127</v>
      </c>
      <c r="J108" s="1" t="s">
        <v>50</v>
      </c>
      <c r="K108" s="1">
        <v>11294</v>
      </c>
      <c r="L108" s="1">
        <v>18</v>
      </c>
      <c r="M108" s="1" t="s">
        <v>41</v>
      </c>
      <c r="N108" s="1" t="s">
        <v>41</v>
      </c>
    </row>
    <row r="109" spans="1:14">
      <c r="A109" s="1" t="s">
        <v>515</v>
      </c>
      <c r="B109" s="1" t="s">
        <v>516</v>
      </c>
      <c r="C109" s="1" t="s">
        <v>433</v>
      </c>
      <c r="D109" s="1" t="s">
        <v>517</v>
      </c>
      <c r="E109" s="1" t="s">
        <v>120</v>
      </c>
      <c r="F109" s="1" t="s">
        <v>143</v>
      </c>
      <c r="G109" s="1">
        <v>95</v>
      </c>
      <c r="H109" s="1" t="s">
        <v>104</v>
      </c>
      <c r="I109" s="1" t="s">
        <v>127</v>
      </c>
      <c r="J109" s="1" t="s">
        <v>50</v>
      </c>
      <c r="K109" s="1">
        <v>13859</v>
      </c>
      <c r="L109" s="1">
        <v>20</v>
      </c>
      <c r="M109" s="1" t="s">
        <v>33</v>
      </c>
      <c r="N109" s="1" t="s">
        <v>41</v>
      </c>
    </row>
    <row r="110" spans="1:14">
      <c r="A110" s="1" t="s">
        <v>518</v>
      </c>
      <c r="B110" s="1" t="s">
        <v>519</v>
      </c>
      <c r="C110" s="1" t="s">
        <v>520</v>
      </c>
      <c r="D110" s="1" t="s">
        <v>521</v>
      </c>
      <c r="E110" s="1" t="s">
        <v>108</v>
      </c>
      <c r="F110" s="1" t="s">
        <v>47</v>
      </c>
      <c r="G110" s="1">
        <v>68</v>
      </c>
      <c r="H110" s="1" t="s">
        <v>70</v>
      </c>
      <c r="I110" s="1" t="s">
        <v>59</v>
      </c>
      <c r="J110" s="1" t="s">
        <v>50</v>
      </c>
      <c r="K110" s="1" t="s">
        <v>522</v>
      </c>
      <c r="L110" s="1" t="s">
        <v>303</v>
      </c>
      <c r="M110" s="1" t="s">
        <v>52</v>
      </c>
      <c r="N110" s="1" t="s">
        <v>41</v>
      </c>
    </row>
    <row r="111" spans="1:14">
      <c r="A111" s="1" t="s">
        <v>523</v>
      </c>
      <c r="B111" s="1" t="s">
        <v>502</v>
      </c>
      <c r="C111" s="1" t="s">
        <v>88</v>
      </c>
      <c r="D111" s="1" t="s">
        <v>524</v>
      </c>
      <c r="E111" s="1" t="s">
        <v>249</v>
      </c>
      <c r="F111" s="1" t="s">
        <v>96</v>
      </c>
      <c r="G111" s="1">
        <v>10</v>
      </c>
      <c r="H111" s="1"/>
      <c r="I111" s="1" t="s">
        <v>21</v>
      </c>
      <c r="J111" s="1" t="s">
        <v>71</v>
      </c>
      <c r="K111" s="1">
        <v>5528</v>
      </c>
      <c r="L111" s="1" t="s">
        <v>303</v>
      </c>
      <c r="M111" s="1" t="s">
        <v>33</v>
      </c>
      <c r="N111" s="1" t="s">
        <v>24</v>
      </c>
    </row>
    <row r="112" spans="1:14">
      <c r="A112" s="1" t="s">
        <v>525</v>
      </c>
      <c r="B112" s="1" t="s">
        <v>526</v>
      </c>
      <c r="C112" s="1" t="s">
        <v>527</v>
      </c>
      <c r="D112" s="1" t="s">
        <v>528</v>
      </c>
      <c r="E112" s="1" t="s">
        <v>120</v>
      </c>
      <c r="F112" s="1" t="s">
        <v>164</v>
      </c>
      <c r="G112" s="1">
        <v>18</v>
      </c>
      <c r="H112" s="1" t="s">
        <v>144</v>
      </c>
      <c r="I112" s="1" t="s">
        <v>21</v>
      </c>
      <c r="J112" s="1" t="s">
        <v>32</v>
      </c>
      <c r="K112" s="1">
        <v>5845</v>
      </c>
      <c r="L112" s="1">
        <v>16</v>
      </c>
      <c r="M112" s="1" t="s">
        <v>51</v>
      </c>
      <c r="N112" s="1" t="s">
        <v>52</v>
      </c>
    </row>
    <row r="113" spans="1:14">
      <c r="A113" s="1" t="s">
        <v>529</v>
      </c>
      <c r="B113" s="1" t="s">
        <v>530</v>
      </c>
      <c r="C113" s="1" t="s">
        <v>531</v>
      </c>
      <c r="D113" s="1" t="s">
        <v>532</v>
      </c>
      <c r="E113" s="1" t="s">
        <v>149</v>
      </c>
      <c r="F113" s="1" t="s">
        <v>47</v>
      </c>
      <c r="G113" s="1">
        <v>70</v>
      </c>
      <c r="H113" s="1" t="s">
        <v>20</v>
      </c>
      <c r="I113" s="1" t="s">
        <v>110</v>
      </c>
      <c r="J113" s="1" t="s">
        <v>22</v>
      </c>
      <c r="K113" s="1" t="s">
        <v>533</v>
      </c>
      <c r="L113" s="1">
        <v>15</v>
      </c>
      <c r="M113" s="1">
        <v>0</v>
      </c>
      <c r="N113" s="1" t="s">
        <v>33</v>
      </c>
    </row>
    <row r="114" spans="1:14">
      <c r="A114" s="1" t="s">
        <v>534</v>
      </c>
      <c r="B114" s="1" t="s">
        <v>92</v>
      </c>
      <c r="C114" s="1" t="s">
        <v>87</v>
      </c>
      <c r="D114" s="1" t="s">
        <v>535</v>
      </c>
      <c r="E114" s="1" t="s">
        <v>142</v>
      </c>
      <c r="F114" s="1" t="s">
        <v>164</v>
      </c>
      <c r="G114" s="1">
        <v>18</v>
      </c>
      <c r="H114" s="1" t="s">
        <v>104</v>
      </c>
      <c r="I114" s="1" t="s">
        <v>59</v>
      </c>
      <c r="J114" s="1" t="s">
        <v>50</v>
      </c>
      <c r="K114" s="1" t="s">
        <v>536</v>
      </c>
      <c r="L114" s="1">
        <v>5</v>
      </c>
      <c r="M114" s="1">
        <v>0</v>
      </c>
      <c r="N114" s="1" t="s">
        <v>52</v>
      </c>
    </row>
    <row r="115" spans="1:14">
      <c r="A115" s="1" t="s">
        <v>537</v>
      </c>
      <c r="B115" s="1" t="s">
        <v>538</v>
      </c>
      <c r="C115" s="1" t="s">
        <v>197</v>
      </c>
      <c r="D115" s="1" t="s">
        <v>539</v>
      </c>
      <c r="E115" s="1" t="s">
        <v>357</v>
      </c>
      <c r="F115" s="1" t="s">
        <v>126</v>
      </c>
      <c r="G115" s="1">
        <v>53</v>
      </c>
      <c r="H115" s="1" t="s">
        <v>84</v>
      </c>
      <c r="I115" s="1" t="s">
        <v>59</v>
      </c>
      <c r="J115" s="1" t="s">
        <v>40</v>
      </c>
      <c r="K115" s="1" t="s">
        <v>540</v>
      </c>
      <c r="L115" s="1">
        <v>1</v>
      </c>
      <c r="M115" s="1" t="s">
        <v>52</v>
      </c>
      <c r="N115" s="1" t="s">
        <v>23</v>
      </c>
    </row>
    <row r="116" spans="1:14">
      <c r="A116" s="1" t="s">
        <v>541</v>
      </c>
      <c r="B116" s="1" t="s">
        <v>201</v>
      </c>
      <c r="C116" s="1" t="s">
        <v>542</v>
      </c>
      <c r="D116" s="1" t="s">
        <v>543</v>
      </c>
      <c r="E116" s="1" t="s">
        <v>125</v>
      </c>
      <c r="F116" s="1" t="s">
        <v>69</v>
      </c>
      <c r="G116" s="1">
        <v>47</v>
      </c>
      <c r="H116" s="1" t="s">
        <v>144</v>
      </c>
      <c r="I116" s="1" t="s">
        <v>110</v>
      </c>
      <c r="J116" s="1" t="s">
        <v>40</v>
      </c>
      <c r="K116" s="1">
        <v>10967</v>
      </c>
      <c r="L116" s="1">
        <v>2</v>
      </c>
      <c r="M116" s="1">
        <v>1</v>
      </c>
      <c r="N116" s="1" t="s">
        <v>23</v>
      </c>
    </row>
    <row r="117" spans="1:14">
      <c r="A117" s="1" t="s">
        <v>544</v>
      </c>
      <c r="B117" s="1" t="s">
        <v>545</v>
      </c>
      <c r="C117" s="1" t="s">
        <v>546</v>
      </c>
      <c r="D117" s="1" t="s">
        <v>547</v>
      </c>
      <c r="E117" s="1"/>
      <c r="F117" s="1" t="s">
        <v>77</v>
      </c>
      <c r="G117" s="1">
        <v>34</v>
      </c>
      <c r="H117" s="1" t="s">
        <v>70</v>
      </c>
      <c r="I117" s="1" t="s">
        <v>110</v>
      </c>
      <c r="J117" s="1" t="s">
        <v>50</v>
      </c>
      <c r="K117" s="1">
        <v>3143</v>
      </c>
      <c r="L117" s="1">
        <v>20</v>
      </c>
      <c r="M117" s="1" t="s">
        <v>33</v>
      </c>
      <c r="N117" s="1" t="s">
        <v>23</v>
      </c>
    </row>
    <row r="118" spans="1:14">
      <c r="A118" s="1" t="s">
        <v>548</v>
      </c>
      <c r="B118" s="1" t="s">
        <v>549</v>
      </c>
      <c r="C118" s="1" t="s">
        <v>550</v>
      </c>
      <c r="D118" s="1" t="s">
        <v>551</v>
      </c>
      <c r="E118" s="1" t="s">
        <v>68</v>
      </c>
      <c r="F118" s="1" t="s">
        <v>69</v>
      </c>
      <c r="G118" s="1">
        <v>29</v>
      </c>
      <c r="H118" s="1"/>
      <c r="I118" s="1" t="s">
        <v>65</v>
      </c>
      <c r="J118" s="1" t="s">
        <v>50</v>
      </c>
      <c r="K118" s="1" t="s">
        <v>552</v>
      </c>
      <c r="L118" s="1">
        <v>3</v>
      </c>
      <c r="M118" s="1" t="s">
        <v>23</v>
      </c>
      <c r="N118" s="1" t="s">
        <v>23</v>
      </c>
    </row>
    <row r="119" spans="1:14">
      <c r="A119" s="1" t="s">
        <v>553</v>
      </c>
      <c r="B119" s="1" t="s">
        <v>554</v>
      </c>
      <c r="C119" s="1" t="s">
        <v>277</v>
      </c>
      <c r="D119" s="1"/>
      <c r="E119" s="1" t="s">
        <v>125</v>
      </c>
      <c r="F119" s="1" t="s">
        <v>69</v>
      </c>
      <c r="G119" s="1">
        <v>82</v>
      </c>
      <c r="H119" s="1" t="s">
        <v>70</v>
      </c>
      <c r="I119" s="1" t="s">
        <v>110</v>
      </c>
      <c r="J119" s="1" t="s">
        <v>89</v>
      </c>
      <c r="K119" s="1">
        <v>4756</v>
      </c>
      <c r="L119" s="1">
        <v>7</v>
      </c>
      <c r="M119" s="1" t="s">
        <v>23</v>
      </c>
      <c r="N119" s="1" t="s">
        <v>24</v>
      </c>
    </row>
    <row r="120" spans="1:14">
      <c r="A120" s="1" t="s">
        <v>555</v>
      </c>
      <c r="B120" s="1" t="s">
        <v>556</v>
      </c>
      <c r="C120" s="1" t="s">
        <v>557</v>
      </c>
      <c r="D120" s="1" t="s">
        <v>558</v>
      </c>
      <c r="E120" s="1" t="s">
        <v>29</v>
      </c>
      <c r="F120" s="1" t="s">
        <v>102</v>
      </c>
      <c r="G120" s="1" t="s">
        <v>559</v>
      </c>
      <c r="H120" s="1" t="s">
        <v>104</v>
      </c>
      <c r="I120" s="1" t="s">
        <v>21</v>
      </c>
      <c r="J120" s="1" t="s">
        <v>50</v>
      </c>
      <c r="K120" s="1">
        <v>8105</v>
      </c>
      <c r="L120" s="1">
        <v>19</v>
      </c>
      <c r="M120" s="1">
        <v>1</v>
      </c>
      <c r="N120" s="1" t="s">
        <v>186</v>
      </c>
    </row>
    <row r="121" spans="1:14">
      <c r="A121" s="1" t="s">
        <v>560</v>
      </c>
      <c r="B121" s="1" t="s">
        <v>117</v>
      </c>
      <c r="C121" s="1" t="s">
        <v>561</v>
      </c>
      <c r="D121" s="1" t="s">
        <v>562</v>
      </c>
      <c r="E121" s="1" t="s">
        <v>29</v>
      </c>
      <c r="F121" s="1" t="s">
        <v>30</v>
      </c>
      <c r="G121" s="1" t="s">
        <v>563</v>
      </c>
      <c r="H121" s="1" t="s">
        <v>84</v>
      </c>
      <c r="I121" s="1" t="s">
        <v>49</v>
      </c>
      <c r="J121" s="1" t="s">
        <v>71</v>
      </c>
      <c r="K121" s="1">
        <v>13797</v>
      </c>
      <c r="L121" s="1">
        <v>15</v>
      </c>
      <c r="M121" s="1" t="s">
        <v>33</v>
      </c>
      <c r="N121" s="1" t="s">
        <v>23</v>
      </c>
    </row>
    <row r="122" spans="1:14">
      <c r="A122" s="1" t="s">
        <v>564</v>
      </c>
      <c r="B122" s="1" t="s">
        <v>565</v>
      </c>
      <c r="C122" s="1" t="s">
        <v>566</v>
      </c>
      <c r="D122" s="1" t="s">
        <v>567</v>
      </c>
      <c r="E122" s="1" t="s">
        <v>108</v>
      </c>
      <c r="F122" s="1" t="s">
        <v>109</v>
      </c>
      <c r="G122" s="1">
        <v>18</v>
      </c>
      <c r="H122" s="1" t="s">
        <v>48</v>
      </c>
      <c r="I122" s="1" t="s">
        <v>110</v>
      </c>
      <c r="J122" s="1" t="s">
        <v>22</v>
      </c>
      <c r="K122" s="1">
        <v>3045</v>
      </c>
      <c r="L122" s="1">
        <v>16</v>
      </c>
      <c r="M122" s="1">
        <v>1</v>
      </c>
      <c r="N122" s="1" t="s">
        <v>186</v>
      </c>
    </row>
    <row r="123" spans="1:14">
      <c r="A123" s="1" t="s">
        <v>568</v>
      </c>
      <c r="B123" s="1" t="s">
        <v>569</v>
      </c>
      <c r="C123" s="1" t="s">
        <v>570</v>
      </c>
      <c r="D123" s="1" t="s">
        <v>571</v>
      </c>
      <c r="E123" s="1" t="s">
        <v>120</v>
      </c>
      <c r="F123" s="1" t="s">
        <v>39</v>
      </c>
      <c r="G123" s="1">
        <v>92</v>
      </c>
      <c r="H123" s="1" t="s">
        <v>58</v>
      </c>
      <c r="I123" s="1"/>
      <c r="J123" s="1" t="s">
        <v>40</v>
      </c>
      <c r="K123" s="1">
        <v>4078</v>
      </c>
      <c r="L123" s="1">
        <v>1</v>
      </c>
      <c r="M123" s="1" t="s">
        <v>24</v>
      </c>
      <c r="N123" s="1" t="s">
        <v>52</v>
      </c>
    </row>
    <row r="124" spans="1:14">
      <c r="A124" s="1" t="s">
        <v>572</v>
      </c>
      <c r="B124" s="1" t="s">
        <v>526</v>
      </c>
      <c r="C124" s="1" t="s">
        <v>470</v>
      </c>
      <c r="D124" s="1" t="s">
        <v>573</v>
      </c>
      <c r="E124" s="1" t="s">
        <v>29</v>
      </c>
      <c r="F124" s="1" t="s">
        <v>77</v>
      </c>
      <c r="G124" s="1">
        <v>61</v>
      </c>
      <c r="H124" s="1" t="s">
        <v>20</v>
      </c>
      <c r="I124" s="1"/>
      <c r="J124" s="1" t="s">
        <v>40</v>
      </c>
      <c r="K124" s="1">
        <v>4689</v>
      </c>
      <c r="L124" s="1">
        <v>12</v>
      </c>
      <c r="M124" s="1">
        <v>0</v>
      </c>
      <c r="N124" s="1" t="s">
        <v>41</v>
      </c>
    </row>
    <row r="125" spans="1:14">
      <c r="A125" s="1" t="s">
        <v>574</v>
      </c>
      <c r="B125" s="1" t="s">
        <v>575</v>
      </c>
      <c r="C125" s="1" t="s">
        <v>576</v>
      </c>
      <c r="D125" s="1" t="s">
        <v>509</v>
      </c>
      <c r="E125" s="1" t="s">
        <v>95</v>
      </c>
      <c r="F125" s="1" t="s">
        <v>114</v>
      </c>
      <c r="G125" s="1">
        <v>15</v>
      </c>
      <c r="H125" s="1" t="s">
        <v>58</v>
      </c>
      <c r="I125" s="1" t="s">
        <v>31</v>
      </c>
      <c r="J125" s="1" t="s">
        <v>32</v>
      </c>
      <c r="K125" s="1">
        <v>10043</v>
      </c>
      <c r="L125" s="1">
        <v>1</v>
      </c>
      <c r="M125" s="1" t="s">
        <v>24</v>
      </c>
      <c r="N125" s="1" t="s">
        <v>33</v>
      </c>
    </row>
    <row r="126" spans="1:14">
      <c r="A126" s="1" t="s">
        <v>577</v>
      </c>
      <c r="B126" s="1" t="s">
        <v>243</v>
      </c>
      <c r="C126" s="1" t="s">
        <v>578</v>
      </c>
      <c r="D126" s="1" t="s">
        <v>311</v>
      </c>
      <c r="E126" s="1" t="s">
        <v>108</v>
      </c>
      <c r="F126" s="1" t="s">
        <v>47</v>
      </c>
      <c r="G126" s="1">
        <v>37</v>
      </c>
      <c r="H126" s="1" t="s">
        <v>84</v>
      </c>
      <c r="I126" s="1"/>
      <c r="J126" s="1" t="s">
        <v>50</v>
      </c>
      <c r="K126" s="1">
        <v>13753</v>
      </c>
      <c r="L126" s="1">
        <v>17</v>
      </c>
      <c r="M126" s="1" t="s">
        <v>23</v>
      </c>
      <c r="N126" s="1" t="s">
        <v>52</v>
      </c>
    </row>
    <row r="127" spans="1:14">
      <c r="A127" s="1" t="s">
        <v>579</v>
      </c>
      <c r="B127" s="1" t="s">
        <v>580</v>
      </c>
      <c r="C127" s="1" t="s">
        <v>581</v>
      </c>
      <c r="D127" s="1" t="s">
        <v>582</v>
      </c>
      <c r="E127" s="1" t="s">
        <v>64</v>
      </c>
      <c r="F127" s="1" t="s">
        <v>30</v>
      </c>
      <c r="G127" s="1">
        <v>68</v>
      </c>
      <c r="H127" s="1" t="s">
        <v>104</v>
      </c>
      <c r="I127" s="1" t="s">
        <v>153</v>
      </c>
      <c r="J127" s="1" t="s">
        <v>22</v>
      </c>
      <c r="K127" s="1">
        <v>13263</v>
      </c>
      <c r="L127" s="1">
        <v>19</v>
      </c>
      <c r="M127" s="1" t="s">
        <v>23</v>
      </c>
      <c r="N127" s="1" t="s">
        <v>24</v>
      </c>
    </row>
    <row r="128" spans="1:14">
      <c r="A128" s="1" t="s">
        <v>190</v>
      </c>
      <c r="B128" s="1" t="s">
        <v>191</v>
      </c>
      <c r="C128" s="1" t="s">
        <v>192</v>
      </c>
      <c r="D128" s="1" t="s">
        <v>193</v>
      </c>
      <c r="E128" s="1" t="s">
        <v>120</v>
      </c>
      <c r="F128" s="1" t="s">
        <v>83</v>
      </c>
      <c r="G128" s="1" t="s">
        <v>194</v>
      </c>
      <c r="H128" s="1" t="s">
        <v>84</v>
      </c>
      <c r="I128" s="1" t="s">
        <v>110</v>
      </c>
      <c r="J128" s="1" t="s">
        <v>22</v>
      </c>
      <c r="K128" s="1">
        <v>9999</v>
      </c>
      <c r="L128" s="1">
        <v>2</v>
      </c>
      <c r="M128" s="1">
        <v>1</v>
      </c>
      <c r="N128" s="1" t="s">
        <v>23</v>
      </c>
    </row>
    <row r="129" spans="1:14">
      <c r="A129" s="1" t="s">
        <v>583</v>
      </c>
      <c r="B129" s="1" t="s">
        <v>584</v>
      </c>
      <c r="C129" s="1" t="s">
        <v>585</v>
      </c>
      <c r="D129" s="1" t="s">
        <v>586</v>
      </c>
      <c r="E129" s="1" t="s">
        <v>249</v>
      </c>
      <c r="F129" s="1" t="s">
        <v>114</v>
      </c>
      <c r="G129" s="1">
        <v>10</v>
      </c>
      <c r="H129" s="1" t="s">
        <v>144</v>
      </c>
      <c r="I129" s="1" t="s">
        <v>59</v>
      </c>
      <c r="J129" s="1" t="s">
        <v>40</v>
      </c>
      <c r="K129" s="1">
        <v>5103</v>
      </c>
      <c r="L129" s="1">
        <v>2</v>
      </c>
      <c r="M129" s="1" t="s">
        <v>33</v>
      </c>
      <c r="N129" s="1" t="s">
        <v>24</v>
      </c>
    </row>
    <row r="130" spans="1:14">
      <c r="A130" s="1" t="s">
        <v>587</v>
      </c>
      <c r="B130" s="1" t="s">
        <v>588</v>
      </c>
      <c r="C130" s="1"/>
      <c r="D130" s="1" t="s">
        <v>589</v>
      </c>
      <c r="E130" s="1" t="s">
        <v>149</v>
      </c>
      <c r="F130" s="1" t="s">
        <v>109</v>
      </c>
      <c r="G130" s="1">
        <v>53</v>
      </c>
      <c r="H130" s="1" t="s">
        <v>84</v>
      </c>
      <c r="I130" s="1" t="s">
        <v>127</v>
      </c>
      <c r="J130" s="1" t="s">
        <v>89</v>
      </c>
      <c r="K130" s="1" t="s">
        <v>590</v>
      </c>
      <c r="L130" s="1">
        <v>11</v>
      </c>
      <c r="M130" s="1">
        <v>0</v>
      </c>
      <c r="N130" s="1" t="s">
        <v>23</v>
      </c>
    </row>
    <row r="131" spans="1:14">
      <c r="A131" s="1" t="s">
        <v>591</v>
      </c>
      <c r="B131" s="1" t="s">
        <v>592</v>
      </c>
      <c r="C131" s="1" t="s">
        <v>593</v>
      </c>
      <c r="D131" s="1" t="s">
        <v>482</v>
      </c>
      <c r="E131" s="1" t="s">
        <v>29</v>
      </c>
      <c r="F131" s="1" t="s">
        <v>30</v>
      </c>
      <c r="G131" s="1">
        <v>51</v>
      </c>
      <c r="H131" s="1" t="s">
        <v>84</v>
      </c>
      <c r="I131" s="1" t="s">
        <v>110</v>
      </c>
      <c r="J131" s="1" t="s">
        <v>22</v>
      </c>
      <c r="K131" s="1" t="s">
        <v>358</v>
      </c>
      <c r="L131" s="1">
        <v>17</v>
      </c>
      <c r="M131" s="1" t="s">
        <v>33</v>
      </c>
      <c r="N131" s="1" t="s">
        <v>41</v>
      </c>
    </row>
    <row r="132" spans="1:14">
      <c r="A132" s="1" t="s">
        <v>594</v>
      </c>
      <c r="B132" s="1" t="s">
        <v>595</v>
      </c>
      <c r="C132" s="1" t="s">
        <v>596</v>
      </c>
      <c r="D132" s="1" t="s">
        <v>597</v>
      </c>
      <c r="E132" s="1" t="s">
        <v>149</v>
      </c>
      <c r="F132" s="1" t="s">
        <v>47</v>
      </c>
      <c r="G132" s="1">
        <v>67</v>
      </c>
      <c r="H132" s="1" t="s">
        <v>84</v>
      </c>
      <c r="I132" s="1" t="s">
        <v>65</v>
      </c>
      <c r="J132" s="1" t="s">
        <v>210</v>
      </c>
      <c r="K132" s="1" t="s">
        <v>598</v>
      </c>
      <c r="L132" s="1">
        <v>8</v>
      </c>
      <c r="M132" s="1" t="s">
        <v>33</v>
      </c>
      <c r="N132" s="1" t="s">
        <v>24</v>
      </c>
    </row>
    <row r="133" spans="1:14">
      <c r="A133" s="1" t="s">
        <v>599</v>
      </c>
      <c r="B133" s="1" t="s">
        <v>600</v>
      </c>
      <c r="C133" s="1" t="s">
        <v>601</v>
      </c>
      <c r="D133" s="1" t="s">
        <v>602</v>
      </c>
      <c r="E133" s="1" t="s">
        <v>169</v>
      </c>
      <c r="F133" s="1" t="s">
        <v>143</v>
      </c>
      <c r="G133" s="1">
        <v>59</v>
      </c>
      <c r="H133" s="1" t="s">
        <v>70</v>
      </c>
      <c r="I133" s="1" t="s">
        <v>59</v>
      </c>
      <c r="J133" s="1" t="s">
        <v>210</v>
      </c>
      <c r="K133" s="1">
        <v>11660</v>
      </c>
      <c r="L133" s="1">
        <v>9</v>
      </c>
      <c r="M133" s="1" t="s">
        <v>23</v>
      </c>
      <c r="N133" s="1" t="s">
        <v>33</v>
      </c>
    </row>
    <row r="134" spans="1:14">
      <c r="A134" s="1" t="s">
        <v>603</v>
      </c>
      <c r="B134" s="1" t="s">
        <v>604</v>
      </c>
      <c r="C134" s="1" t="s">
        <v>605</v>
      </c>
      <c r="D134" s="1" t="s">
        <v>606</v>
      </c>
      <c r="E134" s="1" t="s">
        <v>137</v>
      </c>
      <c r="F134" s="1" t="s">
        <v>30</v>
      </c>
      <c r="G134" s="1" t="s">
        <v>607</v>
      </c>
      <c r="H134" s="1" t="s">
        <v>84</v>
      </c>
      <c r="I134" s="1" t="s">
        <v>115</v>
      </c>
      <c r="J134" s="1" t="s">
        <v>32</v>
      </c>
      <c r="K134" s="1">
        <v>3345</v>
      </c>
      <c r="L134" s="1" t="s">
        <v>303</v>
      </c>
      <c r="M134" s="1" t="s">
        <v>51</v>
      </c>
      <c r="N134" s="1" t="s">
        <v>24</v>
      </c>
    </row>
    <row r="135" spans="1:14">
      <c r="A135" s="1" t="s">
        <v>608</v>
      </c>
      <c r="B135" s="1" t="s">
        <v>458</v>
      </c>
      <c r="C135" s="1" t="s">
        <v>197</v>
      </c>
      <c r="D135" s="1" t="s">
        <v>609</v>
      </c>
      <c r="E135" s="1" t="s">
        <v>137</v>
      </c>
      <c r="F135" s="1" t="s">
        <v>77</v>
      </c>
      <c r="G135" s="1">
        <v>94</v>
      </c>
      <c r="H135" s="1" t="s">
        <v>104</v>
      </c>
      <c r="I135" s="1" t="s">
        <v>21</v>
      </c>
      <c r="J135" s="1" t="s">
        <v>71</v>
      </c>
      <c r="K135" s="1" t="s">
        <v>610</v>
      </c>
      <c r="L135" s="1">
        <v>10</v>
      </c>
      <c r="M135" s="1">
        <v>0</v>
      </c>
      <c r="N135" s="1" t="s">
        <v>33</v>
      </c>
    </row>
    <row r="136" spans="1:14">
      <c r="A136" s="1" t="s">
        <v>611</v>
      </c>
      <c r="B136" s="1" t="s">
        <v>612</v>
      </c>
      <c r="C136" s="1" t="s">
        <v>613</v>
      </c>
      <c r="D136" s="1" t="s">
        <v>614</v>
      </c>
      <c r="E136" s="1" t="s">
        <v>415</v>
      </c>
      <c r="F136" s="1" t="s">
        <v>114</v>
      </c>
      <c r="G136" s="1" t="s">
        <v>615</v>
      </c>
      <c r="H136" s="1" t="s">
        <v>58</v>
      </c>
      <c r="I136" s="1" t="s">
        <v>153</v>
      </c>
      <c r="J136" s="1" t="s">
        <v>32</v>
      </c>
      <c r="K136" s="1">
        <v>9387</v>
      </c>
      <c r="L136" s="1">
        <v>9</v>
      </c>
      <c r="M136" s="1" t="s">
        <v>23</v>
      </c>
      <c r="N136" s="1" t="s">
        <v>186</v>
      </c>
    </row>
    <row r="137" spans="1:14">
      <c r="A137" s="1" t="s">
        <v>616</v>
      </c>
      <c r="B137" s="1" t="s">
        <v>490</v>
      </c>
      <c r="C137" s="1" t="s">
        <v>617</v>
      </c>
      <c r="D137" s="1" t="s">
        <v>618</v>
      </c>
      <c r="E137" s="1" t="s">
        <v>169</v>
      </c>
      <c r="F137" s="1" t="s">
        <v>164</v>
      </c>
      <c r="G137" s="1">
        <v>27</v>
      </c>
      <c r="H137" s="1" t="s">
        <v>20</v>
      </c>
      <c r="I137" s="1" t="s">
        <v>21</v>
      </c>
      <c r="J137" s="1" t="s">
        <v>89</v>
      </c>
      <c r="K137" s="1"/>
      <c r="L137" s="1">
        <v>5</v>
      </c>
      <c r="M137" s="1" t="s">
        <v>52</v>
      </c>
      <c r="N137" s="1" t="s">
        <v>23</v>
      </c>
    </row>
    <row r="138" spans="1:14">
      <c r="A138" s="1" t="s">
        <v>619</v>
      </c>
      <c r="B138" s="1" t="s">
        <v>620</v>
      </c>
      <c r="C138" s="1" t="s">
        <v>621</v>
      </c>
      <c r="D138" s="1" t="s">
        <v>622</v>
      </c>
      <c r="E138" s="1" t="s">
        <v>137</v>
      </c>
      <c r="F138" s="1" t="s">
        <v>30</v>
      </c>
      <c r="G138" s="1">
        <v>76</v>
      </c>
      <c r="H138" s="1" t="s">
        <v>58</v>
      </c>
      <c r="I138" s="1" t="s">
        <v>31</v>
      </c>
      <c r="J138" s="1" t="s">
        <v>50</v>
      </c>
      <c r="K138" s="1" t="s">
        <v>623</v>
      </c>
      <c r="L138" s="1">
        <v>8</v>
      </c>
      <c r="M138" s="1">
        <v>0</v>
      </c>
      <c r="N138" s="1" t="s">
        <v>52</v>
      </c>
    </row>
    <row r="139" spans="1:14">
      <c r="A139" s="1" t="s">
        <v>624</v>
      </c>
      <c r="B139" s="1" t="s">
        <v>625</v>
      </c>
      <c r="C139" s="1" t="s">
        <v>626</v>
      </c>
      <c r="D139" s="1" t="s">
        <v>233</v>
      </c>
      <c r="E139" s="1" t="s">
        <v>120</v>
      </c>
      <c r="F139" s="1" t="s">
        <v>39</v>
      </c>
      <c r="G139" s="1">
        <v>89</v>
      </c>
      <c r="H139" s="1" t="s">
        <v>20</v>
      </c>
      <c r="I139" s="1" t="s">
        <v>65</v>
      </c>
      <c r="J139" s="1" t="s">
        <v>40</v>
      </c>
      <c r="K139" s="1">
        <v>5761</v>
      </c>
      <c r="L139" s="1">
        <v>12</v>
      </c>
      <c r="M139" s="1" t="s">
        <v>52</v>
      </c>
      <c r="N139" s="1" t="s">
        <v>23</v>
      </c>
    </row>
    <row r="140" spans="1:14">
      <c r="A140" s="1" t="s">
        <v>627</v>
      </c>
      <c r="B140" s="1" t="s">
        <v>628</v>
      </c>
      <c r="C140" s="1" t="s">
        <v>629</v>
      </c>
      <c r="D140" s="1" t="s">
        <v>630</v>
      </c>
      <c r="E140" s="1" t="s">
        <v>169</v>
      </c>
      <c r="F140" s="1" t="s">
        <v>164</v>
      </c>
      <c r="G140" s="1" t="s">
        <v>631</v>
      </c>
      <c r="H140" s="1" t="s">
        <v>104</v>
      </c>
      <c r="I140" s="1" t="s">
        <v>115</v>
      </c>
      <c r="J140" s="1" t="s">
        <v>89</v>
      </c>
      <c r="K140" s="1">
        <v>2500</v>
      </c>
      <c r="L140" s="1">
        <v>2</v>
      </c>
      <c r="M140" s="1">
        <v>1</v>
      </c>
      <c r="N140" s="1" t="s">
        <v>23</v>
      </c>
    </row>
    <row r="141" spans="1:14">
      <c r="A141" s="1" t="s">
        <v>632</v>
      </c>
      <c r="B141" s="1" t="s">
        <v>376</v>
      </c>
      <c r="C141" s="1" t="s">
        <v>633</v>
      </c>
      <c r="D141" s="1" t="s">
        <v>634</v>
      </c>
      <c r="E141" s="1" t="s">
        <v>357</v>
      </c>
      <c r="F141" s="1" t="s">
        <v>183</v>
      </c>
      <c r="G141" s="1">
        <v>79</v>
      </c>
      <c r="H141" s="1" t="s">
        <v>58</v>
      </c>
      <c r="I141" s="1" t="s">
        <v>65</v>
      </c>
      <c r="J141" s="1" t="s">
        <v>40</v>
      </c>
      <c r="K141" s="1"/>
      <c r="L141" s="1">
        <v>7</v>
      </c>
      <c r="M141" s="1">
        <v>0</v>
      </c>
      <c r="N141" s="1" t="s">
        <v>186</v>
      </c>
    </row>
    <row r="142" spans="1:14">
      <c r="A142" s="1" t="s">
        <v>635</v>
      </c>
      <c r="B142" s="1" t="s">
        <v>636</v>
      </c>
      <c r="C142" s="1"/>
      <c r="D142" s="1" t="s">
        <v>350</v>
      </c>
      <c r="E142" s="1" t="s">
        <v>57</v>
      </c>
      <c r="F142" s="1" t="s">
        <v>132</v>
      </c>
      <c r="G142" s="1">
        <v>55</v>
      </c>
      <c r="H142" s="1" t="s">
        <v>48</v>
      </c>
      <c r="I142" s="1" t="s">
        <v>127</v>
      </c>
      <c r="J142" s="1" t="s">
        <v>32</v>
      </c>
      <c r="K142" s="1"/>
      <c r="L142" s="1">
        <v>11</v>
      </c>
      <c r="M142" s="1" t="s">
        <v>23</v>
      </c>
      <c r="N142" s="1" t="s">
        <v>186</v>
      </c>
    </row>
    <row r="143" spans="1:14">
      <c r="A143" s="1" t="s">
        <v>637</v>
      </c>
      <c r="B143" s="1" t="s">
        <v>319</v>
      </c>
      <c r="C143" s="1" t="s">
        <v>638</v>
      </c>
      <c r="D143" s="1"/>
      <c r="E143" s="1" t="s">
        <v>182</v>
      </c>
      <c r="F143" s="1" t="s">
        <v>126</v>
      </c>
      <c r="G143" s="1">
        <v>89</v>
      </c>
      <c r="H143" s="1" t="s">
        <v>84</v>
      </c>
      <c r="I143" s="1" t="s">
        <v>59</v>
      </c>
      <c r="J143" s="1" t="s">
        <v>40</v>
      </c>
      <c r="K143" s="1">
        <v>13757</v>
      </c>
      <c r="L143" s="1">
        <v>20</v>
      </c>
      <c r="M143" s="1">
        <v>0</v>
      </c>
      <c r="N143" s="1" t="s">
        <v>24</v>
      </c>
    </row>
    <row r="144" spans="1:14">
      <c r="A144" s="1" t="s">
        <v>639</v>
      </c>
      <c r="B144" s="1" t="s">
        <v>640</v>
      </c>
      <c r="C144" s="1" t="s">
        <v>320</v>
      </c>
      <c r="D144" s="1" t="s">
        <v>641</v>
      </c>
      <c r="E144" s="1" t="s">
        <v>169</v>
      </c>
      <c r="F144" s="1" t="s">
        <v>143</v>
      </c>
      <c r="G144" s="1">
        <v>20</v>
      </c>
      <c r="H144" s="1" t="s">
        <v>58</v>
      </c>
      <c r="I144" s="1" t="s">
        <v>65</v>
      </c>
      <c r="J144" s="1" t="s">
        <v>210</v>
      </c>
      <c r="K144" s="1" t="s">
        <v>358</v>
      </c>
      <c r="L144" s="1">
        <v>2</v>
      </c>
      <c r="M144" s="1" t="s">
        <v>41</v>
      </c>
      <c r="N144" s="1" t="s">
        <v>186</v>
      </c>
    </row>
    <row r="145" spans="1:14">
      <c r="A145" s="1" t="s">
        <v>642</v>
      </c>
      <c r="B145" s="1" t="s">
        <v>643</v>
      </c>
      <c r="C145" s="1" t="s">
        <v>644</v>
      </c>
      <c r="D145" s="1" t="s">
        <v>645</v>
      </c>
      <c r="E145" s="1" t="s">
        <v>169</v>
      </c>
      <c r="F145" s="1" t="s">
        <v>164</v>
      </c>
      <c r="G145" s="1">
        <v>92</v>
      </c>
      <c r="H145" s="1" t="s">
        <v>58</v>
      </c>
      <c r="I145" s="1" t="s">
        <v>110</v>
      </c>
      <c r="J145" s="1" t="s">
        <v>71</v>
      </c>
      <c r="K145" s="1">
        <v>10623</v>
      </c>
      <c r="L145" s="1" t="s">
        <v>646</v>
      </c>
      <c r="M145" s="1">
        <v>1</v>
      </c>
      <c r="N145" s="1" t="s">
        <v>41</v>
      </c>
    </row>
    <row r="146" spans="1:14">
      <c r="A146" s="1" t="s">
        <v>647</v>
      </c>
      <c r="B146" s="1" t="s">
        <v>648</v>
      </c>
      <c r="C146" s="1" t="s">
        <v>343</v>
      </c>
      <c r="D146" s="1" t="s">
        <v>649</v>
      </c>
      <c r="E146" s="1" t="s">
        <v>125</v>
      </c>
      <c r="F146" s="1" t="s">
        <v>126</v>
      </c>
      <c r="G146" s="1">
        <v>74</v>
      </c>
      <c r="H146" s="1" t="s">
        <v>20</v>
      </c>
      <c r="I146" s="1" t="s">
        <v>49</v>
      </c>
      <c r="J146" s="1" t="s">
        <v>22</v>
      </c>
      <c r="K146" s="1" t="s">
        <v>650</v>
      </c>
      <c r="L146" s="1">
        <v>5</v>
      </c>
      <c r="M146" s="1" t="s">
        <v>52</v>
      </c>
      <c r="N146" s="1" t="s">
        <v>23</v>
      </c>
    </row>
    <row r="147" spans="1:14">
      <c r="A147" s="1" t="s">
        <v>651</v>
      </c>
      <c r="B147" s="1" t="s">
        <v>652</v>
      </c>
      <c r="C147" s="1" t="s">
        <v>124</v>
      </c>
      <c r="D147" s="1" t="s">
        <v>653</v>
      </c>
      <c r="E147" s="1" t="s">
        <v>125</v>
      </c>
      <c r="F147" s="1" t="s">
        <v>69</v>
      </c>
      <c r="G147" s="1">
        <v>91</v>
      </c>
      <c r="H147" s="1" t="s">
        <v>20</v>
      </c>
      <c r="I147" s="1" t="s">
        <v>59</v>
      </c>
      <c r="J147" s="1" t="s">
        <v>22</v>
      </c>
      <c r="K147" s="1">
        <v>810</v>
      </c>
      <c r="L147" s="1">
        <v>4</v>
      </c>
      <c r="M147" s="1" t="s">
        <v>24</v>
      </c>
      <c r="N147" s="1" t="s">
        <v>41</v>
      </c>
    </row>
    <row r="148" spans="1:14">
      <c r="A148" s="1" t="s">
        <v>654</v>
      </c>
      <c r="B148" s="1" t="s">
        <v>554</v>
      </c>
      <c r="C148" s="1" t="s">
        <v>335</v>
      </c>
      <c r="D148" s="1"/>
      <c r="E148" s="1" t="s">
        <v>82</v>
      </c>
      <c r="F148" s="1" t="s">
        <v>132</v>
      </c>
      <c r="G148" s="1">
        <v>67</v>
      </c>
      <c r="H148" s="1" t="s">
        <v>144</v>
      </c>
      <c r="I148" s="1" t="s">
        <v>110</v>
      </c>
      <c r="J148" s="1" t="s">
        <v>89</v>
      </c>
      <c r="K148" s="1">
        <v>7844</v>
      </c>
      <c r="L148" s="1">
        <v>19</v>
      </c>
      <c r="M148" s="1" t="s">
        <v>24</v>
      </c>
      <c r="N148" s="1" t="s">
        <v>52</v>
      </c>
    </row>
    <row r="149" spans="1:14">
      <c r="A149" s="1" t="s">
        <v>655</v>
      </c>
      <c r="B149" s="1" t="s">
        <v>177</v>
      </c>
      <c r="C149" s="1" t="s">
        <v>401</v>
      </c>
      <c r="D149" s="1"/>
      <c r="E149" s="1" t="s">
        <v>182</v>
      </c>
      <c r="F149" s="1" t="s">
        <v>69</v>
      </c>
      <c r="G149" s="1" t="s">
        <v>194</v>
      </c>
      <c r="H149" s="1" t="s">
        <v>144</v>
      </c>
      <c r="I149" s="1" t="s">
        <v>127</v>
      </c>
      <c r="J149" s="1" t="s">
        <v>40</v>
      </c>
      <c r="K149" s="1">
        <v>2370</v>
      </c>
      <c r="L149" s="1">
        <v>2</v>
      </c>
      <c r="M149" s="1">
        <v>1</v>
      </c>
      <c r="N149" s="1" t="s">
        <v>33</v>
      </c>
    </row>
    <row r="150" spans="1:14">
      <c r="A150" s="1" t="s">
        <v>656</v>
      </c>
      <c r="B150" s="1" t="s">
        <v>223</v>
      </c>
      <c r="C150" s="1" t="s">
        <v>657</v>
      </c>
      <c r="D150" s="1" t="s">
        <v>382</v>
      </c>
      <c r="E150" s="1" t="s">
        <v>82</v>
      </c>
      <c r="F150" s="1" t="s">
        <v>83</v>
      </c>
      <c r="G150" s="1">
        <v>66</v>
      </c>
      <c r="H150" s="1" t="s">
        <v>70</v>
      </c>
      <c r="I150" s="1" t="s">
        <v>110</v>
      </c>
      <c r="J150" s="1" t="s">
        <v>89</v>
      </c>
      <c r="K150" s="1">
        <v>-250</v>
      </c>
      <c r="L150" s="1">
        <v>16</v>
      </c>
      <c r="M150" s="1">
        <v>0</v>
      </c>
      <c r="N150" s="1" t="s">
        <v>186</v>
      </c>
    </row>
    <row r="151" spans="1:14">
      <c r="A151" s="1" t="s">
        <v>658</v>
      </c>
      <c r="B151" s="1" t="s">
        <v>659</v>
      </c>
      <c r="C151" s="1" t="s">
        <v>660</v>
      </c>
      <c r="D151" s="1" t="s">
        <v>661</v>
      </c>
      <c r="E151" s="1" t="s">
        <v>46</v>
      </c>
      <c r="F151" s="1" t="s">
        <v>47</v>
      </c>
      <c r="G151" s="1">
        <v>84</v>
      </c>
      <c r="H151" s="1" t="s">
        <v>70</v>
      </c>
      <c r="I151" s="1" t="s">
        <v>31</v>
      </c>
      <c r="J151" s="1" t="s">
        <v>50</v>
      </c>
      <c r="K151" s="1" t="s">
        <v>662</v>
      </c>
      <c r="L151" s="1">
        <v>2</v>
      </c>
      <c r="M151" s="1" t="s">
        <v>52</v>
      </c>
      <c r="N151" s="1" t="s">
        <v>52</v>
      </c>
    </row>
    <row r="152" spans="1:14">
      <c r="A152" s="1" t="s">
        <v>663</v>
      </c>
      <c r="B152" s="1" t="s">
        <v>378</v>
      </c>
      <c r="C152" s="1" t="s">
        <v>601</v>
      </c>
      <c r="D152" s="1" t="s">
        <v>664</v>
      </c>
      <c r="E152" s="1" t="s">
        <v>64</v>
      </c>
      <c r="F152" s="1" t="s">
        <v>30</v>
      </c>
      <c r="G152" s="1">
        <v>53</v>
      </c>
      <c r="H152" s="1" t="s">
        <v>104</v>
      </c>
      <c r="I152" s="1" t="s">
        <v>127</v>
      </c>
      <c r="J152" s="1" t="s">
        <v>230</v>
      </c>
      <c r="K152" s="1">
        <v>5257</v>
      </c>
      <c r="L152" s="1" t="s">
        <v>303</v>
      </c>
      <c r="M152" s="1" t="s">
        <v>41</v>
      </c>
      <c r="N152" s="1" t="s">
        <v>41</v>
      </c>
    </row>
    <row r="153" spans="1:14">
      <c r="A153" s="1" t="s">
        <v>665</v>
      </c>
      <c r="B153" s="1" t="s">
        <v>666</v>
      </c>
      <c r="C153" s="1" t="s">
        <v>667</v>
      </c>
      <c r="D153" s="1" t="s">
        <v>163</v>
      </c>
      <c r="E153" s="1" t="s">
        <v>46</v>
      </c>
      <c r="F153" s="1" t="s">
        <v>109</v>
      </c>
      <c r="G153" s="1">
        <v>84</v>
      </c>
      <c r="H153" s="1" t="s">
        <v>58</v>
      </c>
      <c r="I153" s="1" t="s">
        <v>59</v>
      </c>
      <c r="J153" s="1" t="s">
        <v>40</v>
      </c>
      <c r="K153" s="1">
        <v>9106</v>
      </c>
      <c r="L153" s="1">
        <v>4</v>
      </c>
      <c r="M153" s="1" t="s">
        <v>33</v>
      </c>
      <c r="N153" s="1" t="s">
        <v>52</v>
      </c>
    </row>
    <row r="154" spans="1:14">
      <c r="A154" s="1" t="s">
        <v>668</v>
      </c>
      <c r="B154" s="1" t="s">
        <v>669</v>
      </c>
      <c r="C154" s="1" t="s">
        <v>670</v>
      </c>
      <c r="D154" s="1" t="s">
        <v>671</v>
      </c>
      <c r="E154" s="1" t="s">
        <v>137</v>
      </c>
      <c r="F154" s="1" t="s">
        <v>30</v>
      </c>
      <c r="G154" s="1" t="s">
        <v>672</v>
      </c>
      <c r="H154" s="1" t="s">
        <v>104</v>
      </c>
      <c r="I154" s="1" t="s">
        <v>153</v>
      </c>
      <c r="J154" s="1" t="s">
        <v>210</v>
      </c>
      <c r="K154" s="1">
        <v>6667</v>
      </c>
      <c r="L154" s="1">
        <v>7</v>
      </c>
      <c r="M154" s="1">
        <v>0</v>
      </c>
      <c r="N154" s="1" t="s">
        <v>41</v>
      </c>
    </row>
    <row r="155" spans="1:14">
      <c r="A155" s="1" t="s">
        <v>673</v>
      </c>
      <c r="B155" s="1" t="s">
        <v>580</v>
      </c>
      <c r="C155" s="1" t="s">
        <v>674</v>
      </c>
      <c r="D155" s="1" t="s">
        <v>675</v>
      </c>
      <c r="E155" s="1" t="s">
        <v>108</v>
      </c>
      <c r="F155" s="1" t="s">
        <v>47</v>
      </c>
      <c r="G155" s="1">
        <v>20</v>
      </c>
      <c r="H155" s="1" t="s">
        <v>144</v>
      </c>
      <c r="I155" s="1" t="s">
        <v>110</v>
      </c>
      <c r="J155" s="1" t="s">
        <v>40</v>
      </c>
      <c r="K155" s="1">
        <v>14370</v>
      </c>
      <c r="L155" s="1">
        <v>11</v>
      </c>
      <c r="M155" s="1" t="s">
        <v>52</v>
      </c>
      <c r="N155" s="1" t="s">
        <v>23</v>
      </c>
    </row>
    <row r="156" spans="1:14">
      <c r="A156" s="1" t="s">
        <v>466</v>
      </c>
      <c r="B156" s="1" t="s">
        <v>368</v>
      </c>
      <c r="C156" s="1" t="s">
        <v>197</v>
      </c>
      <c r="D156" s="1" t="s">
        <v>467</v>
      </c>
      <c r="E156" s="1" t="s">
        <v>57</v>
      </c>
      <c r="F156" s="1" t="s">
        <v>132</v>
      </c>
      <c r="G156" s="1">
        <v>72</v>
      </c>
      <c r="H156" s="1" t="s">
        <v>70</v>
      </c>
      <c r="I156" s="1" t="s">
        <v>21</v>
      </c>
      <c r="J156" s="1" t="s">
        <v>210</v>
      </c>
      <c r="K156" s="1">
        <v>4716</v>
      </c>
      <c r="L156" s="1">
        <v>19</v>
      </c>
      <c r="M156" s="1" t="s">
        <v>52</v>
      </c>
      <c r="N156" s="1" t="s">
        <v>52</v>
      </c>
    </row>
    <row r="157" spans="1:14">
      <c r="A157" s="1" t="s">
        <v>676</v>
      </c>
      <c r="B157" s="1" t="s">
        <v>677</v>
      </c>
      <c r="C157" s="1" t="s">
        <v>535</v>
      </c>
      <c r="D157" s="1" t="s">
        <v>678</v>
      </c>
      <c r="E157" s="1" t="s">
        <v>29</v>
      </c>
      <c r="F157" s="1" t="s">
        <v>30</v>
      </c>
      <c r="G157" s="1">
        <v>33</v>
      </c>
      <c r="H157" s="1" t="s">
        <v>48</v>
      </c>
      <c r="I157" s="1" t="s">
        <v>59</v>
      </c>
      <c r="J157" s="1" t="s">
        <v>22</v>
      </c>
      <c r="K157" s="1">
        <v>5307</v>
      </c>
      <c r="L157" s="1">
        <v>2</v>
      </c>
      <c r="M157" s="1">
        <v>1</v>
      </c>
      <c r="N157" s="1" t="s">
        <v>33</v>
      </c>
    </row>
    <row r="158" spans="1:14">
      <c r="A158" s="1" t="s">
        <v>679</v>
      </c>
      <c r="B158" s="1" t="s">
        <v>134</v>
      </c>
      <c r="C158" s="1" t="s">
        <v>680</v>
      </c>
      <c r="D158" s="1" t="s">
        <v>681</v>
      </c>
      <c r="E158" s="1" t="s">
        <v>82</v>
      </c>
      <c r="F158" s="1" t="s">
        <v>132</v>
      </c>
      <c r="G158" s="1">
        <v>94</v>
      </c>
      <c r="H158" s="1" t="s">
        <v>104</v>
      </c>
      <c r="I158" s="1" t="s">
        <v>49</v>
      </c>
      <c r="J158" s="1" t="s">
        <v>50</v>
      </c>
      <c r="K158" s="1">
        <v>13145</v>
      </c>
      <c r="L158" s="1">
        <v>10</v>
      </c>
      <c r="M158" s="1" t="s">
        <v>41</v>
      </c>
      <c r="N158" s="1" t="s">
        <v>23</v>
      </c>
    </row>
    <row r="159" spans="1:14">
      <c r="A159" s="1" t="s">
        <v>682</v>
      </c>
      <c r="B159" s="1" t="s">
        <v>683</v>
      </c>
      <c r="C159" s="1" t="s">
        <v>130</v>
      </c>
      <c r="D159" s="1" t="s">
        <v>684</v>
      </c>
      <c r="E159" s="1" t="s">
        <v>125</v>
      </c>
      <c r="F159" s="1" t="s">
        <v>126</v>
      </c>
      <c r="G159" s="1"/>
      <c r="H159" s="1" t="s">
        <v>104</v>
      </c>
      <c r="I159" s="1" t="s">
        <v>115</v>
      </c>
      <c r="J159" s="1" t="s">
        <v>89</v>
      </c>
      <c r="K159" s="1">
        <v>4937</v>
      </c>
      <c r="L159" s="1">
        <v>19</v>
      </c>
      <c r="M159" s="1" t="s">
        <v>52</v>
      </c>
      <c r="N159" s="1" t="s">
        <v>23</v>
      </c>
    </row>
    <row r="160" spans="1:14">
      <c r="A160" s="1" t="s">
        <v>685</v>
      </c>
      <c r="B160" s="1" t="s">
        <v>516</v>
      </c>
      <c r="C160" s="1" t="s">
        <v>686</v>
      </c>
      <c r="D160" s="1" t="s">
        <v>687</v>
      </c>
      <c r="E160" s="1" t="s">
        <v>149</v>
      </c>
      <c r="F160" s="1" t="s">
        <v>109</v>
      </c>
      <c r="G160" s="1" t="s">
        <v>688</v>
      </c>
      <c r="H160" s="1" t="s">
        <v>48</v>
      </c>
      <c r="I160" s="1" t="s">
        <v>115</v>
      </c>
      <c r="J160" s="1" t="s">
        <v>40</v>
      </c>
      <c r="K160" s="1">
        <v>10831</v>
      </c>
      <c r="L160" s="1">
        <v>19</v>
      </c>
      <c r="M160" s="1" t="s">
        <v>33</v>
      </c>
      <c r="N160" s="1" t="s">
        <v>33</v>
      </c>
    </row>
    <row r="161" spans="1:14">
      <c r="A161" s="1" t="s">
        <v>689</v>
      </c>
      <c r="B161" s="1" t="s">
        <v>690</v>
      </c>
      <c r="C161" s="1" t="s">
        <v>691</v>
      </c>
      <c r="D161" s="1" t="s">
        <v>692</v>
      </c>
      <c r="E161" s="1"/>
      <c r="F161" s="1" t="s">
        <v>126</v>
      </c>
      <c r="G161" s="1" t="s">
        <v>693</v>
      </c>
      <c r="H161" s="1" t="s">
        <v>144</v>
      </c>
      <c r="I161" s="1" t="s">
        <v>65</v>
      </c>
      <c r="J161" s="1" t="s">
        <v>210</v>
      </c>
      <c r="K161" s="1">
        <v>11159</v>
      </c>
      <c r="L161" s="1">
        <v>18</v>
      </c>
      <c r="M161" s="1" t="s">
        <v>23</v>
      </c>
      <c r="N161" s="1" t="s">
        <v>186</v>
      </c>
    </row>
    <row r="162" spans="1:14">
      <c r="A162" s="1" t="s">
        <v>694</v>
      </c>
      <c r="B162" s="1" t="s">
        <v>92</v>
      </c>
      <c r="C162" s="1" t="s">
        <v>695</v>
      </c>
      <c r="D162" s="1" t="s">
        <v>621</v>
      </c>
      <c r="E162" s="1" t="s">
        <v>46</v>
      </c>
      <c r="F162" s="1" t="s">
        <v>47</v>
      </c>
      <c r="G162" s="1">
        <v>49</v>
      </c>
      <c r="H162" s="1" t="s">
        <v>20</v>
      </c>
      <c r="I162" s="1" t="s">
        <v>127</v>
      </c>
      <c r="J162" s="1" t="s">
        <v>22</v>
      </c>
      <c r="K162" s="1" t="s">
        <v>696</v>
      </c>
      <c r="L162" s="1">
        <v>3</v>
      </c>
      <c r="M162" s="1" t="s">
        <v>52</v>
      </c>
      <c r="N162" s="1" t="s">
        <v>24</v>
      </c>
    </row>
    <row r="163" spans="1:14">
      <c r="A163" s="1" t="s">
        <v>697</v>
      </c>
      <c r="B163" s="1" t="s">
        <v>698</v>
      </c>
      <c r="C163" s="1" t="s">
        <v>699</v>
      </c>
      <c r="D163" s="1" t="s">
        <v>700</v>
      </c>
      <c r="E163" s="1" t="s">
        <v>29</v>
      </c>
      <c r="F163" s="1" t="s">
        <v>77</v>
      </c>
      <c r="G163" s="1">
        <v>55</v>
      </c>
      <c r="H163" s="1" t="s">
        <v>70</v>
      </c>
      <c r="I163" s="1" t="s">
        <v>153</v>
      </c>
      <c r="J163" s="1" t="s">
        <v>210</v>
      </c>
      <c r="K163" s="1">
        <v>-250</v>
      </c>
      <c r="L163" s="1">
        <v>20</v>
      </c>
      <c r="M163" s="1" t="s">
        <v>24</v>
      </c>
      <c r="N163" s="1" t="s">
        <v>23</v>
      </c>
    </row>
    <row r="164" spans="1:14">
      <c r="A164" s="1" t="s">
        <v>701</v>
      </c>
      <c r="B164" s="1" t="s">
        <v>669</v>
      </c>
      <c r="C164" s="1" t="s">
        <v>702</v>
      </c>
      <c r="D164" s="1"/>
      <c r="E164" s="1" t="s">
        <v>249</v>
      </c>
      <c r="F164" s="1" t="s">
        <v>209</v>
      </c>
      <c r="G164" s="1">
        <v>12</v>
      </c>
      <c r="H164" s="1" t="s">
        <v>84</v>
      </c>
      <c r="I164" s="1" t="s">
        <v>21</v>
      </c>
      <c r="J164" s="1" t="s">
        <v>22</v>
      </c>
      <c r="K164" s="1">
        <v>12888</v>
      </c>
      <c r="L164" s="1">
        <v>5</v>
      </c>
      <c r="M164" s="1" t="s">
        <v>52</v>
      </c>
      <c r="N164" s="1" t="s">
        <v>23</v>
      </c>
    </row>
    <row r="165" spans="1:14">
      <c r="A165" s="1" t="s">
        <v>703</v>
      </c>
      <c r="B165" s="1" t="s">
        <v>704</v>
      </c>
      <c r="C165" s="1" t="s">
        <v>255</v>
      </c>
      <c r="D165" s="1" t="s">
        <v>705</v>
      </c>
      <c r="E165" s="1" t="s">
        <v>169</v>
      </c>
      <c r="F165" s="1" t="s">
        <v>164</v>
      </c>
      <c r="G165" s="1">
        <v>74</v>
      </c>
      <c r="H165" s="1" t="s">
        <v>70</v>
      </c>
      <c r="I165" s="1" t="s">
        <v>127</v>
      </c>
      <c r="J165" s="1" t="s">
        <v>22</v>
      </c>
      <c r="K165" s="1">
        <v>3920</v>
      </c>
      <c r="L165" s="1">
        <v>6</v>
      </c>
      <c r="M165" s="1" t="s">
        <v>52</v>
      </c>
      <c r="N165" s="1" t="s">
        <v>186</v>
      </c>
    </row>
    <row r="166" spans="1:14">
      <c r="A166" s="1" t="s">
        <v>706</v>
      </c>
      <c r="B166" s="1" t="s">
        <v>707</v>
      </c>
      <c r="C166" s="1" t="s">
        <v>193</v>
      </c>
      <c r="D166" s="1" t="s">
        <v>527</v>
      </c>
      <c r="E166" s="1" t="s">
        <v>357</v>
      </c>
      <c r="F166" s="1" t="s">
        <v>69</v>
      </c>
      <c r="G166" s="1">
        <v>31</v>
      </c>
      <c r="H166" s="1" t="s">
        <v>70</v>
      </c>
      <c r="I166" s="1" t="s">
        <v>31</v>
      </c>
      <c r="J166" s="1" t="s">
        <v>22</v>
      </c>
      <c r="K166" s="1" t="s">
        <v>270</v>
      </c>
      <c r="L166" s="1">
        <v>10</v>
      </c>
      <c r="M166" s="1">
        <v>0</v>
      </c>
      <c r="N166" s="1" t="s">
        <v>24</v>
      </c>
    </row>
    <row r="167" spans="1:14">
      <c r="A167" s="1" t="s">
        <v>708</v>
      </c>
      <c r="B167" s="1" t="s">
        <v>709</v>
      </c>
      <c r="C167" s="1" t="s">
        <v>710</v>
      </c>
      <c r="D167" s="1" t="s">
        <v>711</v>
      </c>
      <c r="E167" s="1" t="s">
        <v>108</v>
      </c>
      <c r="F167" s="1" t="s">
        <v>47</v>
      </c>
      <c r="G167" s="1">
        <v>84</v>
      </c>
      <c r="H167" s="1" t="s">
        <v>104</v>
      </c>
      <c r="I167" s="1" t="s">
        <v>153</v>
      </c>
      <c r="J167" s="1" t="s">
        <v>230</v>
      </c>
      <c r="K167" s="1">
        <v>1585</v>
      </c>
      <c r="L167" s="1">
        <v>15</v>
      </c>
      <c r="M167" s="1">
        <v>1</v>
      </c>
      <c r="N167" s="1" t="s">
        <v>186</v>
      </c>
    </row>
    <row r="168" spans="1:14">
      <c r="A168" s="1" t="s">
        <v>712</v>
      </c>
      <c r="B168" s="1" t="s">
        <v>713</v>
      </c>
      <c r="C168" s="1" t="s">
        <v>714</v>
      </c>
      <c r="D168" s="1" t="s">
        <v>715</v>
      </c>
      <c r="E168" s="1" t="s">
        <v>29</v>
      </c>
      <c r="F168" s="1" t="s">
        <v>102</v>
      </c>
      <c r="G168" s="1">
        <v>150</v>
      </c>
      <c r="H168" s="1" t="s">
        <v>48</v>
      </c>
      <c r="I168" s="1" t="s">
        <v>65</v>
      </c>
      <c r="J168" s="1" t="s">
        <v>22</v>
      </c>
      <c r="K168" s="1">
        <v>7289</v>
      </c>
      <c r="L168" s="1">
        <v>9</v>
      </c>
      <c r="M168" s="1">
        <v>1</v>
      </c>
      <c r="N168" s="1" t="s">
        <v>41</v>
      </c>
    </row>
    <row r="169" spans="1:14">
      <c r="A169" s="1" t="s">
        <v>716</v>
      </c>
      <c r="B169" s="1" t="s">
        <v>446</v>
      </c>
      <c r="C169" s="1" t="s">
        <v>717</v>
      </c>
      <c r="D169" s="1" t="s">
        <v>227</v>
      </c>
      <c r="E169" s="1" t="s">
        <v>249</v>
      </c>
      <c r="F169" s="1" t="s">
        <v>209</v>
      </c>
      <c r="G169" s="1">
        <v>15</v>
      </c>
      <c r="H169" s="1" t="s">
        <v>104</v>
      </c>
      <c r="I169" s="1" t="s">
        <v>65</v>
      </c>
      <c r="J169" s="1" t="s">
        <v>40</v>
      </c>
      <c r="K169" s="1" t="s">
        <v>718</v>
      </c>
      <c r="L169" s="1">
        <v>3</v>
      </c>
      <c r="M169" s="1">
        <v>0</v>
      </c>
      <c r="N169" s="1" t="s">
        <v>41</v>
      </c>
    </row>
    <row r="170" spans="1:14">
      <c r="A170" s="1" t="s">
        <v>719</v>
      </c>
      <c r="B170" s="1" t="s">
        <v>364</v>
      </c>
      <c r="C170" s="1" t="s">
        <v>419</v>
      </c>
      <c r="D170" s="1" t="s">
        <v>720</v>
      </c>
      <c r="E170" s="1" t="s">
        <v>357</v>
      </c>
      <c r="F170" s="1" t="s">
        <v>183</v>
      </c>
      <c r="G170" s="1">
        <v>66</v>
      </c>
      <c r="H170" s="1" t="s">
        <v>84</v>
      </c>
      <c r="I170" s="1" t="s">
        <v>49</v>
      </c>
      <c r="J170" s="1" t="s">
        <v>22</v>
      </c>
      <c r="K170" s="1">
        <v>3803</v>
      </c>
      <c r="L170" s="1">
        <v>2</v>
      </c>
      <c r="M170" s="1" t="s">
        <v>23</v>
      </c>
      <c r="N170" s="1" t="s">
        <v>52</v>
      </c>
    </row>
    <row r="171" spans="1:14">
      <c r="A171" s="1" t="s">
        <v>721</v>
      </c>
      <c r="B171" s="1" t="s">
        <v>722</v>
      </c>
      <c r="C171" s="1" t="s">
        <v>723</v>
      </c>
      <c r="D171" s="1" t="s">
        <v>724</v>
      </c>
      <c r="E171" s="1" t="s">
        <v>64</v>
      </c>
      <c r="F171" s="1" t="s">
        <v>30</v>
      </c>
      <c r="G171" s="1">
        <v>35</v>
      </c>
      <c r="H171" s="1" t="s">
        <v>84</v>
      </c>
      <c r="I171" s="1" t="s">
        <v>31</v>
      </c>
      <c r="J171" s="1" t="s">
        <v>22</v>
      </c>
      <c r="K171" s="1" t="s">
        <v>725</v>
      </c>
      <c r="L171" s="1">
        <v>15</v>
      </c>
      <c r="M171" s="1">
        <v>1</v>
      </c>
      <c r="N171" s="1" t="s">
        <v>186</v>
      </c>
    </row>
    <row r="172" spans="1:14">
      <c r="A172" s="1" t="s">
        <v>726</v>
      </c>
      <c r="B172" s="1" t="s">
        <v>727</v>
      </c>
      <c r="C172" s="1" t="s">
        <v>728</v>
      </c>
      <c r="D172" s="1" t="s">
        <v>729</v>
      </c>
      <c r="E172" s="1" t="s">
        <v>108</v>
      </c>
      <c r="F172" s="1" t="s">
        <v>109</v>
      </c>
      <c r="G172" s="1">
        <v>55</v>
      </c>
      <c r="H172" s="1" t="s">
        <v>84</v>
      </c>
      <c r="I172" s="1" t="s">
        <v>115</v>
      </c>
      <c r="J172" s="1" t="s">
        <v>230</v>
      </c>
      <c r="K172" s="1">
        <v>14302</v>
      </c>
      <c r="L172" s="1">
        <v>4</v>
      </c>
      <c r="M172" s="1" t="s">
        <v>33</v>
      </c>
      <c r="N172" s="1" t="s">
        <v>23</v>
      </c>
    </row>
    <row r="173" spans="1:14">
      <c r="A173" s="1" t="s">
        <v>730</v>
      </c>
      <c r="B173" s="1" t="s">
        <v>431</v>
      </c>
      <c r="C173" s="1" t="s">
        <v>167</v>
      </c>
      <c r="D173" s="1" t="s">
        <v>731</v>
      </c>
      <c r="E173" s="1" t="s">
        <v>137</v>
      </c>
      <c r="F173" s="1" t="s">
        <v>77</v>
      </c>
      <c r="G173" s="1">
        <v>88</v>
      </c>
      <c r="H173" s="1" t="s">
        <v>70</v>
      </c>
      <c r="I173" s="1" t="s">
        <v>153</v>
      </c>
      <c r="J173" s="1" t="s">
        <v>89</v>
      </c>
      <c r="K173" s="1" t="s">
        <v>732</v>
      </c>
      <c r="L173" s="1">
        <v>10</v>
      </c>
      <c r="M173" s="1" t="s">
        <v>33</v>
      </c>
      <c r="N173" s="1" t="s">
        <v>33</v>
      </c>
    </row>
    <row r="174" spans="1:14">
      <c r="A174" s="1" t="s">
        <v>733</v>
      </c>
      <c r="B174" s="1" t="s">
        <v>734</v>
      </c>
      <c r="C174" s="1" t="s">
        <v>735</v>
      </c>
      <c r="D174" s="1" t="s">
        <v>638</v>
      </c>
      <c r="E174" s="1" t="s">
        <v>125</v>
      </c>
      <c r="F174" s="1" t="s">
        <v>69</v>
      </c>
      <c r="G174" s="1" t="s">
        <v>736</v>
      </c>
      <c r="H174" s="1" t="s">
        <v>20</v>
      </c>
      <c r="I174" s="1" t="s">
        <v>31</v>
      </c>
      <c r="J174" s="1" t="s">
        <v>71</v>
      </c>
      <c r="K174" s="1" t="s">
        <v>737</v>
      </c>
      <c r="L174" s="1">
        <v>20</v>
      </c>
      <c r="M174" s="1" t="s">
        <v>24</v>
      </c>
      <c r="N174" s="1" t="s">
        <v>186</v>
      </c>
    </row>
    <row r="175" spans="1:14">
      <c r="A175" s="1" t="s">
        <v>738</v>
      </c>
      <c r="B175" s="1" t="s">
        <v>238</v>
      </c>
      <c r="C175" s="1" t="s">
        <v>739</v>
      </c>
      <c r="D175" s="1" t="s">
        <v>740</v>
      </c>
      <c r="E175" s="1" t="s">
        <v>64</v>
      </c>
      <c r="F175" s="1" t="s">
        <v>30</v>
      </c>
      <c r="G175" s="1">
        <v>82</v>
      </c>
      <c r="H175" s="1" t="s">
        <v>104</v>
      </c>
      <c r="I175" s="1" t="s">
        <v>21</v>
      </c>
      <c r="J175" s="1" t="s">
        <v>22</v>
      </c>
      <c r="K175" s="1">
        <v>3201</v>
      </c>
      <c r="L175" s="1" t="s">
        <v>303</v>
      </c>
      <c r="M175" s="1" t="s">
        <v>23</v>
      </c>
      <c r="N175" s="1" t="s">
        <v>52</v>
      </c>
    </row>
    <row r="176" spans="1:14">
      <c r="A176" s="1" t="s">
        <v>741</v>
      </c>
      <c r="B176" s="1" t="s">
        <v>742</v>
      </c>
      <c r="C176" s="1" t="s">
        <v>743</v>
      </c>
      <c r="D176" s="1" t="s">
        <v>744</v>
      </c>
      <c r="E176" s="1" t="s">
        <v>142</v>
      </c>
      <c r="F176" s="1" t="s">
        <v>143</v>
      </c>
      <c r="G176" s="1">
        <v>79</v>
      </c>
      <c r="H176" s="1" t="s">
        <v>84</v>
      </c>
      <c r="I176" s="1"/>
      <c r="J176" s="1" t="s">
        <v>22</v>
      </c>
      <c r="K176" s="1" t="s">
        <v>745</v>
      </c>
      <c r="L176" s="1">
        <v>13</v>
      </c>
      <c r="M176" s="1" t="s">
        <v>24</v>
      </c>
      <c r="N176" s="1" t="s">
        <v>41</v>
      </c>
    </row>
    <row r="177" spans="1:14">
      <c r="A177" s="1" t="s">
        <v>746</v>
      </c>
      <c r="B177" s="1" t="s">
        <v>747</v>
      </c>
      <c r="C177" s="1" t="s">
        <v>349</v>
      </c>
      <c r="D177" s="1" t="s">
        <v>748</v>
      </c>
      <c r="E177" s="1" t="s">
        <v>415</v>
      </c>
      <c r="F177" s="1" t="s">
        <v>96</v>
      </c>
      <c r="G177" s="1">
        <v>8</v>
      </c>
      <c r="H177" s="1" t="s">
        <v>104</v>
      </c>
      <c r="I177" s="1" t="s">
        <v>115</v>
      </c>
      <c r="J177" s="1" t="s">
        <v>32</v>
      </c>
      <c r="K177" s="1">
        <v>7143</v>
      </c>
      <c r="L177" s="1">
        <v>14</v>
      </c>
      <c r="M177" s="1" t="s">
        <v>41</v>
      </c>
      <c r="N177" s="1" t="s">
        <v>33</v>
      </c>
    </row>
    <row r="178" spans="1:14">
      <c r="A178" s="1" t="s">
        <v>749</v>
      </c>
      <c r="B178" s="1" t="s">
        <v>750</v>
      </c>
      <c r="C178" s="1" t="s">
        <v>751</v>
      </c>
      <c r="D178" s="1" t="s">
        <v>752</v>
      </c>
      <c r="E178" s="1" t="s">
        <v>175</v>
      </c>
      <c r="F178" s="1" t="s">
        <v>96</v>
      </c>
      <c r="G178" s="1">
        <v>17</v>
      </c>
      <c r="H178" s="1" t="s">
        <v>104</v>
      </c>
      <c r="I178" s="1" t="s">
        <v>21</v>
      </c>
      <c r="J178" s="1" t="s">
        <v>22</v>
      </c>
      <c r="K178" s="1">
        <v>13420</v>
      </c>
      <c r="L178" s="1">
        <v>19</v>
      </c>
      <c r="M178" s="1">
        <v>0</v>
      </c>
      <c r="N178" s="1" t="s">
        <v>41</v>
      </c>
    </row>
    <row r="179" spans="1:14">
      <c r="A179" s="1" t="s">
        <v>753</v>
      </c>
      <c r="B179" s="1" t="s">
        <v>354</v>
      </c>
      <c r="C179" s="1" t="s">
        <v>754</v>
      </c>
      <c r="D179" s="1" t="s">
        <v>755</v>
      </c>
      <c r="E179" s="1" t="s">
        <v>68</v>
      </c>
      <c r="F179" s="1" t="s">
        <v>183</v>
      </c>
      <c r="G179" s="1" t="s">
        <v>756</v>
      </c>
      <c r="H179" s="1" t="s">
        <v>84</v>
      </c>
      <c r="I179" s="1" t="s">
        <v>110</v>
      </c>
      <c r="J179" s="1" t="s">
        <v>22</v>
      </c>
      <c r="K179" s="1" t="s">
        <v>757</v>
      </c>
      <c r="L179" s="1">
        <v>11</v>
      </c>
      <c r="M179" s="1" t="s">
        <v>24</v>
      </c>
      <c r="N179" s="1" t="s">
        <v>23</v>
      </c>
    </row>
    <row r="180" spans="1:14">
      <c r="A180" s="1" t="s">
        <v>758</v>
      </c>
      <c r="B180" s="1" t="s">
        <v>759</v>
      </c>
      <c r="C180" s="1" t="s">
        <v>760</v>
      </c>
      <c r="D180" s="1" t="s">
        <v>514</v>
      </c>
      <c r="E180" s="1" t="s">
        <v>249</v>
      </c>
      <c r="F180" s="1" t="s">
        <v>209</v>
      </c>
      <c r="G180" s="1">
        <v>7</v>
      </c>
      <c r="H180" s="1" t="s">
        <v>144</v>
      </c>
      <c r="I180" s="1" t="s">
        <v>21</v>
      </c>
      <c r="J180" s="1" t="s">
        <v>40</v>
      </c>
      <c r="K180" s="1" t="s">
        <v>270</v>
      </c>
      <c r="L180" s="1" t="s">
        <v>303</v>
      </c>
      <c r="M180" s="1" t="s">
        <v>33</v>
      </c>
      <c r="N180" s="1" t="s">
        <v>52</v>
      </c>
    </row>
    <row r="181" spans="1:14">
      <c r="A181" s="1" t="s">
        <v>761</v>
      </c>
      <c r="B181" s="1" t="s">
        <v>762</v>
      </c>
      <c r="C181" s="1" t="s">
        <v>752</v>
      </c>
      <c r="D181" s="1" t="s">
        <v>763</v>
      </c>
      <c r="E181" s="1" t="s">
        <v>38</v>
      </c>
      <c r="F181" s="1" t="s">
        <v>143</v>
      </c>
      <c r="G181" s="1">
        <v>91</v>
      </c>
      <c r="H181" s="1" t="s">
        <v>20</v>
      </c>
      <c r="I181" s="1" t="s">
        <v>21</v>
      </c>
      <c r="J181" s="1" t="s">
        <v>71</v>
      </c>
      <c r="K181" s="1">
        <v>5834</v>
      </c>
      <c r="L181" s="1">
        <v>12</v>
      </c>
      <c r="M181" s="1">
        <v>0</v>
      </c>
      <c r="N181" s="1" t="s">
        <v>186</v>
      </c>
    </row>
    <row r="182" spans="1:14">
      <c r="A182" s="1" t="s">
        <v>764</v>
      </c>
      <c r="B182" s="1" t="s">
        <v>765</v>
      </c>
      <c r="C182" s="1" t="s">
        <v>766</v>
      </c>
      <c r="D182" s="1" t="s">
        <v>767</v>
      </c>
      <c r="E182" s="1" t="s">
        <v>18</v>
      </c>
      <c r="F182" s="1" t="s">
        <v>19</v>
      </c>
      <c r="G182" s="1">
        <v>62</v>
      </c>
      <c r="H182" s="1" t="s">
        <v>84</v>
      </c>
      <c r="I182" s="1" t="s">
        <v>49</v>
      </c>
      <c r="J182" s="1" t="s">
        <v>89</v>
      </c>
      <c r="K182" s="1">
        <v>750000</v>
      </c>
      <c r="L182" s="1">
        <v>8</v>
      </c>
      <c r="M182" s="1" t="s">
        <v>51</v>
      </c>
      <c r="N182" s="1" t="s">
        <v>33</v>
      </c>
    </row>
    <row r="183" spans="1:14">
      <c r="A183" s="1" t="s">
        <v>768</v>
      </c>
      <c r="B183" s="1" t="s">
        <v>769</v>
      </c>
      <c r="C183" s="1" t="s">
        <v>770</v>
      </c>
      <c r="D183" s="1" t="s">
        <v>771</v>
      </c>
      <c r="E183" s="1" t="s">
        <v>82</v>
      </c>
      <c r="F183" s="1" t="s">
        <v>83</v>
      </c>
      <c r="G183" s="1" t="s">
        <v>330</v>
      </c>
      <c r="H183" s="1" t="s">
        <v>144</v>
      </c>
      <c r="I183" s="1" t="s">
        <v>127</v>
      </c>
      <c r="J183" s="1" t="s">
        <v>22</v>
      </c>
      <c r="K183" s="1">
        <v>13167</v>
      </c>
      <c r="L183" s="1">
        <v>15</v>
      </c>
      <c r="M183" s="1" t="s">
        <v>23</v>
      </c>
      <c r="N183" s="1" t="s">
        <v>41</v>
      </c>
    </row>
    <row r="184" spans="1:14">
      <c r="A184" s="1" t="s">
        <v>772</v>
      </c>
      <c r="B184" s="1" t="s">
        <v>773</v>
      </c>
      <c r="C184" s="1" t="s">
        <v>774</v>
      </c>
      <c r="D184" s="1" t="s">
        <v>775</v>
      </c>
      <c r="E184" s="1" t="s">
        <v>149</v>
      </c>
      <c r="F184" s="1" t="s">
        <v>109</v>
      </c>
      <c r="G184" s="1">
        <v>58</v>
      </c>
      <c r="H184" s="1" t="s">
        <v>20</v>
      </c>
      <c r="I184" s="1" t="s">
        <v>59</v>
      </c>
      <c r="J184" s="1" t="s">
        <v>210</v>
      </c>
      <c r="K184" s="1">
        <v>8896</v>
      </c>
      <c r="L184" s="1">
        <v>16</v>
      </c>
      <c r="M184" s="1" t="s">
        <v>51</v>
      </c>
      <c r="N184" s="1" t="s">
        <v>41</v>
      </c>
    </row>
    <row r="185" spans="1:14">
      <c r="A185" s="1" t="s">
        <v>776</v>
      </c>
      <c r="B185" s="1" t="s">
        <v>777</v>
      </c>
      <c r="C185" s="1" t="s">
        <v>778</v>
      </c>
      <c r="D185" s="1" t="s">
        <v>450</v>
      </c>
      <c r="E185" s="1" t="s">
        <v>120</v>
      </c>
      <c r="F185" s="1" t="s">
        <v>39</v>
      </c>
      <c r="G185" s="1">
        <v>-5</v>
      </c>
      <c r="H185" s="1" t="s">
        <v>20</v>
      </c>
      <c r="I185" s="1" t="s">
        <v>115</v>
      </c>
      <c r="J185" s="1" t="s">
        <v>32</v>
      </c>
      <c r="K185" s="1">
        <v>11321</v>
      </c>
      <c r="L185" s="1">
        <v>3</v>
      </c>
      <c r="M185" s="1" t="s">
        <v>33</v>
      </c>
      <c r="N185" s="1" t="s">
        <v>23</v>
      </c>
    </row>
    <row r="186" spans="1:14">
      <c r="A186" s="1" t="s">
        <v>779</v>
      </c>
      <c r="B186" s="1" t="s">
        <v>780</v>
      </c>
      <c r="C186" s="1" t="s">
        <v>781</v>
      </c>
      <c r="D186" s="1" t="s">
        <v>593</v>
      </c>
      <c r="E186" s="1" t="s">
        <v>175</v>
      </c>
      <c r="F186" s="1" t="s">
        <v>114</v>
      </c>
      <c r="G186" s="1">
        <v>9</v>
      </c>
      <c r="H186" s="1" t="s">
        <v>144</v>
      </c>
      <c r="I186" s="1" t="s">
        <v>65</v>
      </c>
      <c r="J186" s="1" t="s">
        <v>230</v>
      </c>
      <c r="K186" s="1">
        <v>7008</v>
      </c>
      <c r="L186" s="1">
        <v>2</v>
      </c>
      <c r="M186" s="1" t="s">
        <v>23</v>
      </c>
      <c r="N186" s="1" t="s">
        <v>24</v>
      </c>
    </row>
    <row r="187" spans="1:14">
      <c r="A187" s="1" t="s">
        <v>782</v>
      </c>
      <c r="B187" s="1" t="s">
        <v>783</v>
      </c>
      <c r="C187" s="1" t="s">
        <v>784</v>
      </c>
      <c r="D187" s="1" t="s">
        <v>785</v>
      </c>
      <c r="E187" s="1" t="s">
        <v>57</v>
      </c>
      <c r="F187" s="1" t="s">
        <v>132</v>
      </c>
      <c r="G187" s="1">
        <v>72</v>
      </c>
      <c r="H187" s="1" t="s">
        <v>84</v>
      </c>
      <c r="I187" s="1" t="s">
        <v>110</v>
      </c>
      <c r="J187" s="1" t="s">
        <v>89</v>
      </c>
      <c r="K187" s="1" t="s">
        <v>786</v>
      </c>
      <c r="L187" s="1">
        <v>12</v>
      </c>
      <c r="M187" s="1" t="s">
        <v>51</v>
      </c>
      <c r="N187" s="1" t="s">
        <v>33</v>
      </c>
    </row>
    <row r="188" spans="1:14">
      <c r="A188" s="1" t="s">
        <v>787</v>
      </c>
      <c r="B188" s="1" t="s">
        <v>788</v>
      </c>
      <c r="C188" s="1" t="s">
        <v>789</v>
      </c>
      <c r="D188" s="1" t="s">
        <v>790</v>
      </c>
      <c r="E188" s="1" t="s">
        <v>29</v>
      </c>
      <c r="F188" s="1" t="s">
        <v>102</v>
      </c>
      <c r="G188" s="1">
        <v>48</v>
      </c>
      <c r="H188" s="1" t="s">
        <v>144</v>
      </c>
      <c r="I188" s="1"/>
      <c r="J188" s="1" t="s">
        <v>50</v>
      </c>
      <c r="K188" s="1">
        <v>5995</v>
      </c>
      <c r="L188" s="1">
        <v>6</v>
      </c>
      <c r="M188" s="1">
        <v>1</v>
      </c>
      <c r="N188" s="1" t="s">
        <v>24</v>
      </c>
    </row>
    <row r="189" spans="1:14">
      <c r="A189" s="1" t="s">
        <v>791</v>
      </c>
      <c r="B189" s="1" t="s">
        <v>707</v>
      </c>
      <c r="C189" s="1" t="s">
        <v>228</v>
      </c>
      <c r="D189" s="1" t="s">
        <v>792</v>
      </c>
      <c r="E189" s="1" t="s">
        <v>29</v>
      </c>
      <c r="F189" s="1" t="s">
        <v>30</v>
      </c>
      <c r="G189" s="1">
        <v>38</v>
      </c>
      <c r="H189" s="1" t="s">
        <v>104</v>
      </c>
      <c r="I189" s="1" t="s">
        <v>65</v>
      </c>
      <c r="J189" s="1" t="s">
        <v>22</v>
      </c>
      <c r="K189" s="1">
        <v>10218</v>
      </c>
      <c r="L189" s="1">
        <v>12</v>
      </c>
      <c r="M189" s="1" t="s">
        <v>23</v>
      </c>
      <c r="N189" s="1" t="s">
        <v>52</v>
      </c>
    </row>
    <row r="190" spans="1:14">
      <c r="A190" s="1" t="s">
        <v>793</v>
      </c>
      <c r="B190" s="1" t="s">
        <v>794</v>
      </c>
      <c r="C190" s="1" t="s">
        <v>795</v>
      </c>
      <c r="D190" s="1" t="s">
        <v>796</v>
      </c>
      <c r="E190" s="1" t="s">
        <v>169</v>
      </c>
      <c r="F190" s="1" t="s">
        <v>143</v>
      </c>
      <c r="G190" s="1" t="s">
        <v>797</v>
      </c>
      <c r="H190" s="1" t="s">
        <v>48</v>
      </c>
      <c r="I190" s="1" t="s">
        <v>65</v>
      </c>
      <c r="J190" s="1" t="s">
        <v>71</v>
      </c>
      <c r="K190" s="1">
        <v>9603</v>
      </c>
      <c r="L190" s="1">
        <v>16</v>
      </c>
      <c r="M190" s="1" t="s">
        <v>52</v>
      </c>
      <c r="N190" s="1" t="s">
        <v>23</v>
      </c>
    </row>
    <row r="191" spans="1:14">
      <c r="A191" s="1" t="s">
        <v>798</v>
      </c>
      <c r="B191" s="1" t="s">
        <v>346</v>
      </c>
      <c r="C191" s="1" t="s">
        <v>123</v>
      </c>
      <c r="D191" s="1" t="s">
        <v>799</v>
      </c>
      <c r="E191" s="1" t="s">
        <v>108</v>
      </c>
      <c r="F191" s="1" t="s">
        <v>47</v>
      </c>
      <c r="G191" s="1">
        <v>71</v>
      </c>
      <c r="H191" s="1" t="s">
        <v>70</v>
      </c>
      <c r="I191" s="1" t="s">
        <v>21</v>
      </c>
      <c r="J191" s="1" t="s">
        <v>89</v>
      </c>
      <c r="K191" s="1" t="s">
        <v>358</v>
      </c>
      <c r="L191" s="1">
        <v>11</v>
      </c>
      <c r="M191" s="1" t="s">
        <v>41</v>
      </c>
      <c r="N191" s="1" t="s">
        <v>23</v>
      </c>
    </row>
    <row r="192" spans="1:14">
      <c r="A192" s="1" t="s">
        <v>800</v>
      </c>
      <c r="B192" s="1" t="s">
        <v>801</v>
      </c>
      <c r="C192" s="1" t="s">
        <v>802</v>
      </c>
      <c r="D192" s="1" t="s">
        <v>803</v>
      </c>
      <c r="E192" s="1" t="s">
        <v>175</v>
      </c>
      <c r="F192" s="1" t="s">
        <v>114</v>
      </c>
      <c r="G192" s="1" t="s">
        <v>330</v>
      </c>
      <c r="H192" s="1" t="s">
        <v>70</v>
      </c>
      <c r="I192" s="1" t="s">
        <v>110</v>
      </c>
      <c r="J192" s="1" t="s">
        <v>71</v>
      </c>
      <c r="K192" s="1"/>
      <c r="L192" s="1">
        <v>3</v>
      </c>
      <c r="M192" s="1" t="s">
        <v>51</v>
      </c>
      <c r="N192" s="1" t="s">
        <v>52</v>
      </c>
    </row>
    <row r="193" spans="1:14">
      <c r="A193" s="1" t="s">
        <v>804</v>
      </c>
      <c r="B193" s="1" t="s">
        <v>805</v>
      </c>
      <c r="C193" s="1" t="s">
        <v>806</v>
      </c>
      <c r="D193" s="1" t="s">
        <v>807</v>
      </c>
      <c r="E193" s="1" t="s">
        <v>68</v>
      </c>
      <c r="F193" s="1" t="s">
        <v>69</v>
      </c>
      <c r="G193" s="1">
        <v>69</v>
      </c>
      <c r="H193" s="1" t="s">
        <v>58</v>
      </c>
      <c r="I193" s="1" t="s">
        <v>59</v>
      </c>
      <c r="J193" s="1" t="s">
        <v>22</v>
      </c>
      <c r="K193" s="1"/>
      <c r="L193" s="1">
        <v>13</v>
      </c>
      <c r="M193" s="1">
        <v>0</v>
      </c>
      <c r="N193" s="1" t="s">
        <v>23</v>
      </c>
    </row>
    <row r="194" spans="1:14">
      <c r="A194" s="1" t="s">
        <v>808</v>
      </c>
      <c r="B194" s="1" t="s">
        <v>67</v>
      </c>
      <c r="C194" s="1" t="s">
        <v>372</v>
      </c>
      <c r="D194" s="1" t="s">
        <v>809</v>
      </c>
      <c r="E194" s="1" t="s">
        <v>18</v>
      </c>
      <c r="F194" s="1" t="s">
        <v>83</v>
      </c>
      <c r="G194" s="1">
        <v>31</v>
      </c>
      <c r="H194" s="1" t="s">
        <v>58</v>
      </c>
      <c r="I194" s="1" t="s">
        <v>49</v>
      </c>
      <c r="J194" s="1" t="s">
        <v>22</v>
      </c>
      <c r="K194" s="1">
        <v>2996</v>
      </c>
      <c r="L194" s="1">
        <v>18</v>
      </c>
      <c r="M194" s="1" t="s">
        <v>33</v>
      </c>
      <c r="N194" s="1" t="s">
        <v>41</v>
      </c>
    </row>
    <row r="195" spans="1:14">
      <c r="A195" s="1" t="s">
        <v>810</v>
      </c>
      <c r="B195" s="1" t="s">
        <v>811</v>
      </c>
      <c r="C195" s="1" t="s">
        <v>812</v>
      </c>
      <c r="D195" s="1" t="s">
        <v>813</v>
      </c>
      <c r="E195" s="1" t="s">
        <v>68</v>
      </c>
      <c r="F195" s="1" t="s">
        <v>183</v>
      </c>
      <c r="G195" s="1">
        <v>76</v>
      </c>
      <c r="H195" s="1" t="s">
        <v>48</v>
      </c>
      <c r="I195" s="1" t="s">
        <v>31</v>
      </c>
      <c r="J195" s="1" t="s">
        <v>210</v>
      </c>
      <c r="K195" s="1">
        <v>6843</v>
      </c>
      <c r="L195" s="1">
        <v>1</v>
      </c>
      <c r="M195" s="1">
        <v>1</v>
      </c>
      <c r="N195" s="1" t="s">
        <v>41</v>
      </c>
    </row>
    <row r="196" spans="1:14">
      <c r="A196" s="1" t="s">
        <v>814</v>
      </c>
      <c r="B196" s="1" t="s">
        <v>620</v>
      </c>
      <c r="C196" s="1" t="s">
        <v>815</v>
      </c>
      <c r="D196" s="1" t="s">
        <v>816</v>
      </c>
      <c r="E196" s="1" t="s">
        <v>18</v>
      </c>
      <c r="F196" s="1" t="s">
        <v>19</v>
      </c>
      <c r="G196" s="1" t="s">
        <v>817</v>
      </c>
      <c r="H196" s="1"/>
      <c r="I196" s="1" t="s">
        <v>127</v>
      </c>
      <c r="J196" s="1" t="s">
        <v>50</v>
      </c>
      <c r="K196" s="1">
        <v>3596</v>
      </c>
      <c r="L196" s="1">
        <v>20</v>
      </c>
      <c r="M196" s="1" t="s">
        <v>23</v>
      </c>
      <c r="N196" s="1" t="s">
        <v>24</v>
      </c>
    </row>
    <row r="197" spans="1:14">
      <c r="A197" s="1" t="s">
        <v>818</v>
      </c>
      <c r="B197" s="1" t="s">
        <v>371</v>
      </c>
      <c r="C197" s="1" t="s">
        <v>819</v>
      </c>
      <c r="D197" s="1" t="s">
        <v>593</v>
      </c>
      <c r="E197" s="1" t="s">
        <v>18</v>
      </c>
      <c r="F197" s="1" t="s">
        <v>83</v>
      </c>
      <c r="G197" s="1">
        <v>76</v>
      </c>
      <c r="H197" s="1" t="s">
        <v>84</v>
      </c>
      <c r="I197" s="1" t="s">
        <v>127</v>
      </c>
      <c r="J197" s="1" t="s">
        <v>22</v>
      </c>
      <c r="K197" s="1">
        <v>14132</v>
      </c>
      <c r="L197" s="1">
        <v>8</v>
      </c>
      <c r="M197" s="1">
        <v>0</v>
      </c>
      <c r="N197" s="1" t="s">
        <v>23</v>
      </c>
    </row>
    <row r="198" spans="1:14">
      <c r="A198" s="1" t="s">
        <v>820</v>
      </c>
      <c r="B198" s="1" t="s">
        <v>821</v>
      </c>
      <c r="C198" s="1" t="s">
        <v>822</v>
      </c>
      <c r="D198" s="1" t="s">
        <v>823</v>
      </c>
      <c r="E198" s="1" t="s">
        <v>415</v>
      </c>
      <c r="F198" s="1" t="s">
        <v>114</v>
      </c>
      <c r="G198" s="1">
        <v>14</v>
      </c>
      <c r="H198" s="1" t="s">
        <v>70</v>
      </c>
      <c r="I198" s="1"/>
      <c r="J198" s="1" t="s">
        <v>230</v>
      </c>
      <c r="K198" s="1" t="s">
        <v>824</v>
      </c>
      <c r="L198" s="1">
        <v>5</v>
      </c>
      <c r="M198" s="1" t="s">
        <v>41</v>
      </c>
      <c r="N198" s="1" t="s">
        <v>24</v>
      </c>
    </row>
    <row r="199" spans="1:14">
      <c r="A199" s="1" t="s">
        <v>825</v>
      </c>
      <c r="B199" s="1" t="s">
        <v>826</v>
      </c>
      <c r="C199" s="1" t="s">
        <v>827</v>
      </c>
      <c r="D199" s="1" t="s">
        <v>828</v>
      </c>
      <c r="E199" s="1" t="s">
        <v>357</v>
      </c>
      <c r="F199" s="1" t="s">
        <v>126</v>
      </c>
      <c r="G199" s="1">
        <v>93</v>
      </c>
      <c r="H199" s="1" t="s">
        <v>70</v>
      </c>
      <c r="I199" s="1" t="s">
        <v>153</v>
      </c>
      <c r="J199" s="1" t="s">
        <v>210</v>
      </c>
      <c r="K199" s="1">
        <v>11020</v>
      </c>
      <c r="L199" s="1">
        <v>15</v>
      </c>
      <c r="M199" s="1">
        <v>1</v>
      </c>
      <c r="N199" s="1" t="s">
        <v>41</v>
      </c>
    </row>
    <row r="200" spans="1:14">
      <c r="A200" s="1" t="s">
        <v>829</v>
      </c>
      <c r="B200" s="1" t="s">
        <v>569</v>
      </c>
      <c r="C200" s="1" t="s">
        <v>830</v>
      </c>
      <c r="D200" s="1" t="s">
        <v>831</v>
      </c>
      <c r="E200" s="1" t="s">
        <v>18</v>
      </c>
      <c r="F200" s="1" t="s">
        <v>19</v>
      </c>
      <c r="G200" s="1">
        <v>52</v>
      </c>
      <c r="H200" s="1" t="s">
        <v>70</v>
      </c>
      <c r="I200" s="1" t="s">
        <v>115</v>
      </c>
      <c r="J200" s="1" t="s">
        <v>230</v>
      </c>
      <c r="K200" s="1">
        <v>6610</v>
      </c>
      <c r="L200" s="1"/>
      <c r="M200" s="1" t="s">
        <v>52</v>
      </c>
      <c r="N200" s="1" t="s">
        <v>24</v>
      </c>
    </row>
    <row r="201" spans="1:14">
      <c r="A201" s="1" t="s">
        <v>832</v>
      </c>
      <c r="B201" s="1" t="s">
        <v>833</v>
      </c>
      <c r="C201" s="1"/>
      <c r="D201" s="1" t="s">
        <v>834</v>
      </c>
      <c r="E201" s="1" t="s">
        <v>137</v>
      </c>
      <c r="F201" s="1" t="s">
        <v>77</v>
      </c>
      <c r="G201" s="1">
        <v>72</v>
      </c>
      <c r="H201" s="1" t="s">
        <v>144</v>
      </c>
      <c r="I201" s="1" t="s">
        <v>153</v>
      </c>
      <c r="J201" s="1" t="s">
        <v>32</v>
      </c>
      <c r="K201" s="1">
        <v>13313</v>
      </c>
      <c r="L201" s="1">
        <v>8</v>
      </c>
      <c r="M201" s="1">
        <v>1</v>
      </c>
      <c r="N201" s="1" t="s">
        <v>41</v>
      </c>
    </row>
    <row r="202" spans="1:14">
      <c r="A202" s="1" t="s">
        <v>835</v>
      </c>
      <c r="B202" s="1" t="s">
        <v>666</v>
      </c>
      <c r="C202" s="1" t="s">
        <v>836</v>
      </c>
      <c r="D202" s="1" t="s">
        <v>44</v>
      </c>
      <c r="E202" s="1" t="s">
        <v>357</v>
      </c>
      <c r="F202" s="1" t="s">
        <v>69</v>
      </c>
      <c r="G202" s="1"/>
      <c r="H202" s="1" t="s">
        <v>58</v>
      </c>
      <c r="I202" s="1" t="s">
        <v>59</v>
      </c>
      <c r="J202" s="1" t="s">
        <v>50</v>
      </c>
      <c r="K202" s="1">
        <v>7898</v>
      </c>
      <c r="L202" s="1">
        <v>4</v>
      </c>
      <c r="M202" s="1" t="s">
        <v>33</v>
      </c>
      <c r="N202" s="1" t="s">
        <v>52</v>
      </c>
    </row>
    <row r="203" spans="1:14">
      <c r="A203" s="1" t="s">
        <v>837</v>
      </c>
      <c r="B203" s="1" t="s">
        <v>838</v>
      </c>
      <c r="C203" s="1" t="s">
        <v>839</v>
      </c>
      <c r="D203" s="1" t="s">
        <v>365</v>
      </c>
      <c r="E203" s="1" t="s">
        <v>142</v>
      </c>
      <c r="F203" s="1" t="s">
        <v>143</v>
      </c>
      <c r="G203" s="1">
        <v>89</v>
      </c>
      <c r="H203" s="1" t="s">
        <v>144</v>
      </c>
      <c r="I203" s="1" t="s">
        <v>59</v>
      </c>
      <c r="J203" s="1" t="s">
        <v>71</v>
      </c>
      <c r="K203" s="1">
        <v>1280</v>
      </c>
      <c r="L203" s="1">
        <v>14</v>
      </c>
      <c r="M203" s="1" t="s">
        <v>33</v>
      </c>
      <c r="N203" s="1" t="s">
        <v>33</v>
      </c>
    </row>
    <row r="204" spans="1:14">
      <c r="A204" s="1" t="s">
        <v>840</v>
      </c>
      <c r="B204" s="1" t="s">
        <v>841</v>
      </c>
      <c r="C204" s="1"/>
      <c r="D204" s="1" t="s">
        <v>135</v>
      </c>
      <c r="E204" s="1" t="s">
        <v>120</v>
      </c>
      <c r="F204" s="1" t="s">
        <v>164</v>
      </c>
      <c r="G204" s="1">
        <v>92</v>
      </c>
      <c r="H204" s="1" t="s">
        <v>144</v>
      </c>
      <c r="I204" s="1" t="s">
        <v>59</v>
      </c>
      <c r="J204" s="1" t="s">
        <v>40</v>
      </c>
      <c r="K204" s="1">
        <v>8842</v>
      </c>
      <c r="L204" s="1">
        <v>8</v>
      </c>
      <c r="M204" s="1" t="s">
        <v>51</v>
      </c>
      <c r="N204" s="1" t="s">
        <v>33</v>
      </c>
    </row>
    <row r="205" spans="1:14">
      <c r="A205" s="1" t="s">
        <v>842</v>
      </c>
      <c r="B205" s="1" t="s">
        <v>74</v>
      </c>
      <c r="C205" s="1" t="s">
        <v>843</v>
      </c>
      <c r="D205" s="1" t="s">
        <v>844</v>
      </c>
      <c r="E205" s="1" t="s">
        <v>29</v>
      </c>
      <c r="F205" s="1" t="s">
        <v>102</v>
      </c>
      <c r="G205" s="1">
        <v>85</v>
      </c>
      <c r="H205" s="1" t="s">
        <v>20</v>
      </c>
      <c r="I205" s="1" t="s">
        <v>59</v>
      </c>
      <c r="J205" s="1" t="s">
        <v>22</v>
      </c>
      <c r="K205" s="1">
        <v>9626</v>
      </c>
      <c r="L205" s="1">
        <v>14</v>
      </c>
      <c r="M205" s="1" t="s">
        <v>24</v>
      </c>
      <c r="N205" s="1" t="s">
        <v>24</v>
      </c>
    </row>
    <row r="206" spans="1:14">
      <c r="A206" s="1" t="s">
        <v>845</v>
      </c>
      <c r="B206" s="1" t="s">
        <v>846</v>
      </c>
      <c r="C206" s="1"/>
      <c r="D206" s="1" t="s">
        <v>847</v>
      </c>
      <c r="E206" s="1" t="s">
        <v>175</v>
      </c>
      <c r="F206" s="1" t="s">
        <v>114</v>
      </c>
      <c r="G206" s="1">
        <v>11</v>
      </c>
      <c r="H206" s="1" t="s">
        <v>104</v>
      </c>
      <c r="I206" s="1" t="s">
        <v>153</v>
      </c>
      <c r="J206" s="1" t="s">
        <v>40</v>
      </c>
      <c r="K206" s="1">
        <v>8464</v>
      </c>
      <c r="L206" s="1">
        <v>3</v>
      </c>
      <c r="M206" s="1">
        <v>1</v>
      </c>
      <c r="N206" s="1" t="s">
        <v>41</v>
      </c>
    </row>
    <row r="207" spans="1:14">
      <c r="A207" s="1" t="s">
        <v>848</v>
      </c>
      <c r="B207" s="1" t="s">
        <v>849</v>
      </c>
      <c r="C207" s="1" t="s">
        <v>491</v>
      </c>
      <c r="D207" s="1" t="s">
        <v>850</v>
      </c>
      <c r="E207" s="1" t="s">
        <v>82</v>
      </c>
      <c r="F207" s="1" t="s">
        <v>19</v>
      </c>
      <c r="G207" s="1">
        <v>70</v>
      </c>
      <c r="H207" s="1" t="s">
        <v>48</v>
      </c>
      <c r="I207" s="1" t="s">
        <v>127</v>
      </c>
      <c r="J207" s="1" t="s">
        <v>22</v>
      </c>
      <c r="K207" s="1">
        <v>7880</v>
      </c>
      <c r="L207" s="1">
        <v>11</v>
      </c>
      <c r="M207" s="1" t="s">
        <v>24</v>
      </c>
      <c r="N207" s="1" t="s">
        <v>186</v>
      </c>
    </row>
    <row r="208" spans="1:14">
      <c r="A208" s="1" t="s">
        <v>851</v>
      </c>
      <c r="B208" s="1" t="s">
        <v>129</v>
      </c>
      <c r="C208" s="1" t="s">
        <v>852</v>
      </c>
      <c r="D208" s="1" t="s">
        <v>853</v>
      </c>
      <c r="E208" s="1" t="s">
        <v>125</v>
      </c>
      <c r="F208" s="1" t="s">
        <v>183</v>
      </c>
      <c r="G208" s="1">
        <v>28</v>
      </c>
      <c r="H208" s="1" t="s">
        <v>70</v>
      </c>
      <c r="I208" s="1" t="s">
        <v>59</v>
      </c>
      <c r="J208" s="1" t="s">
        <v>22</v>
      </c>
      <c r="K208" s="1">
        <v>2136</v>
      </c>
      <c r="L208" s="1">
        <v>6</v>
      </c>
      <c r="M208" s="1">
        <v>1</v>
      </c>
      <c r="N208" s="1" t="s">
        <v>23</v>
      </c>
    </row>
    <row r="209" spans="1:14">
      <c r="A209" s="1" t="s">
        <v>854</v>
      </c>
      <c r="B209" s="1" t="s">
        <v>855</v>
      </c>
      <c r="C209" s="1" t="s">
        <v>856</v>
      </c>
      <c r="D209" s="1" t="s">
        <v>300</v>
      </c>
      <c r="E209" s="1" t="s">
        <v>120</v>
      </c>
      <c r="F209" s="1" t="s">
        <v>39</v>
      </c>
      <c r="G209" s="1">
        <v>-5</v>
      </c>
      <c r="H209" s="1" t="s">
        <v>144</v>
      </c>
      <c r="I209" s="1" t="s">
        <v>31</v>
      </c>
      <c r="J209" s="1" t="s">
        <v>210</v>
      </c>
      <c r="K209" s="1">
        <v>5612</v>
      </c>
      <c r="L209" s="1">
        <v>11</v>
      </c>
      <c r="M209" s="1" t="s">
        <v>33</v>
      </c>
      <c r="N209" s="1" t="s">
        <v>41</v>
      </c>
    </row>
    <row r="210" spans="1:14">
      <c r="A210" s="1" t="s">
        <v>857</v>
      </c>
      <c r="B210" s="1" t="s">
        <v>858</v>
      </c>
      <c r="C210" s="1" t="s">
        <v>859</v>
      </c>
      <c r="D210" s="1" t="s">
        <v>860</v>
      </c>
      <c r="E210" s="1" t="s">
        <v>95</v>
      </c>
      <c r="F210" s="1" t="s">
        <v>114</v>
      </c>
      <c r="G210" s="1">
        <v>11</v>
      </c>
      <c r="H210" s="1" t="s">
        <v>84</v>
      </c>
      <c r="I210" s="1" t="s">
        <v>127</v>
      </c>
      <c r="J210" s="1" t="s">
        <v>32</v>
      </c>
      <c r="K210" s="1"/>
      <c r="L210" s="1">
        <v>14</v>
      </c>
      <c r="M210" s="1">
        <v>1</v>
      </c>
      <c r="N210" s="1" t="s">
        <v>186</v>
      </c>
    </row>
    <row r="211" spans="1:14">
      <c r="A211" s="1" t="s">
        <v>861</v>
      </c>
      <c r="B211" s="1" t="s">
        <v>35</v>
      </c>
      <c r="C211" s="1" t="s">
        <v>862</v>
      </c>
      <c r="D211" s="1" t="s">
        <v>863</v>
      </c>
      <c r="E211" s="1" t="s">
        <v>149</v>
      </c>
      <c r="F211" s="1" t="s">
        <v>109</v>
      </c>
      <c r="G211" s="1">
        <v>38</v>
      </c>
      <c r="H211" s="1" t="s">
        <v>70</v>
      </c>
      <c r="I211" s="1" t="s">
        <v>49</v>
      </c>
      <c r="J211" s="1" t="s">
        <v>22</v>
      </c>
      <c r="K211" s="1" t="s">
        <v>864</v>
      </c>
      <c r="L211" s="1">
        <v>18</v>
      </c>
      <c r="M211" s="1" t="s">
        <v>51</v>
      </c>
      <c r="N211" s="1" t="s">
        <v>23</v>
      </c>
    </row>
    <row r="212" spans="1:14">
      <c r="A212" s="1" t="s">
        <v>865</v>
      </c>
      <c r="B212" s="1" t="s">
        <v>866</v>
      </c>
      <c r="C212" s="1" t="s">
        <v>867</v>
      </c>
      <c r="D212" s="1" t="s">
        <v>868</v>
      </c>
      <c r="E212" s="1" t="s">
        <v>137</v>
      </c>
      <c r="F212" s="1" t="s">
        <v>77</v>
      </c>
      <c r="G212" s="1">
        <v>32</v>
      </c>
      <c r="H212" s="1" t="s">
        <v>104</v>
      </c>
      <c r="I212" s="1" t="s">
        <v>65</v>
      </c>
      <c r="J212" s="1" t="s">
        <v>89</v>
      </c>
      <c r="K212" s="1">
        <v>8225</v>
      </c>
      <c r="L212" s="1"/>
      <c r="M212" s="1">
        <v>1</v>
      </c>
      <c r="N212" s="1" t="s">
        <v>52</v>
      </c>
    </row>
    <row r="213" spans="1:14">
      <c r="A213" s="1" t="s">
        <v>869</v>
      </c>
      <c r="B213" s="1" t="s">
        <v>612</v>
      </c>
      <c r="C213" s="1" t="s">
        <v>870</v>
      </c>
      <c r="D213" s="1" t="s">
        <v>276</v>
      </c>
      <c r="E213" s="1" t="s">
        <v>149</v>
      </c>
      <c r="F213" s="1" t="s">
        <v>47</v>
      </c>
      <c r="G213" s="1">
        <v>81</v>
      </c>
      <c r="H213" s="1" t="s">
        <v>70</v>
      </c>
      <c r="I213" s="1" t="s">
        <v>31</v>
      </c>
      <c r="J213" s="1" t="s">
        <v>22</v>
      </c>
      <c r="K213" s="1">
        <v>4929</v>
      </c>
      <c r="L213" s="1">
        <v>17</v>
      </c>
      <c r="M213" s="1" t="s">
        <v>51</v>
      </c>
      <c r="N213" s="1" t="s">
        <v>186</v>
      </c>
    </row>
    <row r="214" spans="1:14">
      <c r="A214" s="1" t="s">
        <v>871</v>
      </c>
      <c r="B214" s="1" t="s">
        <v>872</v>
      </c>
      <c r="C214" s="1" t="s">
        <v>28</v>
      </c>
      <c r="D214" s="1" t="s">
        <v>873</v>
      </c>
      <c r="E214" s="1" t="s">
        <v>18</v>
      </c>
      <c r="F214" s="1" t="s">
        <v>19</v>
      </c>
      <c r="G214" s="1" t="s">
        <v>736</v>
      </c>
      <c r="H214" s="1" t="s">
        <v>104</v>
      </c>
      <c r="I214" s="1" t="s">
        <v>59</v>
      </c>
      <c r="J214" s="1" t="s">
        <v>71</v>
      </c>
      <c r="K214" s="1">
        <v>4853</v>
      </c>
      <c r="L214" s="1">
        <v>6</v>
      </c>
      <c r="M214" s="1" t="s">
        <v>24</v>
      </c>
      <c r="N214" s="1" t="s">
        <v>33</v>
      </c>
    </row>
    <row r="215" spans="1:14">
      <c r="A215" s="1" t="s">
        <v>874</v>
      </c>
      <c r="B215" s="1" t="s">
        <v>875</v>
      </c>
      <c r="C215" s="1" t="s">
        <v>443</v>
      </c>
      <c r="D215" s="1" t="s">
        <v>876</v>
      </c>
      <c r="E215" s="1" t="s">
        <v>137</v>
      </c>
      <c r="F215" s="1" t="s">
        <v>77</v>
      </c>
      <c r="G215" s="1">
        <v>23</v>
      </c>
      <c r="H215" s="1" t="s">
        <v>20</v>
      </c>
      <c r="I215" s="1" t="s">
        <v>65</v>
      </c>
      <c r="J215" s="1" t="s">
        <v>71</v>
      </c>
      <c r="K215" s="1" t="s">
        <v>270</v>
      </c>
      <c r="L215" s="1"/>
      <c r="M215" s="1" t="s">
        <v>24</v>
      </c>
      <c r="N215" s="1" t="s">
        <v>24</v>
      </c>
    </row>
    <row r="216" spans="1:14">
      <c r="A216" s="1" t="s">
        <v>877</v>
      </c>
      <c r="B216" s="1" t="s">
        <v>878</v>
      </c>
      <c r="C216" s="1" t="s">
        <v>879</v>
      </c>
      <c r="D216" s="1" t="s">
        <v>492</v>
      </c>
      <c r="E216" s="1" t="s">
        <v>29</v>
      </c>
      <c r="F216" s="1" t="s">
        <v>77</v>
      </c>
      <c r="G216" s="1">
        <v>79</v>
      </c>
      <c r="H216" s="1" t="s">
        <v>48</v>
      </c>
      <c r="I216" s="1" t="s">
        <v>31</v>
      </c>
      <c r="J216" s="1" t="s">
        <v>210</v>
      </c>
      <c r="K216" s="1">
        <v>12175</v>
      </c>
      <c r="L216" s="1">
        <v>11</v>
      </c>
      <c r="M216" s="1" t="s">
        <v>33</v>
      </c>
      <c r="N216" s="1" t="s">
        <v>186</v>
      </c>
    </row>
    <row r="217" spans="1:14">
      <c r="A217" s="1" t="s">
        <v>880</v>
      </c>
      <c r="B217" s="1" t="s">
        <v>112</v>
      </c>
      <c r="C217" s="1" t="s">
        <v>881</v>
      </c>
      <c r="D217" s="1" t="s">
        <v>882</v>
      </c>
      <c r="E217" s="1" t="s">
        <v>415</v>
      </c>
      <c r="F217" s="1" t="s">
        <v>96</v>
      </c>
      <c r="G217" s="1">
        <v>8</v>
      </c>
      <c r="H217" s="1" t="s">
        <v>104</v>
      </c>
      <c r="I217" s="1" t="s">
        <v>31</v>
      </c>
      <c r="J217" s="1" t="s">
        <v>22</v>
      </c>
      <c r="K217" s="1">
        <v>3145</v>
      </c>
      <c r="L217" s="1">
        <v>19</v>
      </c>
      <c r="M217" s="1">
        <v>1</v>
      </c>
      <c r="N217" s="1" t="s">
        <v>24</v>
      </c>
    </row>
    <row r="218" spans="1:14">
      <c r="A218" s="1" t="s">
        <v>883</v>
      </c>
      <c r="B218" s="1" t="s">
        <v>481</v>
      </c>
      <c r="C218" s="1" t="s">
        <v>884</v>
      </c>
      <c r="D218" s="1" t="s">
        <v>675</v>
      </c>
      <c r="E218" s="1" t="s">
        <v>29</v>
      </c>
      <c r="F218" s="1" t="s">
        <v>30</v>
      </c>
      <c r="G218" s="1">
        <v>48</v>
      </c>
      <c r="H218" s="1" t="s">
        <v>58</v>
      </c>
      <c r="I218" s="1" t="s">
        <v>59</v>
      </c>
      <c r="J218" s="1" t="s">
        <v>210</v>
      </c>
      <c r="K218" s="1">
        <v>1176</v>
      </c>
      <c r="L218" s="1" t="s">
        <v>885</v>
      </c>
      <c r="M218" s="1">
        <v>1</v>
      </c>
      <c r="N218" s="1" t="s">
        <v>41</v>
      </c>
    </row>
    <row r="219" spans="1:14">
      <c r="A219" s="1" t="s">
        <v>886</v>
      </c>
      <c r="B219" s="1" t="s">
        <v>887</v>
      </c>
      <c r="C219" s="1" t="s">
        <v>325</v>
      </c>
      <c r="D219" s="1" t="s">
        <v>888</v>
      </c>
      <c r="E219" s="1" t="s">
        <v>64</v>
      </c>
      <c r="F219" s="1" t="s">
        <v>77</v>
      </c>
      <c r="G219" s="1">
        <v>34</v>
      </c>
      <c r="H219" s="1" t="s">
        <v>20</v>
      </c>
      <c r="I219" s="1" t="s">
        <v>153</v>
      </c>
      <c r="J219" s="1" t="s">
        <v>230</v>
      </c>
      <c r="K219" s="1">
        <v>8494</v>
      </c>
      <c r="L219" s="1">
        <v>20</v>
      </c>
      <c r="M219" s="1" t="s">
        <v>33</v>
      </c>
      <c r="N219" s="1" t="s">
        <v>33</v>
      </c>
    </row>
    <row r="220" spans="1:14">
      <c r="A220" s="1" t="s">
        <v>889</v>
      </c>
      <c r="B220" s="1" t="s">
        <v>61</v>
      </c>
      <c r="C220" s="1" t="s">
        <v>702</v>
      </c>
      <c r="D220" s="1" t="s">
        <v>890</v>
      </c>
      <c r="E220" s="1" t="s">
        <v>125</v>
      </c>
      <c r="F220" s="1" t="s">
        <v>126</v>
      </c>
      <c r="G220" s="1">
        <v>38</v>
      </c>
      <c r="H220" s="1" t="s">
        <v>20</v>
      </c>
      <c r="I220" s="1" t="s">
        <v>21</v>
      </c>
      <c r="J220" s="1" t="s">
        <v>50</v>
      </c>
      <c r="K220" s="1">
        <v>10341</v>
      </c>
      <c r="L220" s="1">
        <v>4</v>
      </c>
      <c r="M220" s="1" t="s">
        <v>24</v>
      </c>
      <c r="N220" s="1" t="s">
        <v>23</v>
      </c>
    </row>
    <row r="221" spans="1:14">
      <c r="A221" s="1" t="s">
        <v>891</v>
      </c>
      <c r="B221" s="1" t="s">
        <v>180</v>
      </c>
      <c r="C221" s="1" t="s">
        <v>356</v>
      </c>
      <c r="D221" s="1" t="s">
        <v>892</v>
      </c>
      <c r="E221" s="1" t="s">
        <v>18</v>
      </c>
      <c r="F221" s="1" t="s">
        <v>132</v>
      </c>
      <c r="G221" s="1">
        <v>22</v>
      </c>
      <c r="H221" s="1" t="s">
        <v>84</v>
      </c>
      <c r="I221" s="1"/>
      <c r="J221" s="1" t="s">
        <v>210</v>
      </c>
      <c r="K221" s="1">
        <v>11030</v>
      </c>
      <c r="L221" s="1">
        <v>11</v>
      </c>
      <c r="M221" s="1" t="s">
        <v>51</v>
      </c>
      <c r="N221" s="1" t="s">
        <v>24</v>
      </c>
    </row>
    <row r="222" spans="1:14">
      <c r="A222" s="1" t="s">
        <v>893</v>
      </c>
      <c r="B222" s="1" t="s">
        <v>727</v>
      </c>
      <c r="C222" s="1" t="s">
        <v>197</v>
      </c>
      <c r="D222" s="1" t="s">
        <v>894</v>
      </c>
      <c r="E222" s="1" t="s">
        <v>64</v>
      </c>
      <c r="F222" s="1" t="s">
        <v>77</v>
      </c>
      <c r="G222" s="1">
        <v>24</v>
      </c>
      <c r="H222" s="1" t="s">
        <v>104</v>
      </c>
      <c r="I222" s="1" t="s">
        <v>153</v>
      </c>
      <c r="J222" s="1" t="s">
        <v>22</v>
      </c>
      <c r="K222" s="1">
        <v>11139</v>
      </c>
      <c r="L222" s="1">
        <v>19</v>
      </c>
      <c r="M222" s="1" t="s">
        <v>41</v>
      </c>
      <c r="N222" s="1" t="s">
        <v>33</v>
      </c>
    </row>
    <row r="223" spans="1:14">
      <c r="A223" s="1" t="s">
        <v>895</v>
      </c>
      <c r="B223" s="1" t="s">
        <v>896</v>
      </c>
      <c r="C223" s="1" t="s">
        <v>897</v>
      </c>
      <c r="D223" s="1" t="s">
        <v>898</v>
      </c>
      <c r="E223" s="1" t="s">
        <v>142</v>
      </c>
      <c r="F223" s="1" t="s">
        <v>143</v>
      </c>
      <c r="G223" s="1">
        <v>58</v>
      </c>
      <c r="H223" s="1" t="s">
        <v>104</v>
      </c>
      <c r="I223" s="1" t="s">
        <v>59</v>
      </c>
      <c r="J223" s="1" t="s">
        <v>230</v>
      </c>
      <c r="K223" s="1">
        <v>2350</v>
      </c>
      <c r="L223" s="1">
        <v>9</v>
      </c>
      <c r="M223" s="1" t="s">
        <v>52</v>
      </c>
      <c r="N223" s="1" t="s">
        <v>41</v>
      </c>
    </row>
    <row r="224" spans="1:14">
      <c r="A224" s="1" t="s">
        <v>899</v>
      </c>
      <c r="B224" s="1" t="s">
        <v>254</v>
      </c>
      <c r="C224" s="1" t="s">
        <v>900</v>
      </c>
      <c r="D224" s="1" t="s">
        <v>901</v>
      </c>
      <c r="E224" s="1" t="s">
        <v>120</v>
      </c>
      <c r="F224" s="1" t="s">
        <v>164</v>
      </c>
      <c r="G224" s="1">
        <v>30</v>
      </c>
      <c r="H224" s="1" t="s">
        <v>20</v>
      </c>
      <c r="I224" s="1" t="s">
        <v>127</v>
      </c>
      <c r="J224" s="1" t="s">
        <v>22</v>
      </c>
      <c r="K224" s="1">
        <v>9802</v>
      </c>
      <c r="L224" s="1">
        <v>8</v>
      </c>
      <c r="M224" s="1" t="s">
        <v>51</v>
      </c>
      <c r="N224" s="1" t="s">
        <v>52</v>
      </c>
    </row>
    <row r="225" spans="1:14">
      <c r="A225" s="1" t="s">
        <v>902</v>
      </c>
      <c r="B225" s="1" t="s">
        <v>364</v>
      </c>
      <c r="C225" s="1" t="s">
        <v>903</v>
      </c>
      <c r="D225" s="1" t="s">
        <v>904</v>
      </c>
      <c r="E225" s="1" t="s">
        <v>169</v>
      </c>
      <c r="F225" s="1" t="s">
        <v>143</v>
      </c>
      <c r="G225" s="1">
        <v>31</v>
      </c>
      <c r="H225" s="1" t="s">
        <v>144</v>
      </c>
      <c r="I225" s="1" t="s">
        <v>65</v>
      </c>
      <c r="J225" s="1" t="s">
        <v>22</v>
      </c>
      <c r="K225" s="1">
        <v>14370</v>
      </c>
      <c r="L225" s="1">
        <v>7</v>
      </c>
      <c r="M225" s="1" t="s">
        <v>52</v>
      </c>
      <c r="N225" s="1" t="s">
        <v>33</v>
      </c>
    </row>
    <row r="226" spans="1:14">
      <c r="A226" s="1" t="s">
        <v>905</v>
      </c>
      <c r="B226" s="1" t="s">
        <v>906</v>
      </c>
      <c r="C226" s="1" t="s">
        <v>907</v>
      </c>
      <c r="D226" s="1" t="s">
        <v>908</v>
      </c>
      <c r="E226" s="1" t="s">
        <v>46</v>
      </c>
      <c r="F226" s="1" t="s">
        <v>109</v>
      </c>
      <c r="G226" s="1">
        <v>47</v>
      </c>
      <c r="H226" s="1" t="s">
        <v>48</v>
      </c>
      <c r="I226" s="1" t="s">
        <v>153</v>
      </c>
      <c r="J226" s="1" t="s">
        <v>210</v>
      </c>
      <c r="K226" s="1">
        <v>11185</v>
      </c>
      <c r="L226" s="1">
        <v>9</v>
      </c>
      <c r="M226" s="1" t="s">
        <v>24</v>
      </c>
      <c r="N226" s="1" t="s">
        <v>41</v>
      </c>
    </row>
    <row r="227" spans="1:14">
      <c r="A227" s="1" t="s">
        <v>909</v>
      </c>
      <c r="B227" s="1" t="s">
        <v>910</v>
      </c>
      <c r="C227" s="1" t="s">
        <v>911</v>
      </c>
      <c r="D227" s="1" t="s">
        <v>912</v>
      </c>
      <c r="E227" s="1" t="s">
        <v>357</v>
      </c>
      <c r="F227" s="1" t="s">
        <v>183</v>
      </c>
      <c r="G227" s="1">
        <v>89</v>
      </c>
      <c r="H227" s="1" t="s">
        <v>84</v>
      </c>
      <c r="I227" s="1" t="s">
        <v>153</v>
      </c>
      <c r="J227" s="1" t="s">
        <v>22</v>
      </c>
      <c r="K227" s="1">
        <v>14128</v>
      </c>
      <c r="L227" s="1">
        <v>2</v>
      </c>
      <c r="M227" s="1" t="s">
        <v>24</v>
      </c>
      <c r="N227" s="1" t="s">
        <v>23</v>
      </c>
    </row>
    <row r="228" spans="1:14">
      <c r="A228" s="1" t="s">
        <v>913</v>
      </c>
      <c r="B228" s="1" t="s">
        <v>392</v>
      </c>
      <c r="C228" s="1" t="s">
        <v>888</v>
      </c>
      <c r="D228" s="1" t="s">
        <v>80</v>
      </c>
      <c r="E228" s="1" t="s">
        <v>68</v>
      </c>
      <c r="F228" s="1" t="s">
        <v>69</v>
      </c>
      <c r="G228" s="1">
        <v>73</v>
      </c>
      <c r="H228" s="1" t="s">
        <v>144</v>
      </c>
      <c r="I228" s="1" t="s">
        <v>49</v>
      </c>
      <c r="J228" s="1" t="s">
        <v>22</v>
      </c>
      <c r="K228" s="1">
        <v>2696</v>
      </c>
      <c r="L228" s="1">
        <v>8</v>
      </c>
      <c r="M228" s="1" t="s">
        <v>23</v>
      </c>
      <c r="N228" s="1" t="s">
        <v>186</v>
      </c>
    </row>
    <row r="229" spans="1:14">
      <c r="A229" s="1" t="s">
        <v>914</v>
      </c>
      <c r="B229" s="1" t="s">
        <v>915</v>
      </c>
      <c r="C229" s="1" t="s">
        <v>601</v>
      </c>
      <c r="D229" s="1" t="s">
        <v>916</v>
      </c>
      <c r="E229" s="1" t="s">
        <v>29</v>
      </c>
      <c r="F229" s="1" t="s">
        <v>77</v>
      </c>
      <c r="G229" s="1">
        <v>33</v>
      </c>
      <c r="H229" s="1"/>
      <c r="I229" s="1" t="s">
        <v>127</v>
      </c>
      <c r="J229" s="1" t="s">
        <v>40</v>
      </c>
      <c r="K229" s="1">
        <v>8507</v>
      </c>
      <c r="L229" s="1">
        <v>11</v>
      </c>
      <c r="M229" s="1" t="s">
        <v>33</v>
      </c>
      <c r="N229" s="1" t="s">
        <v>23</v>
      </c>
    </row>
    <row r="230" spans="1:14">
      <c r="A230" s="1" t="s">
        <v>917</v>
      </c>
      <c r="B230" s="1" t="s">
        <v>918</v>
      </c>
      <c r="C230" s="1" t="s">
        <v>919</v>
      </c>
      <c r="D230" s="1" t="s">
        <v>293</v>
      </c>
      <c r="E230" s="1" t="s">
        <v>149</v>
      </c>
      <c r="F230" s="1" t="s">
        <v>199</v>
      </c>
      <c r="G230" s="1">
        <v>59</v>
      </c>
      <c r="H230" s="1" t="s">
        <v>58</v>
      </c>
      <c r="I230" s="1" t="s">
        <v>31</v>
      </c>
      <c r="J230" s="1" t="s">
        <v>230</v>
      </c>
      <c r="K230" s="1">
        <v>12539</v>
      </c>
      <c r="L230" s="1">
        <v>3</v>
      </c>
      <c r="M230" s="1">
        <v>1</v>
      </c>
      <c r="N230" s="1" t="s">
        <v>23</v>
      </c>
    </row>
    <row r="231" spans="1:14">
      <c r="A231" s="1" t="s">
        <v>920</v>
      </c>
      <c r="B231" s="1" t="s">
        <v>921</v>
      </c>
      <c r="C231" s="1" t="s">
        <v>922</v>
      </c>
      <c r="D231" s="1" t="s">
        <v>136</v>
      </c>
      <c r="E231" s="1" t="s">
        <v>149</v>
      </c>
      <c r="F231" s="1" t="s">
        <v>199</v>
      </c>
      <c r="G231" s="1">
        <v>84</v>
      </c>
      <c r="H231" s="1" t="s">
        <v>20</v>
      </c>
      <c r="I231" s="1" t="s">
        <v>31</v>
      </c>
      <c r="J231" s="1" t="s">
        <v>40</v>
      </c>
      <c r="K231" s="1" t="s">
        <v>923</v>
      </c>
      <c r="L231" s="1">
        <v>90</v>
      </c>
      <c r="M231" s="1" t="s">
        <v>33</v>
      </c>
      <c r="N231" s="1" t="s">
        <v>41</v>
      </c>
    </row>
    <row r="232" spans="1:14">
      <c r="A232" s="1" t="s">
        <v>924</v>
      </c>
      <c r="B232" s="1" t="s">
        <v>925</v>
      </c>
      <c r="C232" s="1"/>
      <c r="D232" s="1" t="s">
        <v>276</v>
      </c>
      <c r="E232" s="1" t="s">
        <v>64</v>
      </c>
      <c r="F232" s="1" t="s">
        <v>102</v>
      </c>
      <c r="G232" s="1">
        <v>65</v>
      </c>
      <c r="H232" s="1" t="s">
        <v>58</v>
      </c>
      <c r="I232" s="1" t="s">
        <v>110</v>
      </c>
      <c r="J232" s="1" t="s">
        <v>89</v>
      </c>
      <c r="K232" s="1" t="s">
        <v>926</v>
      </c>
      <c r="L232" s="1">
        <v>5</v>
      </c>
      <c r="M232" s="1" t="s">
        <v>24</v>
      </c>
      <c r="N232" s="1" t="s">
        <v>186</v>
      </c>
    </row>
    <row r="233" spans="1:14">
      <c r="A233" s="1" t="s">
        <v>927</v>
      </c>
      <c r="B233" s="1" t="s">
        <v>161</v>
      </c>
      <c r="C233" s="1"/>
      <c r="D233" s="1" t="s">
        <v>928</v>
      </c>
      <c r="E233" s="1" t="s">
        <v>149</v>
      </c>
      <c r="F233" s="1" t="s">
        <v>199</v>
      </c>
      <c r="G233" s="1">
        <v>89</v>
      </c>
      <c r="H233" s="1" t="s">
        <v>58</v>
      </c>
      <c r="I233" s="1" t="s">
        <v>49</v>
      </c>
      <c r="J233" s="1" t="s">
        <v>71</v>
      </c>
      <c r="K233" s="1">
        <v>11320</v>
      </c>
      <c r="L233" s="1">
        <v>17</v>
      </c>
      <c r="M233" s="1" t="s">
        <v>51</v>
      </c>
      <c r="N233" s="1" t="s">
        <v>186</v>
      </c>
    </row>
    <row r="234" spans="1:14">
      <c r="A234" s="1" t="s">
        <v>837</v>
      </c>
      <c r="B234" s="1" t="s">
        <v>838</v>
      </c>
      <c r="C234" s="1" t="s">
        <v>839</v>
      </c>
      <c r="D234" s="1" t="s">
        <v>365</v>
      </c>
      <c r="E234" s="1" t="s">
        <v>142</v>
      </c>
      <c r="F234" s="1" t="s">
        <v>143</v>
      </c>
      <c r="G234" s="1">
        <v>89</v>
      </c>
      <c r="H234" s="1" t="s">
        <v>144</v>
      </c>
      <c r="I234" s="1" t="s">
        <v>59</v>
      </c>
      <c r="J234" s="1" t="s">
        <v>71</v>
      </c>
      <c r="K234" s="1">
        <v>1280</v>
      </c>
      <c r="L234" s="1">
        <v>14</v>
      </c>
      <c r="M234" s="1" t="s">
        <v>33</v>
      </c>
      <c r="N234" s="1" t="s">
        <v>33</v>
      </c>
    </row>
    <row r="235" spans="1:14">
      <c r="A235" s="1" t="s">
        <v>929</v>
      </c>
      <c r="B235" s="1" t="s">
        <v>652</v>
      </c>
      <c r="C235" s="1" t="s">
        <v>930</v>
      </c>
      <c r="D235" s="1" t="s">
        <v>931</v>
      </c>
      <c r="E235" s="1" t="s">
        <v>18</v>
      </c>
      <c r="F235" s="1" t="s">
        <v>132</v>
      </c>
      <c r="G235" s="1">
        <v>64</v>
      </c>
      <c r="H235" s="1" t="s">
        <v>84</v>
      </c>
      <c r="I235" s="1" t="s">
        <v>153</v>
      </c>
      <c r="J235" s="1" t="s">
        <v>71</v>
      </c>
      <c r="K235" s="1">
        <v>3889</v>
      </c>
      <c r="L235" s="1">
        <v>2</v>
      </c>
      <c r="M235" s="1">
        <v>1</v>
      </c>
      <c r="N235" s="1" t="s">
        <v>33</v>
      </c>
    </row>
    <row r="236" spans="1:14">
      <c r="A236" s="1" t="s">
        <v>932</v>
      </c>
      <c r="B236" s="1" t="s">
        <v>933</v>
      </c>
      <c r="C236" s="1"/>
      <c r="D236" s="1" t="s">
        <v>852</v>
      </c>
      <c r="E236" s="1" t="s">
        <v>18</v>
      </c>
      <c r="F236" s="1" t="s">
        <v>83</v>
      </c>
      <c r="G236" s="1">
        <v>89</v>
      </c>
      <c r="H236" s="1" t="s">
        <v>70</v>
      </c>
      <c r="I236" s="1" t="s">
        <v>110</v>
      </c>
      <c r="J236" s="1" t="s">
        <v>32</v>
      </c>
      <c r="K236" s="1">
        <v>2919</v>
      </c>
      <c r="L236" s="1">
        <v>20</v>
      </c>
      <c r="M236" s="1" t="s">
        <v>23</v>
      </c>
      <c r="N236" s="1" t="s">
        <v>186</v>
      </c>
    </row>
    <row r="237" spans="1:14">
      <c r="A237" s="1" t="s">
        <v>934</v>
      </c>
      <c r="B237" s="1" t="s">
        <v>935</v>
      </c>
      <c r="C237" s="1" t="s">
        <v>907</v>
      </c>
      <c r="D237" s="1" t="s">
        <v>908</v>
      </c>
      <c r="E237" s="1" t="s">
        <v>149</v>
      </c>
      <c r="F237" s="1" t="s">
        <v>47</v>
      </c>
      <c r="G237" s="1">
        <v>34</v>
      </c>
      <c r="H237" s="1" t="s">
        <v>70</v>
      </c>
      <c r="I237" s="1" t="s">
        <v>49</v>
      </c>
      <c r="J237" s="1" t="s">
        <v>230</v>
      </c>
      <c r="K237" s="1">
        <v>6726</v>
      </c>
      <c r="L237" s="1">
        <v>9</v>
      </c>
      <c r="M237" s="1" t="s">
        <v>41</v>
      </c>
      <c r="N237" s="1" t="s">
        <v>33</v>
      </c>
    </row>
    <row r="238" spans="1:14">
      <c r="A238" s="1" t="s">
        <v>583</v>
      </c>
      <c r="B238" s="1" t="s">
        <v>584</v>
      </c>
      <c r="C238" s="1" t="s">
        <v>585</v>
      </c>
      <c r="D238" s="1" t="s">
        <v>586</v>
      </c>
      <c r="E238" s="1" t="s">
        <v>249</v>
      </c>
      <c r="F238" s="1" t="s">
        <v>114</v>
      </c>
      <c r="G238" s="1">
        <v>10</v>
      </c>
      <c r="H238" s="1" t="s">
        <v>144</v>
      </c>
      <c r="I238" s="1" t="s">
        <v>59</v>
      </c>
      <c r="J238" s="1" t="s">
        <v>40</v>
      </c>
      <c r="K238" s="1">
        <v>5103</v>
      </c>
      <c r="L238" s="1">
        <v>2</v>
      </c>
      <c r="M238" s="1" t="s">
        <v>33</v>
      </c>
      <c r="N238" s="1" t="s">
        <v>24</v>
      </c>
    </row>
    <row r="239" spans="1:14">
      <c r="A239" s="1" t="s">
        <v>936</v>
      </c>
      <c r="B239" s="1" t="s">
        <v>659</v>
      </c>
      <c r="C239" s="1" t="s">
        <v>803</v>
      </c>
      <c r="D239" s="1" t="s">
        <v>699</v>
      </c>
      <c r="E239" s="1" t="s">
        <v>137</v>
      </c>
      <c r="F239" s="1" t="s">
        <v>77</v>
      </c>
      <c r="G239" s="1" t="s">
        <v>937</v>
      </c>
      <c r="H239" s="1" t="s">
        <v>20</v>
      </c>
      <c r="I239" s="1" t="s">
        <v>49</v>
      </c>
      <c r="J239" s="1" t="s">
        <v>22</v>
      </c>
      <c r="K239" s="1">
        <v>4737</v>
      </c>
      <c r="L239" s="1">
        <v>9</v>
      </c>
      <c r="M239" s="1" t="s">
        <v>52</v>
      </c>
      <c r="N239" s="1" t="s">
        <v>52</v>
      </c>
    </row>
    <row r="240" spans="1:14">
      <c r="A240" s="1" t="s">
        <v>938</v>
      </c>
      <c r="B240" s="1" t="s">
        <v>939</v>
      </c>
      <c r="C240" s="1" t="s">
        <v>940</v>
      </c>
      <c r="D240" s="1" t="s">
        <v>941</v>
      </c>
      <c r="E240" s="1" t="s">
        <v>57</v>
      </c>
      <c r="F240" s="1" t="s">
        <v>19</v>
      </c>
      <c r="G240" s="1">
        <v>39</v>
      </c>
      <c r="H240" s="1" t="s">
        <v>84</v>
      </c>
      <c r="I240" s="1" t="s">
        <v>65</v>
      </c>
      <c r="J240" s="1" t="s">
        <v>22</v>
      </c>
      <c r="K240" s="1">
        <v>3521</v>
      </c>
      <c r="L240" s="1">
        <v>13</v>
      </c>
      <c r="M240" s="1">
        <v>0</v>
      </c>
      <c r="N240" s="1" t="s">
        <v>24</v>
      </c>
    </row>
    <row r="241" spans="1:14">
      <c r="A241" s="1" t="s">
        <v>942</v>
      </c>
      <c r="B241" s="1" t="s">
        <v>337</v>
      </c>
      <c r="C241" s="1" t="s">
        <v>943</v>
      </c>
      <c r="D241" s="1" t="s">
        <v>944</v>
      </c>
      <c r="E241" s="1" t="s">
        <v>149</v>
      </c>
      <c r="F241" s="1" t="s">
        <v>199</v>
      </c>
      <c r="G241" s="1">
        <v>33</v>
      </c>
      <c r="H241" s="1" t="s">
        <v>58</v>
      </c>
      <c r="I241" s="1" t="s">
        <v>49</v>
      </c>
      <c r="J241" s="1" t="s">
        <v>22</v>
      </c>
      <c r="K241" s="1">
        <v>3232</v>
      </c>
      <c r="L241" s="1">
        <v>2</v>
      </c>
      <c r="M241" s="1" t="s">
        <v>41</v>
      </c>
      <c r="N241" s="1" t="s">
        <v>23</v>
      </c>
    </row>
    <row r="242" spans="1:14">
      <c r="A242" s="1" t="s">
        <v>945</v>
      </c>
      <c r="B242" s="1" t="s">
        <v>872</v>
      </c>
      <c r="C242" s="1" t="s">
        <v>946</v>
      </c>
      <c r="D242" s="1" t="s">
        <v>947</v>
      </c>
      <c r="E242" s="1" t="s">
        <v>142</v>
      </c>
      <c r="F242" s="1" t="s">
        <v>143</v>
      </c>
      <c r="G242" s="1">
        <v>37</v>
      </c>
      <c r="H242" s="1" t="s">
        <v>48</v>
      </c>
      <c r="I242" s="1" t="s">
        <v>65</v>
      </c>
      <c r="J242" s="1" t="s">
        <v>89</v>
      </c>
      <c r="K242" s="1">
        <v>6522</v>
      </c>
      <c r="L242" s="1">
        <v>90</v>
      </c>
      <c r="M242" s="1" t="s">
        <v>51</v>
      </c>
      <c r="N242" s="1" t="s">
        <v>23</v>
      </c>
    </row>
    <row r="243" spans="1:14">
      <c r="A243" s="1" t="s">
        <v>948</v>
      </c>
      <c r="B243" s="1" t="s">
        <v>431</v>
      </c>
      <c r="C243" s="1" t="s">
        <v>949</v>
      </c>
      <c r="D243" s="1" t="s">
        <v>950</v>
      </c>
      <c r="E243" s="1" t="s">
        <v>64</v>
      </c>
      <c r="F243" s="1" t="s">
        <v>102</v>
      </c>
      <c r="G243" s="1">
        <v>19</v>
      </c>
      <c r="H243" s="1" t="s">
        <v>104</v>
      </c>
      <c r="I243" s="1" t="s">
        <v>65</v>
      </c>
      <c r="J243" s="1" t="s">
        <v>210</v>
      </c>
      <c r="K243" s="1" t="s">
        <v>951</v>
      </c>
      <c r="L243" s="1">
        <v>90</v>
      </c>
      <c r="M243" s="1" t="s">
        <v>51</v>
      </c>
      <c r="N243" s="1" t="s">
        <v>24</v>
      </c>
    </row>
    <row r="244" spans="1:14">
      <c r="A244" s="1" t="s">
        <v>952</v>
      </c>
      <c r="B244" s="1" t="s">
        <v>953</v>
      </c>
      <c r="C244" s="1" t="s">
        <v>954</v>
      </c>
      <c r="D244" s="1" t="s">
        <v>955</v>
      </c>
      <c r="E244" s="1" t="s">
        <v>137</v>
      </c>
      <c r="F244" s="1" t="s">
        <v>102</v>
      </c>
      <c r="G244" s="1">
        <v>68</v>
      </c>
      <c r="H244" s="1" t="s">
        <v>84</v>
      </c>
      <c r="I244" s="1" t="s">
        <v>153</v>
      </c>
      <c r="J244" s="1" t="s">
        <v>50</v>
      </c>
      <c r="K244" s="1">
        <v>7460</v>
      </c>
      <c r="L244" s="1">
        <v>4</v>
      </c>
      <c r="M244" s="1">
        <v>1</v>
      </c>
      <c r="N244" s="1" t="s">
        <v>41</v>
      </c>
    </row>
    <row r="245" spans="1:14">
      <c r="A245" s="1" t="s">
        <v>956</v>
      </c>
      <c r="B245" s="1" t="s">
        <v>360</v>
      </c>
      <c r="C245" s="1" t="s">
        <v>957</v>
      </c>
      <c r="D245" s="1" t="s">
        <v>958</v>
      </c>
      <c r="E245" s="1" t="s">
        <v>175</v>
      </c>
      <c r="F245" s="1" t="s">
        <v>209</v>
      </c>
      <c r="G245" s="1">
        <v>8</v>
      </c>
      <c r="H245" s="1" t="s">
        <v>48</v>
      </c>
      <c r="I245" s="1" t="s">
        <v>49</v>
      </c>
      <c r="J245" s="1" t="s">
        <v>210</v>
      </c>
      <c r="K245" s="1">
        <v>4472</v>
      </c>
      <c r="L245" s="1">
        <v>15</v>
      </c>
      <c r="M245" s="1">
        <v>1</v>
      </c>
      <c r="N245" s="1"/>
    </row>
    <row r="246" spans="1:14">
      <c r="A246" s="1" t="s">
        <v>959</v>
      </c>
      <c r="B246" s="1" t="s">
        <v>896</v>
      </c>
      <c r="C246" s="1" t="s">
        <v>960</v>
      </c>
      <c r="D246" s="1" t="s">
        <v>524</v>
      </c>
      <c r="E246" s="1"/>
      <c r="F246" s="1" t="s">
        <v>199</v>
      </c>
      <c r="G246" s="1">
        <v>40</v>
      </c>
      <c r="H246" s="1" t="s">
        <v>20</v>
      </c>
      <c r="I246" s="1" t="s">
        <v>21</v>
      </c>
      <c r="J246" s="1" t="s">
        <v>32</v>
      </c>
      <c r="K246" s="1">
        <v>1306</v>
      </c>
      <c r="L246" s="1">
        <v>11</v>
      </c>
      <c r="M246" s="1" t="s">
        <v>41</v>
      </c>
      <c r="N246" s="1" t="s">
        <v>186</v>
      </c>
    </row>
    <row r="247" spans="1:14">
      <c r="A247" s="1" t="s">
        <v>961</v>
      </c>
      <c r="B247" s="1" t="s">
        <v>112</v>
      </c>
      <c r="C247" s="1" t="s">
        <v>962</v>
      </c>
      <c r="D247" s="1" t="s">
        <v>963</v>
      </c>
      <c r="E247" s="1" t="s">
        <v>137</v>
      </c>
      <c r="F247" s="1" t="s">
        <v>30</v>
      </c>
      <c r="G247" s="1">
        <v>84</v>
      </c>
      <c r="H247" s="1" t="s">
        <v>104</v>
      </c>
      <c r="I247" s="1" t="s">
        <v>127</v>
      </c>
      <c r="J247" s="1" t="s">
        <v>230</v>
      </c>
      <c r="K247" s="1">
        <v>13571</v>
      </c>
      <c r="L247" s="1"/>
      <c r="M247" s="1">
        <v>0</v>
      </c>
      <c r="N247" s="1" t="s">
        <v>33</v>
      </c>
    </row>
    <row r="248" spans="1:14">
      <c r="A248" s="1" t="s">
        <v>964</v>
      </c>
      <c r="B248" s="1" t="s">
        <v>939</v>
      </c>
      <c r="C248" s="1" t="s">
        <v>965</v>
      </c>
      <c r="D248" s="1" t="s">
        <v>966</v>
      </c>
      <c r="E248" s="1" t="s">
        <v>18</v>
      </c>
      <c r="F248" s="1" t="s">
        <v>19</v>
      </c>
      <c r="G248" s="1">
        <v>25</v>
      </c>
      <c r="H248" s="1" t="s">
        <v>84</v>
      </c>
      <c r="I248" s="1" t="s">
        <v>49</v>
      </c>
      <c r="J248" s="1" t="s">
        <v>40</v>
      </c>
      <c r="K248" s="1">
        <v>13526</v>
      </c>
      <c r="L248" s="1">
        <v>90</v>
      </c>
      <c r="M248" s="1" t="s">
        <v>41</v>
      </c>
      <c r="N248" s="1" t="s">
        <v>33</v>
      </c>
    </row>
    <row r="249" spans="1:14">
      <c r="A249" s="1" t="s">
        <v>967</v>
      </c>
      <c r="B249" s="1" t="s">
        <v>788</v>
      </c>
      <c r="C249" s="1" t="s">
        <v>968</v>
      </c>
      <c r="D249" s="1" t="s">
        <v>969</v>
      </c>
      <c r="E249" s="1" t="s">
        <v>95</v>
      </c>
      <c r="F249" s="1" t="s">
        <v>96</v>
      </c>
      <c r="G249" s="1">
        <v>6</v>
      </c>
      <c r="H249" s="1" t="s">
        <v>20</v>
      </c>
      <c r="I249" s="1" t="s">
        <v>59</v>
      </c>
      <c r="J249" s="1" t="s">
        <v>22</v>
      </c>
      <c r="K249" s="1">
        <v>10608</v>
      </c>
      <c r="L249" s="1">
        <v>12</v>
      </c>
      <c r="M249" s="1" t="s">
        <v>41</v>
      </c>
      <c r="N249" s="1" t="s">
        <v>24</v>
      </c>
    </row>
    <row r="250" spans="1:14">
      <c r="A250" s="1" t="s">
        <v>970</v>
      </c>
      <c r="B250" s="1" t="s">
        <v>971</v>
      </c>
      <c r="C250" s="1" t="s">
        <v>972</v>
      </c>
      <c r="D250" s="1" t="s">
        <v>543</v>
      </c>
      <c r="E250" s="1" t="s">
        <v>95</v>
      </c>
      <c r="F250" s="1" t="s">
        <v>96</v>
      </c>
      <c r="G250" s="1">
        <v>2</v>
      </c>
      <c r="H250" s="1" t="s">
        <v>70</v>
      </c>
      <c r="I250" s="1" t="s">
        <v>49</v>
      </c>
      <c r="J250" s="1" t="s">
        <v>230</v>
      </c>
      <c r="K250" s="1">
        <v>3464</v>
      </c>
      <c r="L250" s="1">
        <v>14</v>
      </c>
      <c r="M250" s="1" t="s">
        <v>41</v>
      </c>
      <c r="N250" s="1" t="s">
        <v>41</v>
      </c>
    </row>
    <row r="251" spans="1:14">
      <c r="A251" s="1" t="s">
        <v>973</v>
      </c>
      <c r="B251" s="1" t="s">
        <v>974</v>
      </c>
      <c r="C251" s="1" t="s">
        <v>975</v>
      </c>
      <c r="D251" s="1" t="s">
        <v>700</v>
      </c>
      <c r="E251" s="1" t="s">
        <v>169</v>
      </c>
      <c r="F251" s="1" t="s">
        <v>143</v>
      </c>
      <c r="G251" s="1">
        <v>26</v>
      </c>
      <c r="H251" s="1" t="s">
        <v>144</v>
      </c>
      <c r="I251" s="1" t="s">
        <v>49</v>
      </c>
      <c r="J251" s="1" t="s">
        <v>40</v>
      </c>
      <c r="K251" s="1">
        <v>9385</v>
      </c>
      <c r="L251" s="1">
        <v>13</v>
      </c>
      <c r="M251" s="1" t="s">
        <v>51</v>
      </c>
      <c r="N251" s="1" t="s">
        <v>33</v>
      </c>
    </row>
    <row r="252" spans="1:14">
      <c r="A252" s="1" t="s">
        <v>976</v>
      </c>
      <c r="B252" s="1" t="s">
        <v>977</v>
      </c>
      <c r="C252" s="1" t="s">
        <v>978</v>
      </c>
      <c r="D252" s="1" t="s">
        <v>979</v>
      </c>
      <c r="E252" s="1" t="s">
        <v>18</v>
      </c>
      <c r="F252" s="1" t="s">
        <v>19</v>
      </c>
      <c r="G252" s="1">
        <v>93</v>
      </c>
      <c r="H252" s="1" t="s">
        <v>48</v>
      </c>
      <c r="I252" s="1"/>
      <c r="J252" s="1" t="s">
        <v>22</v>
      </c>
      <c r="K252" s="1" t="s">
        <v>358</v>
      </c>
      <c r="L252" s="1">
        <v>1</v>
      </c>
      <c r="M252" s="1" t="s">
        <v>33</v>
      </c>
      <c r="N252" s="1" t="s">
        <v>24</v>
      </c>
    </row>
    <row r="253" spans="1:14">
      <c r="A253" s="1" t="s">
        <v>980</v>
      </c>
      <c r="B253" s="1" t="s">
        <v>188</v>
      </c>
      <c r="C253" s="1" t="s">
        <v>981</v>
      </c>
      <c r="D253" s="1" t="s">
        <v>492</v>
      </c>
      <c r="E253" s="1" t="s">
        <v>149</v>
      </c>
      <c r="F253" s="1" t="s">
        <v>109</v>
      </c>
      <c r="G253" s="1">
        <v>29</v>
      </c>
      <c r="H253" s="1" t="s">
        <v>104</v>
      </c>
      <c r="I253" s="1" t="s">
        <v>31</v>
      </c>
      <c r="J253" s="1" t="s">
        <v>89</v>
      </c>
      <c r="K253" s="1" t="s">
        <v>982</v>
      </c>
      <c r="L253" s="1">
        <v>2</v>
      </c>
      <c r="M253" s="1" t="s">
        <v>33</v>
      </c>
      <c r="N253" s="1" t="s">
        <v>33</v>
      </c>
    </row>
    <row r="254" spans="1:14">
      <c r="A254" s="1" t="s">
        <v>983</v>
      </c>
      <c r="B254" s="1" t="s">
        <v>177</v>
      </c>
      <c r="C254" s="1" t="s">
        <v>984</v>
      </c>
      <c r="D254" s="1" t="s">
        <v>985</v>
      </c>
      <c r="E254" s="1"/>
      <c r="F254" s="1" t="s">
        <v>114</v>
      </c>
      <c r="G254" s="1">
        <v>1</v>
      </c>
      <c r="H254" s="1" t="s">
        <v>70</v>
      </c>
      <c r="I254" s="1" t="s">
        <v>21</v>
      </c>
      <c r="J254" s="1" t="s">
        <v>50</v>
      </c>
      <c r="K254" s="1">
        <v>14126</v>
      </c>
      <c r="L254" s="1">
        <v>12</v>
      </c>
      <c r="M254" s="1" t="s">
        <v>52</v>
      </c>
      <c r="N254" s="1" t="s">
        <v>186</v>
      </c>
    </row>
    <row r="255" spans="1:14">
      <c r="A255" s="1" t="s">
        <v>986</v>
      </c>
      <c r="B255" s="1" t="s">
        <v>987</v>
      </c>
      <c r="C255" s="1" t="s">
        <v>296</v>
      </c>
      <c r="D255" s="1" t="s">
        <v>988</v>
      </c>
      <c r="E255" s="1" t="s">
        <v>18</v>
      </c>
      <c r="F255" s="1" t="s">
        <v>19</v>
      </c>
      <c r="G255" s="1">
        <v>94</v>
      </c>
      <c r="H255" s="1" t="s">
        <v>70</v>
      </c>
      <c r="I255" s="1" t="s">
        <v>127</v>
      </c>
      <c r="J255" s="1" t="s">
        <v>89</v>
      </c>
      <c r="K255" s="1">
        <v>6550</v>
      </c>
      <c r="L255" s="1">
        <v>11</v>
      </c>
      <c r="M255" s="1" t="s">
        <v>23</v>
      </c>
      <c r="N255" s="1" t="s">
        <v>41</v>
      </c>
    </row>
    <row r="256" spans="1:14">
      <c r="A256" s="1" t="s">
        <v>989</v>
      </c>
      <c r="B256" s="1" t="s">
        <v>990</v>
      </c>
      <c r="C256" s="1" t="s">
        <v>991</v>
      </c>
      <c r="D256" s="1" t="s">
        <v>338</v>
      </c>
      <c r="E256" s="1" t="s">
        <v>249</v>
      </c>
      <c r="F256" s="1" t="s">
        <v>96</v>
      </c>
      <c r="G256" s="1">
        <v>14</v>
      </c>
      <c r="H256" s="1" t="s">
        <v>20</v>
      </c>
      <c r="I256" s="1" t="s">
        <v>153</v>
      </c>
      <c r="J256" s="1" t="s">
        <v>210</v>
      </c>
      <c r="K256" s="1">
        <v>11359</v>
      </c>
      <c r="L256" s="1">
        <v>11</v>
      </c>
      <c r="M256" s="1" t="s">
        <v>23</v>
      </c>
      <c r="N256" s="1" t="s">
        <v>24</v>
      </c>
    </row>
    <row r="257" spans="1:14">
      <c r="A257" s="1" t="s">
        <v>992</v>
      </c>
      <c r="B257" s="1" t="s">
        <v>993</v>
      </c>
      <c r="C257" s="1" t="s">
        <v>994</v>
      </c>
      <c r="D257" s="1" t="s">
        <v>946</v>
      </c>
      <c r="E257" s="1" t="s">
        <v>357</v>
      </c>
      <c r="F257" s="1" t="s">
        <v>126</v>
      </c>
      <c r="G257" s="1">
        <v>31</v>
      </c>
      <c r="H257" s="1" t="s">
        <v>84</v>
      </c>
      <c r="I257" s="1" t="s">
        <v>110</v>
      </c>
      <c r="J257" s="1" t="s">
        <v>71</v>
      </c>
      <c r="K257" s="1">
        <v>2390</v>
      </c>
      <c r="L257" s="1">
        <v>12</v>
      </c>
      <c r="M257" s="1" t="s">
        <v>41</v>
      </c>
      <c r="N257" s="1" t="s">
        <v>186</v>
      </c>
    </row>
    <row r="258" spans="1:14">
      <c r="A258" s="1" t="s">
        <v>995</v>
      </c>
      <c r="B258" s="1" t="s">
        <v>996</v>
      </c>
      <c r="C258" s="1" t="s">
        <v>997</v>
      </c>
      <c r="D258" s="1" t="s">
        <v>771</v>
      </c>
      <c r="E258" s="1" t="s">
        <v>149</v>
      </c>
      <c r="F258" s="1" t="s">
        <v>47</v>
      </c>
      <c r="G258" s="1" t="s">
        <v>998</v>
      </c>
      <c r="H258" s="1" t="s">
        <v>144</v>
      </c>
      <c r="I258" s="1" t="s">
        <v>49</v>
      </c>
      <c r="J258" s="1" t="s">
        <v>40</v>
      </c>
      <c r="K258" s="1">
        <v>1499</v>
      </c>
      <c r="L258" s="1">
        <v>2</v>
      </c>
      <c r="M258" s="1" t="s">
        <v>52</v>
      </c>
      <c r="N258" s="1" t="s">
        <v>186</v>
      </c>
    </row>
    <row r="259" spans="1:14">
      <c r="A259" s="1" t="s">
        <v>999</v>
      </c>
      <c r="B259" s="1" t="s">
        <v>1000</v>
      </c>
      <c r="C259" s="1" t="s">
        <v>653</v>
      </c>
      <c r="D259" s="1" t="s">
        <v>1001</v>
      </c>
      <c r="E259" s="1" t="s">
        <v>18</v>
      </c>
      <c r="F259" s="1" t="s">
        <v>132</v>
      </c>
      <c r="G259" s="1">
        <v>30</v>
      </c>
      <c r="H259" s="1" t="s">
        <v>58</v>
      </c>
      <c r="I259" s="1" t="s">
        <v>65</v>
      </c>
      <c r="J259" s="1" t="s">
        <v>22</v>
      </c>
      <c r="K259" s="1" t="s">
        <v>1002</v>
      </c>
      <c r="L259" s="1">
        <v>16</v>
      </c>
      <c r="M259" s="1" t="s">
        <v>52</v>
      </c>
      <c r="N259" s="1" t="s">
        <v>23</v>
      </c>
    </row>
    <row r="260" spans="1:14">
      <c r="A260" s="1" t="s">
        <v>1003</v>
      </c>
      <c r="B260" s="1" t="s">
        <v>1004</v>
      </c>
      <c r="C260" s="1"/>
      <c r="D260" s="1" t="s">
        <v>1005</v>
      </c>
      <c r="E260" s="1" t="s">
        <v>149</v>
      </c>
      <c r="F260" s="1" t="s">
        <v>199</v>
      </c>
      <c r="G260" s="1">
        <v>68</v>
      </c>
      <c r="H260" s="1" t="s">
        <v>104</v>
      </c>
      <c r="I260" s="1" t="s">
        <v>65</v>
      </c>
      <c r="J260" s="1" t="s">
        <v>22</v>
      </c>
      <c r="K260" s="1" t="s">
        <v>1006</v>
      </c>
      <c r="L260" s="1">
        <v>10</v>
      </c>
      <c r="M260" s="1" t="s">
        <v>51</v>
      </c>
      <c r="N260" s="1" t="s">
        <v>33</v>
      </c>
    </row>
    <row r="261" spans="1:14">
      <c r="A261" s="1" t="s">
        <v>1007</v>
      </c>
      <c r="B261" s="1" t="s">
        <v>1008</v>
      </c>
      <c r="C261" s="1" t="s">
        <v>1009</v>
      </c>
      <c r="D261" s="1" t="s">
        <v>1010</v>
      </c>
      <c r="E261" s="1" t="s">
        <v>57</v>
      </c>
      <c r="F261" s="1" t="s">
        <v>132</v>
      </c>
      <c r="G261" s="1">
        <v>36</v>
      </c>
      <c r="H261" s="1" t="s">
        <v>104</v>
      </c>
      <c r="I261" s="1" t="s">
        <v>21</v>
      </c>
      <c r="J261" s="1" t="s">
        <v>40</v>
      </c>
      <c r="K261" s="1">
        <v>4743</v>
      </c>
      <c r="L261" s="1">
        <v>10</v>
      </c>
      <c r="M261" s="1">
        <v>0</v>
      </c>
      <c r="N261" s="1" t="s">
        <v>41</v>
      </c>
    </row>
    <row r="262" spans="1:14">
      <c r="A262" s="1" t="s">
        <v>1011</v>
      </c>
      <c r="B262" s="1" t="s">
        <v>1012</v>
      </c>
      <c r="C262" s="1" t="s">
        <v>1013</v>
      </c>
      <c r="D262" s="1" t="s">
        <v>566</v>
      </c>
      <c r="E262" s="1" t="s">
        <v>68</v>
      </c>
      <c r="F262" s="1" t="s">
        <v>183</v>
      </c>
      <c r="G262" s="1">
        <v>47</v>
      </c>
      <c r="H262" s="1" t="s">
        <v>20</v>
      </c>
      <c r="I262" s="1" t="s">
        <v>59</v>
      </c>
      <c r="J262" s="1" t="s">
        <v>89</v>
      </c>
      <c r="K262" s="1">
        <v>13115</v>
      </c>
      <c r="L262" s="1">
        <v>16</v>
      </c>
      <c r="M262" s="1" t="s">
        <v>41</v>
      </c>
      <c r="N262" s="1" t="s">
        <v>24</v>
      </c>
    </row>
    <row r="263" spans="1:14">
      <c r="A263" s="1" t="s">
        <v>1014</v>
      </c>
      <c r="B263" s="1" t="s">
        <v>833</v>
      </c>
      <c r="C263" s="1" t="s">
        <v>1015</v>
      </c>
      <c r="D263" s="1" t="s">
        <v>850</v>
      </c>
      <c r="E263" s="1" t="s">
        <v>249</v>
      </c>
      <c r="F263" s="1" t="s">
        <v>96</v>
      </c>
      <c r="G263" s="1">
        <v>13</v>
      </c>
      <c r="H263" s="1" t="s">
        <v>104</v>
      </c>
      <c r="I263" s="1" t="s">
        <v>115</v>
      </c>
      <c r="J263" s="1" t="s">
        <v>210</v>
      </c>
      <c r="K263" s="1">
        <v>11725</v>
      </c>
      <c r="L263" s="1">
        <v>6</v>
      </c>
      <c r="M263" s="1">
        <v>1</v>
      </c>
      <c r="N263" s="1" t="s">
        <v>24</v>
      </c>
    </row>
    <row r="264" spans="1:14">
      <c r="A264" s="1" t="s">
        <v>1016</v>
      </c>
      <c r="B264" s="1" t="s">
        <v>1017</v>
      </c>
      <c r="C264" s="1" t="s">
        <v>87</v>
      </c>
      <c r="D264" s="1" t="s">
        <v>1018</v>
      </c>
      <c r="E264" s="1" t="s">
        <v>182</v>
      </c>
      <c r="F264" s="1" t="s">
        <v>183</v>
      </c>
      <c r="G264" s="1">
        <v>40</v>
      </c>
      <c r="H264" s="1" t="s">
        <v>20</v>
      </c>
      <c r="I264" s="1" t="s">
        <v>65</v>
      </c>
      <c r="J264" s="1" t="s">
        <v>50</v>
      </c>
      <c r="K264" s="1">
        <v>8396</v>
      </c>
      <c r="L264" s="1">
        <v>10</v>
      </c>
      <c r="M264" s="1" t="s">
        <v>41</v>
      </c>
      <c r="N264" s="1" t="s">
        <v>33</v>
      </c>
    </row>
    <row r="265" spans="1:14">
      <c r="A265" s="1" t="s">
        <v>1019</v>
      </c>
      <c r="B265" s="1" t="s">
        <v>628</v>
      </c>
      <c r="C265" s="1" t="s">
        <v>1020</v>
      </c>
      <c r="D265" s="1" t="s">
        <v>1021</v>
      </c>
      <c r="E265" s="1" t="s">
        <v>46</v>
      </c>
      <c r="F265" s="1" t="s">
        <v>109</v>
      </c>
      <c r="G265" s="1">
        <v>27</v>
      </c>
      <c r="H265" s="1" t="s">
        <v>20</v>
      </c>
      <c r="I265" s="1" t="s">
        <v>49</v>
      </c>
      <c r="J265" s="1" t="s">
        <v>89</v>
      </c>
      <c r="K265" s="1">
        <v>2527</v>
      </c>
      <c r="L265" s="1">
        <v>1</v>
      </c>
      <c r="M265" s="1" t="s">
        <v>41</v>
      </c>
      <c r="N265" s="1" t="s">
        <v>24</v>
      </c>
    </row>
    <row r="266" spans="1:14">
      <c r="A266" s="1" t="s">
        <v>1022</v>
      </c>
      <c r="B266" s="1" t="s">
        <v>838</v>
      </c>
      <c r="C266" s="1" t="s">
        <v>1023</v>
      </c>
      <c r="D266" s="1"/>
      <c r="E266" s="1" t="s">
        <v>64</v>
      </c>
      <c r="F266" s="1" t="s">
        <v>102</v>
      </c>
      <c r="G266" s="1">
        <v>21</v>
      </c>
      <c r="H266" s="1" t="s">
        <v>48</v>
      </c>
      <c r="I266" s="1" t="s">
        <v>115</v>
      </c>
      <c r="J266" s="1" t="s">
        <v>50</v>
      </c>
      <c r="K266" s="1">
        <v>9649</v>
      </c>
      <c r="L266" s="1">
        <v>16</v>
      </c>
      <c r="M266" s="1">
        <v>1</v>
      </c>
      <c r="N266" s="1" t="s">
        <v>186</v>
      </c>
    </row>
    <row r="267" spans="1:14">
      <c r="A267" s="1" t="s">
        <v>1024</v>
      </c>
      <c r="B267" s="1" t="s">
        <v>1025</v>
      </c>
      <c r="C267" s="1" t="s">
        <v>1026</v>
      </c>
      <c r="D267" s="1" t="s">
        <v>1027</v>
      </c>
      <c r="E267" s="1" t="s">
        <v>57</v>
      </c>
      <c r="F267" s="1" t="s">
        <v>132</v>
      </c>
      <c r="G267" s="1" t="s">
        <v>1028</v>
      </c>
      <c r="H267" s="1" t="s">
        <v>144</v>
      </c>
      <c r="I267" s="1" t="s">
        <v>127</v>
      </c>
      <c r="J267" s="1" t="s">
        <v>32</v>
      </c>
      <c r="K267" s="1">
        <v>9711</v>
      </c>
      <c r="L267" s="1">
        <v>1</v>
      </c>
      <c r="M267" s="1">
        <v>0</v>
      </c>
      <c r="N267" s="1" t="s">
        <v>52</v>
      </c>
    </row>
    <row r="268" spans="1:14">
      <c r="A268" s="1" t="s">
        <v>1029</v>
      </c>
      <c r="B268" s="1" t="s">
        <v>1030</v>
      </c>
      <c r="C268" s="1" t="s">
        <v>546</v>
      </c>
      <c r="D268" s="1" t="s">
        <v>492</v>
      </c>
      <c r="E268" s="1" t="s">
        <v>64</v>
      </c>
      <c r="F268" s="1" t="s">
        <v>77</v>
      </c>
      <c r="G268" s="1">
        <v>87</v>
      </c>
      <c r="H268" s="1" t="s">
        <v>104</v>
      </c>
      <c r="I268" s="1" t="s">
        <v>65</v>
      </c>
      <c r="J268" s="1" t="s">
        <v>89</v>
      </c>
      <c r="K268" s="1">
        <v>3002</v>
      </c>
      <c r="L268" s="1">
        <v>3</v>
      </c>
      <c r="M268" s="1">
        <v>0</v>
      </c>
      <c r="N268" s="1" t="s">
        <v>186</v>
      </c>
    </row>
    <row r="269" spans="1:14">
      <c r="A269" s="1" t="s">
        <v>1031</v>
      </c>
      <c r="B269" s="1" t="s">
        <v>188</v>
      </c>
      <c r="C269" s="1" t="s">
        <v>1032</v>
      </c>
      <c r="D269" s="1" t="s">
        <v>16</v>
      </c>
      <c r="E269" s="1" t="s">
        <v>175</v>
      </c>
      <c r="F269" s="1" t="s">
        <v>96</v>
      </c>
      <c r="G269" s="1">
        <v>150</v>
      </c>
      <c r="H269" s="1" t="s">
        <v>144</v>
      </c>
      <c r="I269" s="1" t="s">
        <v>59</v>
      </c>
      <c r="J269" s="1" t="s">
        <v>89</v>
      </c>
      <c r="K269" s="1">
        <v>8134</v>
      </c>
      <c r="L269" s="1" t="s">
        <v>1033</v>
      </c>
      <c r="M269" s="1">
        <v>0</v>
      </c>
      <c r="N269" s="1" t="s">
        <v>24</v>
      </c>
    </row>
    <row r="270" spans="1:14">
      <c r="A270" s="1" t="s">
        <v>1034</v>
      </c>
      <c r="B270" s="1" t="s">
        <v>722</v>
      </c>
      <c r="C270" s="1" t="s">
        <v>325</v>
      </c>
      <c r="D270" s="1" t="s">
        <v>988</v>
      </c>
      <c r="E270" s="1" t="s">
        <v>415</v>
      </c>
      <c r="F270" s="1" t="s">
        <v>114</v>
      </c>
      <c r="G270" s="1">
        <v>10</v>
      </c>
      <c r="H270" s="1" t="s">
        <v>70</v>
      </c>
      <c r="I270" s="1" t="s">
        <v>110</v>
      </c>
      <c r="J270" s="1" t="s">
        <v>32</v>
      </c>
      <c r="K270" s="1">
        <v>872</v>
      </c>
      <c r="L270" s="1">
        <v>19</v>
      </c>
      <c r="M270" s="1" t="s">
        <v>52</v>
      </c>
      <c r="N270" s="1" t="s">
        <v>23</v>
      </c>
    </row>
    <row r="271" spans="1:14">
      <c r="A271" s="1" t="s">
        <v>1035</v>
      </c>
      <c r="B271" s="1" t="s">
        <v>690</v>
      </c>
      <c r="C271" s="1" t="s">
        <v>585</v>
      </c>
      <c r="D271" s="1" t="s">
        <v>1036</v>
      </c>
      <c r="E271" s="1" t="s">
        <v>149</v>
      </c>
      <c r="F271" s="1" t="s">
        <v>47</v>
      </c>
      <c r="G271" s="1">
        <v>76</v>
      </c>
      <c r="H271" s="1" t="s">
        <v>144</v>
      </c>
      <c r="I271" s="1" t="s">
        <v>31</v>
      </c>
      <c r="J271" s="1" t="s">
        <v>22</v>
      </c>
      <c r="K271" s="1">
        <v>6381</v>
      </c>
      <c r="L271" s="1">
        <v>19</v>
      </c>
      <c r="M271" s="1" t="s">
        <v>41</v>
      </c>
      <c r="N271" s="1" t="s">
        <v>52</v>
      </c>
    </row>
    <row r="272" spans="1:14">
      <c r="A272" s="1" t="s">
        <v>1037</v>
      </c>
      <c r="B272" s="1" t="s">
        <v>1038</v>
      </c>
      <c r="C272" s="1" t="s">
        <v>1039</v>
      </c>
      <c r="D272" s="1" t="s">
        <v>1040</v>
      </c>
      <c r="E272" s="1" t="s">
        <v>142</v>
      </c>
      <c r="F272" s="1" t="s">
        <v>39</v>
      </c>
      <c r="G272" s="1">
        <v>72</v>
      </c>
      <c r="H272" s="1" t="s">
        <v>70</v>
      </c>
      <c r="I272" s="1" t="s">
        <v>127</v>
      </c>
      <c r="J272" s="1" t="s">
        <v>32</v>
      </c>
      <c r="K272" s="1">
        <v>3982</v>
      </c>
      <c r="L272" s="1">
        <v>6</v>
      </c>
      <c r="M272" s="1" t="s">
        <v>24</v>
      </c>
      <c r="N272" s="1" t="s">
        <v>23</v>
      </c>
    </row>
    <row r="273" spans="1:14">
      <c r="A273" s="1" t="s">
        <v>764</v>
      </c>
      <c r="B273" s="1" t="s">
        <v>765</v>
      </c>
      <c r="C273" s="1" t="s">
        <v>766</v>
      </c>
      <c r="D273" s="1" t="s">
        <v>767</v>
      </c>
      <c r="E273" s="1" t="s">
        <v>18</v>
      </c>
      <c r="F273" s="1" t="s">
        <v>19</v>
      </c>
      <c r="G273" s="1">
        <v>62</v>
      </c>
      <c r="H273" s="1" t="s">
        <v>84</v>
      </c>
      <c r="I273" s="1" t="s">
        <v>49</v>
      </c>
      <c r="J273" s="1" t="s">
        <v>89</v>
      </c>
      <c r="K273" s="1">
        <v>750000</v>
      </c>
      <c r="L273" s="1">
        <v>8</v>
      </c>
      <c r="M273" s="1" t="s">
        <v>51</v>
      </c>
      <c r="N273" s="1" t="s">
        <v>33</v>
      </c>
    </row>
    <row r="274" spans="1:14">
      <c r="A274" s="1" t="s">
        <v>587</v>
      </c>
      <c r="B274" s="1" t="s">
        <v>588</v>
      </c>
      <c r="C274" s="1"/>
      <c r="D274" s="1" t="s">
        <v>589</v>
      </c>
      <c r="E274" s="1" t="s">
        <v>149</v>
      </c>
      <c r="F274" s="1" t="s">
        <v>109</v>
      </c>
      <c r="G274" s="1">
        <v>53</v>
      </c>
      <c r="H274" s="1" t="s">
        <v>84</v>
      </c>
      <c r="I274" s="1" t="s">
        <v>127</v>
      </c>
      <c r="J274" s="1" t="s">
        <v>89</v>
      </c>
      <c r="K274" s="1" t="s">
        <v>590</v>
      </c>
      <c r="L274" s="1">
        <v>11</v>
      </c>
      <c r="M274" s="1">
        <v>0</v>
      </c>
      <c r="N274" s="1" t="s">
        <v>23</v>
      </c>
    </row>
    <row r="275" spans="1:14">
      <c r="A275" s="1" t="s">
        <v>1041</v>
      </c>
      <c r="B275" s="1" t="s">
        <v>1042</v>
      </c>
      <c r="C275" s="1" t="s">
        <v>101</v>
      </c>
      <c r="D275" s="1" t="s">
        <v>1043</v>
      </c>
      <c r="E275" s="1" t="s">
        <v>182</v>
      </c>
      <c r="F275" s="1" t="s">
        <v>126</v>
      </c>
      <c r="G275" s="1">
        <v>25</v>
      </c>
      <c r="H275" s="1" t="s">
        <v>58</v>
      </c>
      <c r="I275" s="1" t="s">
        <v>65</v>
      </c>
      <c r="J275" s="1" t="s">
        <v>210</v>
      </c>
      <c r="K275" s="1">
        <v>1458</v>
      </c>
      <c r="L275" s="1" t="s">
        <v>303</v>
      </c>
      <c r="M275" s="1">
        <v>0</v>
      </c>
      <c r="N275" s="1" t="s">
        <v>24</v>
      </c>
    </row>
    <row r="276" spans="1:14">
      <c r="A276" s="1" t="s">
        <v>1044</v>
      </c>
      <c r="B276" s="1" t="s">
        <v>734</v>
      </c>
      <c r="C276" s="1" t="s">
        <v>396</v>
      </c>
      <c r="D276" s="1" t="s">
        <v>492</v>
      </c>
      <c r="E276" s="1" t="s">
        <v>95</v>
      </c>
      <c r="F276" s="1" t="s">
        <v>114</v>
      </c>
      <c r="G276" s="1">
        <v>10</v>
      </c>
      <c r="H276" s="1" t="s">
        <v>48</v>
      </c>
      <c r="I276" s="1" t="s">
        <v>65</v>
      </c>
      <c r="J276" s="1" t="s">
        <v>40</v>
      </c>
      <c r="K276" s="1">
        <v>8628</v>
      </c>
      <c r="L276" s="1">
        <v>13</v>
      </c>
      <c r="M276" s="1">
        <v>0</v>
      </c>
      <c r="N276" s="1" t="s">
        <v>33</v>
      </c>
    </row>
    <row r="277" spans="1:14">
      <c r="A277" s="1" t="s">
        <v>1045</v>
      </c>
      <c r="B277" s="1" t="s">
        <v>1046</v>
      </c>
      <c r="C277" s="1" t="s">
        <v>429</v>
      </c>
      <c r="D277" s="1" t="s">
        <v>1047</v>
      </c>
      <c r="E277" s="1" t="s">
        <v>142</v>
      </c>
      <c r="F277" s="1" t="s">
        <v>164</v>
      </c>
      <c r="G277" s="1">
        <v>79</v>
      </c>
      <c r="H277" s="1" t="s">
        <v>84</v>
      </c>
      <c r="I277" s="1" t="s">
        <v>59</v>
      </c>
      <c r="J277" s="1" t="s">
        <v>22</v>
      </c>
      <c r="K277" s="1">
        <v>3598</v>
      </c>
      <c r="L277" s="1">
        <v>5</v>
      </c>
      <c r="M277" s="1" t="s">
        <v>41</v>
      </c>
      <c r="N277" s="1" t="s">
        <v>186</v>
      </c>
    </row>
    <row r="278" spans="1:14">
      <c r="A278" s="1" t="s">
        <v>1048</v>
      </c>
      <c r="B278" s="1" t="s">
        <v>625</v>
      </c>
      <c r="C278" s="1" t="s">
        <v>325</v>
      </c>
      <c r="D278" s="1" t="s">
        <v>1049</v>
      </c>
      <c r="E278" s="1" t="s">
        <v>175</v>
      </c>
      <c r="F278" s="1" t="s">
        <v>96</v>
      </c>
      <c r="G278" s="1">
        <v>17</v>
      </c>
      <c r="H278" s="1" t="s">
        <v>104</v>
      </c>
      <c r="I278" s="1" t="s">
        <v>49</v>
      </c>
      <c r="J278" s="1" t="s">
        <v>40</v>
      </c>
      <c r="K278" s="1" t="s">
        <v>358</v>
      </c>
      <c r="L278" s="1">
        <v>13</v>
      </c>
      <c r="M278" s="1" t="s">
        <v>41</v>
      </c>
      <c r="N278" s="1" t="s">
        <v>24</v>
      </c>
    </row>
    <row r="279" spans="1:14">
      <c r="A279" s="1" t="s">
        <v>1050</v>
      </c>
      <c r="B279" s="1" t="s">
        <v>1051</v>
      </c>
      <c r="C279" s="1" t="s">
        <v>1052</v>
      </c>
      <c r="D279" s="1" t="s">
        <v>1053</v>
      </c>
      <c r="E279" s="1" t="s">
        <v>64</v>
      </c>
      <c r="F279" s="1" t="s">
        <v>77</v>
      </c>
      <c r="G279" s="1">
        <v>34</v>
      </c>
      <c r="H279" s="1" t="s">
        <v>20</v>
      </c>
      <c r="I279" s="1" t="s">
        <v>110</v>
      </c>
      <c r="J279" s="1" t="s">
        <v>71</v>
      </c>
      <c r="K279" s="1"/>
      <c r="L279" s="1">
        <v>2</v>
      </c>
      <c r="M279" s="1" t="s">
        <v>51</v>
      </c>
      <c r="N279" s="1" t="s">
        <v>33</v>
      </c>
    </row>
    <row r="280" spans="1:14">
      <c r="A280" s="1" t="s">
        <v>85</v>
      </c>
      <c r="B280" s="1" t="s">
        <v>86</v>
      </c>
      <c r="C280" s="1" t="s">
        <v>87</v>
      </c>
      <c r="D280" s="1" t="s">
        <v>88</v>
      </c>
      <c r="E280" s="1" t="s">
        <v>120</v>
      </c>
      <c r="F280" s="1" t="s">
        <v>39</v>
      </c>
      <c r="G280" s="1">
        <v>78</v>
      </c>
      <c r="H280" s="1" t="s">
        <v>84</v>
      </c>
      <c r="I280" s="1" t="s">
        <v>59</v>
      </c>
      <c r="J280" s="1" t="s">
        <v>89</v>
      </c>
      <c r="K280" s="1">
        <v>9999</v>
      </c>
      <c r="L280" s="1">
        <v>3</v>
      </c>
      <c r="M280" s="1" t="s">
        <v>23</v>
      </c>
      <c r="N280" s="1" t="s">
        <v>23</v>
      </c>
    </row>
    <row r="281" spans="1:14">
      <c r="A281" s="1" t="s">
        <v>1054</v>
      </c>
      <c r="B281" s="1" t="s">
        <v>1055</v>
      </c>
      <c r="C281" s="1" t="s">
        <v>152</v>
      </c>
      <c r="D281" s="1" t="s">
        <v>1056</v>
      </c>
      <c r="E281" s="1" t="s">
        <v>120</v>
      </c>
      <c r="F281" s="1" t="s">
        <v>143</v>
      </c>
      <c r="G281" s="1">
        <v>25</v>
      </c>
      <c r="H281" s="1" t="s">
        <v>58</v>
      </c>
      <c r="I281" s="1" t="s">
        <v>65</v>
      </c>
      <c r="J281" s="1" t="s">
        <v>40</v>
      </c>
      <c r="K281" s="1">
        <v>856</v>
      </c>
      <c r="L281" s="1">
        <v>17</v>
      </c>
      <c r="M281" s="1" t="s">
        <v>33</v>
      </c>
      <c r="N281" s="1" t="s">
        <v>41</v>
      </c>
    </row>
    <row r="282" spans="1:14">
      <c r="A282" s="1" t="s">
        <v>1057</v>
      </c>
      <c r="B282" s="1" t="s">
        <v>1058</v>
      </c>
      <c r="C282" s="1" t="s">
        <v>315</v>
      </c>
      <c r="D282" s="1" t="s">
        <v>903</v>
      </c>
      <c r="E282" s="1" t="s">
        <v>120</v>
      </c>
      <c r="F282" s="1" t="s">
        <v>39</v>
      </c>
      <c r="G282" s="1">
        <v>78</v>
      </c>
      <c r="H282" s="1" t="s">
        <v>58</v>
      </c>
      <c r="I282" s="1" t="s">
        <v>127</v>
      </c>
      <c r="J282" s="1" t="s">
        <v>71</v>
      </c>
      <c r="K282" s="1" t="s">
        <v>1059</v>
      </c>
      <c r="L282" s="1" t="s">
        <v>303</v>
      </c>
      <c r="M282" s="1" t="s">
        <v>52</v>
      </c>
      <c r="N282" s="1" t="s">
        <v>24</v>
      </c>
    </row>
    <row r="283" spans="1:14">
      <c r="A283" s="1" t="s">
        <v>1060</v>
      </c>
      <c r="B283" s="1" t="s">
        <v>337</v>
      </c>
      <c r="C283" s="1" t="s">
        <v>1061</v>
      </c>
      <c r="D283" s="1" t="s">
        <v>1062</v>
      </c>
      <c r="E283" s="1" t="s">
        <v>142</v>
      </c>
      <c r="F283" s="1" t="s">
        <v>143</v>
      </c>
      <c r="G283" s="1">
        <v>67</v>
      </c>
      <c r="H283" s="1" t="s">
        <v>84</v>
      </c>
      <c r="I283" s="1" t="s">
        <v>115</v>
      </c>
      <c r="J283" s="1" t="s">
        <v>50</v>
      </c>
      <c r="K283" s="1">
        <v>7266</v>
      </c>
      <c r="L283" s="1">
        <v>14</v>
      </c>
      <c r="M283" s="1" t="s">
        <v>41</v>
      </c>
      <c r="N283" s="1" t="s">
        <v>33</v>
      </c>
    </row>
    <row r="284" spans="1:14">
      <c r="A284" s="1" t="s">
        <v>1063</v>
      </c>
      <c r="B284" s="1" t="s">
        <v>604</v>
      </c>
      <c r="C284" s="1" t="s">
        <v>1064</v>
      </c>
      <c r="D284" s="1" t="s">
        <v>1065</v>
      </c>
      <c r="E284" s="1" t="s">
        <v>149</v>
      </c>
      <c r="F284" s="1" t="s">
        <v>109</v>
      </c>
      <c r="G284" s="1">
        <v>59</v>
      </c>
      <c r="H284" s="1" t="s">
        <v>20</v>
      </c>
      <c r="I284" s="1" t="s">
        <v>49</v>
      </c>
      <c r="J284" s="1" t="s">
        <v>40</v>
      </c>
      <c r="K284" s="1" t="s">
        <v>1066</v>
      </c>
      <c r="L284" s="1"/>
      <c r="M284" s="1" t="s">
        <v>33</v>
      </c>
      <c r="N284" s="1" t="s">
        <v>186</v>
      </c>
    </row>
    <row r="285" spans="1:14">
      <c r="A285" s="1" t="s">
        <v>1067</v>
      </c>
      <c r="B285" s="1" t="s">
        <v>1068</v>
      </c>
      <c r="C285" s="1"/>
      <c r="D285" s="1" t="s">
        <v>339</v>
      </c>
      <c r="E285" s="1" t="s">
        <v>137</v>
      </c>
      <c r="F285" s="1" t="s">
        <v>102</v>
      </c>
      <c r="G285" s="1">
        <v>24</v>
      </c>
      <c r="H285" s="1" t="s">
        <v>48</v>
      </c>
      <c r="I285" s="1" t="s">
        <v>115</v>
      </c>
      <c r="J285" s="1" t="s">
        <v>50</v>
      </c>
      <c r="K285" s="1">
        <v>8284</v>
      </c>
      <c r="L285" s="1">
        <v>4</v>
      </c>
      <c r="M285" s="1" t="s">
        <v>41</v>
      </c>
      <c r="N285" s="1" t="s">
        <v>33</v>
      </c>
    </row>
    <row r="286" spans="1:14">
      <c r="A286" s="1" t="s">
        <v>1069</v>
      </c>
      <c r="B286" s="1" t="s">
        <v>1070</v>
      </c>
      <c r="C286" s="1" t="s">
        <v>395</v>
      </c>
      <c r="D286" s="1" t="s">
        <v>267</v>
      </c>
      <c r="E286" s="1" t="s">
        <v>415</v>
      </c>
      <c r="F286" s="1" t="s">
        <v>209</v>
      </c>
      <c r="G286" s="1">
        <v>7</v>
      </c>
      <c r="H286" s="1" t="s">
        <v>84</v>
      </c>
      <c r="I286" s="1" t="s">
        <v>21</v>
      </c>
      <c r="J286" s="1" t="s">
        <v>210</v>
      </c>
      <c r="K286" s="1" t="s">
        <v>1071</v>
      </c>
      <c r="L286" s="1">
        <v>6</v>
      </c>
      <c r="M286" s="1" t="s">
        <v>24</v>
      </c>
      <c r="N286" s="1" t="s">
        <v>23</v>
      </c>
    </row>
    <row r="287" spans="1:14">
      <c r="A287" s="1" t="s">
        <v>1072</v>
      </c>
      <c r="B287" s="1" t="s">
        <v>502</v>
      </c>
      <c r="C287" s="1" t="s">
        <v>1073</v>
      </c>
      <c r="D287" s="1" t="s">
        <v>1074</v>
      </c>
      <c r="E287" s="1" t="s">
        <v>64</v>
      </c>
      <c r="F287" s="1" t="s">
        <v>102</v>
      </c>
      <c r="G287" s="1">
        <v>33</v>
      </c>
      <c r="H287" s="1" t="s">
        <v>70</v>
      </c>
      <c r="I287" s="1" t="s">
        <v>21</v>
      </c>
      <c r="J287" s="1" t="s">
        <v>210</v>
      </c>
      <c r="K287" s="1">
        <v>425</v>
      </c>
      <c r="L287" s="1">
        <v>5</v>
      </c>
      <c r="M287" s="1" t="s">
        <v>41</v>
      </c>
      <c r="N287" s="1" t="s">
        <v>33</v>
      </c>
    </row>
    <row r="288" spans="1:14">
      <c r="A288" s="1" t="s">
        <v>1075</v>
      </c>
      <c r="B288" s="1" t="s">
        <v>1000</v>
      </c>
      <c r="C288" s="1" t="s">
        <v>1076</v>
      </c>
      <c r="D288" s="1" t="s">
        <v>107</v>
      </c>
      <c r="E288" s="1" t="s">
        <v>142</v>
      </c>
      <c r="F288" s="1" t="s">
        <v>164</v>
      </c>
      <c r="G288" s="1" t="s">
        <v>1077</v>
      </c>
      <c r="H288" s="1" t="s">
        <v>104</v>
      </c>
      <c r="I288" s="1" t="s">
        <v>59</v>
      </c>
      <c r="J288" s="1" t="s">
        <v>71</v>
      </c>
      <c r="K288" s="1" t="s">
        <v>1078</v>
      </c>
      <c r="L288" s="1">
        <v>16</v>
      </c>
      <c r="M288" s="1" t="s">
        <v>33</v>
      </c>
      <c r="N288" s="1" t="s">
        <v>186</v>
      </c>
    </row>
    <row r="289" spans="1:14">
      <c r="A289" s="1" t="s">
        <v>1079</v>
      </c>
      <c r="B289" s="1" t="s">
        <v>1080</v>
      </c>
      <c r="C289" s="1" t="s">
        <v>1081</v>
      </c>
      <c r="D289" s="1" t="s">
        <v>613</v>
      </c>
      <c r="E289" s="1" t="s">
        <v>82</v>
      </c>
      <c r="F289" s="1" t="s">
        <v>132</v>
      </c>
      <c r="G289" s="1">
        <v>81</v>
      </c>
      <c r="H289" s="1" t="s">
        <v>20</v>
      </c>
      <c r="I289" s="1" t="s">
        <v>110</v>
      </c>
      <c r="J289" s="1" t="s">
        <v>50</v>
      </c>
      <c r="K289" s="1">
        <v>584</v>
      </c>
      <c r="L289" s="1">
        <v>20</v>
      </c>
      <c r="M289" s="1" t="s">
        <v>41</v>
      </c>
      <c r="N289" s="1" t="s">
        <v>33</v>
      </c>
    </row>
    <row r="290" spans="1:14">
      <c r="A290" s="1" t="s">
        <v>1082</v>
      </c>
      <c r="B290" s="1" t="s">
        <v>1083</v>
      </c>
      <c r="C290" s="1" t="s">
        <v>1084</v>
      </c>
      <c r="D290" s="1" t="s">
        <v>1085</v>
      </c>
      <c r="E290" s="1" t="s">
        <v>125</v>
      </c>
      <c r="F290" s="1" t="s">
        <v>69</v>
      </c>
      <c r="G290" s="1">
        <v>80</v>
      </c>
      <c r="H290" s="1" t="s">
        <v>48</v>
      </c>
      <c r="I290" s="1" t="s">
        <v>153</v>
      </c>
      <c r="J290" s="1" t="s">
        <v>22</v>
      </c>
      <c r="K290" s="1">
        <v>9906</v>
      </c>
      <c r="L290" s="1">
        <v>13</v>
      </c>
      <c r="M290" s="1" t="s">
        <v>41</v>
      </c>
      <c r="N290" s="1" t="s">
        <v>52</v>
      </c>
    </row>
    <row r="291" spans="1:14">
      <c r="A291" s="1" t="s">
        <v>1086</v>
      </c>
      <c r="B291" s="1" t="s">
        <v>1087</v>
      </c>
      <c r="C291" s="1" t="s">
        <v>1088</v>
      </c>
      <c r="D291" s="1" t="s">
        <v>1089</v>
      </c>
      <c r="E291" s="1" t="s">
        <v>175</v>
      </c>
      <c r="F291" s="1" t="s">
        <v>114</v>
      </c>
      <c r="G291" s="1">
        <v>10</v>
      </c>
      <c r="H291" s="1" t="s">
        <v>70</v>
      </c>
      <c r="I291" s="1" t="s">
        <v>110</v>
      </c>
      <c r="J291" s="1" t="s">
        <v>210</v>
      </c>
      <c r="K291" s="1" t="s">
        <v>1090</v>
      </c>
      <c r="L291" s="1">
        <v>2</v>
      </c>
      <c r="M291" s="1">
        <v>1</v>
      </c>
      <c r="N291" s="1" t="s">
        <v>24</v>
      </c>
    </row>
    <row r="292" spans="1:14">
      <c r="A292" s="1" t="s">
        <v>1091</v>
      </c>
      <c r="B292" s="1" t="s">
        <v>422</v>
      </c>
      <c r="C292" s="1" t="s">
        <v>1092</v>
      </c>
      <c r="D292" s="1" t="s">
        <v>1093</v>
      </c>
      <c r="E292" s="1" t="s">
        <v>149</v>
      </c>
      <c r="F292" s="1" t="s">
        <v>47</v>
      </c>
      <c r="G292" s="1" t="s">
        <v>330</v>
      </c>
      <c r="H292" s="1" t="s">
        <v>20</v>
      </c>
      <c r="I292" s="1" t="s">
        <v>49</v>
      </c>
      <c r="J292" s="1" t="s">
        <v>22</v>
      </c>
      <c r="K292" s="1" t="s">
        <v>270</v>
      </c>
      <c r="L292" s="1">
        <v>14</v>
      </c>
      <c r="M292" s="1" t="s">
        <v>52</v>
      </c>
      <c r="N292" s="1" t="s">
        <v>41</v>
      </c>
    </row>
    <row r="293" spans="1:14">
      <c r="A293" s="1" t="s">
        <v>1094</v>
      </c>
      <c r="B293" s="1" t="s">
        <v>1095</v>
      </c>
      <c r="C293" s="1" t="s">
        <v>813</v>
      </c>
      <c r="D293" s="1" t="s">
        <v>1096</v>
      </c>
      <c r="E293" s="1" t="s">
        <v>95</v>
      </c>
      <c r="F293" s="1" t="s">
        <v>96</v>
      </c>
      <c r="G293" s="1">
        <v>2</v>
      </c>
      <c r="H293" s="1" t="s">
        <v>84</v>
      </c>
      <c r="I293" s="1" t="s">
        <v>110</v>
      </c>
      <c r="J293" s="1" t="s">
        <v>71</v>
      </c>
      <c r="K293" s="1">
        <v>8316</v>
      </c>
      <c r="L293" s="1">
        <v>8</v>
      </c>
      <c r="M293" s="1" t="s">
        <v>24</v>
      </c>
      <c r="N293" s="1" t="s">
        <v>33</v>
      </c>
    </row>
    <row r="294" spans="1:14">
      <c r="A294" s="1" t="s">
        <v>1097</v>
      </c>
      <c r="B294" s="1" t="s">
        <v>838</v>
      </c>
      <c r="C294" s="1" t="s">
        <v>649</v>
      </c>
      <c r="D294" s="1" t="s">
        <v>119</v>
      </c>
      <c r="E294" s="1" t="s">
        <v>120</v>
      </c>
      <c r="F294" s="1" t="s">
        <v>39</v>
      </c>
      <c r="G294" s="1">
        <v>92</v>
      </c>
      <c r="H294" s="1" t="s">
        <v>144</v>
      </c>
      <c r="I294" s="1" t="s">
        <v>49</v>
      </c>
      <c r="J294" s="1" t="s">
        <v>50</v>
      </c>
      <c r="K294" s="1">
        <v>7488</v>
      </c>
      <c r="L294" s="1" t="s">
        <v>1098</v>
      </c>
      <c r="M294" s="1" t="s">
        <v>41</v>
      </c>
      <c r="N294" s="1" t="s">
        <v>33</v>
      </c>
    </row>
    <row r="295" spans="1:14">
      <c r="A295" s="1" t="s">
        <v>1099</v>
      </c>
      <c r="B295" s="1" t="s">
        <v>1017</v>
      </c>
      <c r="C295" s="1" t="s">
        <v>300</v>
      </c>
      <c r="D295" s="1" t="s">
        <v>573</v>
      </c>
      <c r="E295" s="1" t="s">
        <v>142</v>
      </c>
      <c r="F295" s="1" t="s">
        <v>143</v>
      </c>
      <c r="G295" s="1">
        <v>19</v>
      </c>
      <c r="H295" s="1" t="s">
        <v>144</v>
      </c>
      <c r="I295" s="1" t="s">
        <v>153</v>
      </c>
      <c r="J295" s="1" t="s">
        <v>89</v>
      </c>
      <c r="K295" s="1">
        <v>1576</v>
      </c>
      <c r="L295" s="1">
        <v>5</v>
      </c>
      <c r="M295" s="1" t="s">
        <v>51</v>
      </c>
      <c r="N295" s="1" t="s">
        <v>24</v>
      </c>
    </row>
    <row r="296" spans="1:14">
      <c r="A296" s="1" t="s">
        <v>1100</v>
      </c>
      <c r="B296" s="1" t="s">
        <v>783</v>
      </c>
      <c r="C296" s="1" t="s">
        <v>1101</v>
      </c>
      <c r="D296" s="1" t="s">
        <v>593</v>
      </c>
      <c r="E296" s="1" t="s">
        <v>57</v>
      </c>
      <c r="F296" s="1" t="s">
        <v>83</v>
      </c>
      <c r="G296" s="1" t="s">
        <v>1102</v>
      </c>
      <c r="H296" s="1" t="s">
        <v>70</v>
      </c>
      <c r="I296" s="1"/>
      <c r="J296" s="1" t="s">
        <v>22</v>
      </c>
      <c r="K296" s="1">
        <v>4330</v>
      </c>
      <c r="L296" s="1">
        <v>20</v>
      </c>
      <c r="M296" s="1">
        <v>0</v>
      </c>
      <c r="N296" s="1" t="s">
        <v>52</v>
      </c>
    </row>
    <row r="297" spans="1:14">
      <c r="A297" s="1" t="s">
        <v>1103</v>
      </c>
      <c r="B297" s="1" t="s">
        <v>826</v>
      </c>
      <c r="C297" s="1" t="s">
        <v>491</v>
      </c>
      <c r="D297" s="1" t="s">
        <v>16</v>
      </c>
      <c r="E297" s="1" t="s">
        <v>142</v>
      </c>
      <c r="F297" s="1" t="s">
        <v>143</v>
      </c>
      <c r="G297" s="1">
        <v>34</v>
      </c>
      <c r="H297" s="1" t="s">
        <v>84</v>
      </c>
      <c r="I297" s="1" t="s">
        <v>59</v>
      </c>
      <c r="J297" s="1" t="s">
        <v>210</v>
      </c>
      <c r="K297" s="1">
        <v>10596</v>
      </c>
      <c r="L297" s="1">
        <v>13</v>
      </c>
      <c r="M297" s="1">
        <v>1</v>
      </c>
      <c r="N297" s="1" t="s">
        <v>33</v>
      </c>
    </row>
    <row r="298" spans="1:14">
      <c r="A298" s="1" t="s">
        <v>1104</v>
      </c>
      <c r="B298" s="1" t="s">
        <v>993</v>
      </c>
      <c r="C298" s="1" t="s">
        <v>214</v>
      </c>
      <c r="D298" s="1" t="s">
        <v>1105</v>
      </c>
      <c r="E298" s="1" t="s">
        <v>46</v>
      </c>
      <c r="F298" s="1" t="s">
        <v>109</v>
      </c>
      <c r="G298" s="1">
        <v>89</v>
      </c>
      <c r="H298" s="1" t="s">
        <v>20</v>
      </c>
      <c r="I298" s="1" t="s">
        <v>65</v>
      </c>
      <c r="J298" s="1" t="s">
        <v>22</v>
      </c>
      <c r="K298" s="1">
        <v>12437</v>
      </c>
      <c r="L298" s="1">
        <v>8</v>
      </c>
      <c r="M298" s="1" t="s">
        <v>41</v>
      </c>
      <c r="N298" s="1" t="s">
        <v>23</v>
      </c>
    </row>
    <row r="299" spans="1:14">
      <c r="A299" s="1" t="s">
        <v>91</v>
      </c>
      <c r="B299" s="1" t="s">
        <v>92</v>
      </c>
      <c r="C299" s="1" t="s">
        <v>93</v>
      </c>
      <c r="D299" s="1" t="s">
        <v>94</v>
      </c>
      <c r="E299" s="1" t="s">
        <v>95</v>
      </c>
      <c r="F299" s="1" t="s">
        <v>96</v>
      </c>
      <c r="G299" s="1" t="s">
        <v>97</v>
      </c>
      <c r="H299" s="1" t="s">
        <v>48</v>
      </c>
      <c r="I299" s="1" t="s">
        <v>49</v>
      </c>
      <c r="J299" s="1" t="s">
        <v>22</v>
      </c>
      <c r="K299" s="1">
        <v>9078</v>
      </c>
      <c r="L299" s="1">
        <v>10</v>
      </c>
      <c r="M299" s="1" t="s">
        <v>41</v>
      </c>
      <c r="N299" s="1" t="s">
        <v>52</v>
      </c>
    </row>
    <row r="300" spans="1:14">
      <c r="A300" s="1" t="s">
        <v>1106</v>
      </c>
      <c r="B300" s="1" t="s">
        <v>1107</v>
      </c>
      <c r="C300" s="1" t="s">
        <v>94</v>
      </c>
      <c r="D300" s="1" t="s">
        <v>1108</v>
      </c>
      <c r="E300" s="1" t="s">
        <v>95</v>
      </c>
      <c r="F300" s="1" t="s">
        <v>114</v>
      </c>
      <c r="G300" s="1">
        <v>8</v>
      </c>
      <c r="H300" s="1" t="s">
        <v>70</v>
      </c>
      <c r="I300" s="1" t="s">
        <v>21</v>
      </c>
      <c r="J300" s="1" t="s">
        <v>32</v>
      </c>
      <c r="K300" s="1">
        <v>9171</v>
      </c>
      <c r="L300" s="1">
        <v>8</v>
      </c>
      <c r="M300" s="1">
        <v>1</v>
      </c>
      <c r="N300" s="1" t="s">
        <v>23</v>
      </c>
    </row>
    <row r="301" spans="1:14">
      <c r="A301" s="1" t="s">
        <v>1109</v>
      </c>
      <c r="B301" s="1" t="s">
        <v>1110</v>
      </c>
      <c r="C301" s="1" t="s">
        <v>197</v>
      </c>
      <c r="D301" s="1" t="s">
        <v>781</v>
      </c>
      <c r="E301" s="1" t="s">
        <v>182</v>
      </c>
      <c r="F301" s="1" t="s">
        <v>126</v>
      </c>
      <c r="G301" s="1">
        <v>77</v>
      </c>
      <c r="H301" s="1" t="s">
        <v>84</v>
      </c>
      <c r="I301" s="1" t="s">
        <v>153</v>
      </c>
      <c r="J301" s="1" t="s">
        <v>32</v>
      </c>
      <c r="K301" s="1" t="s">
        <v>1111</v>
      </c>
      <c r="L301" s="1">
        <v>18</v>
      </c>
      <c r="M301" s="1" t="s">
        <v>24</v>
      </c>
      <c r="N301" s="1" t="s">
        <v>33</v>
      </c>
    </row>
    <row r="302" spans="1:14">
      <c r="A302" s="1" t="s">
        <v>1112</v>
      </c>
      <c r="B302" s="1" t="s">
        <v>648</v>
      </c>
      <c r="C302" s="1" t="s">
        <v>850</v>
      </c>
      <c r="D302" s="1" t="s">
        <v>1113</v>
      </c>
      <c r="E302" s="1" t="s">
        <v>142</v>
      </c>
      <c r="F302" s="1" t="s">
        <v>164</v>
      </c>
      <c r="G302" s="1" t="s">
        <v>1114</v>
      </c>
      <c r="H302" s="1" t="s">
        <v>104</v>
      </c>
      <c r="I302" s="1" t="s">
        <v>115</v>
      </c>
      <c r="J302" s="1" t="s">
        <v>22</v>
      </c>
      <c r="K302" s="1">
        <v>5111</v>
      </c>
      <c r="L302" s="1">
        <v>20</v>
      </c>
      <c r="M302" s="1" t="s">
        <v>24</v>
      </c>
      <c r="N302" s="1" t="s">
        <v>24</v>
      </c>
    </row>
    <row r="303" spans="1:14">
      <c r="A303" s="1" t="s">
        <v>1115</v>
      </c>
      <c r="B303" s="1" t="s">
        <v>1116</v>
      </c>
      <c r="C303" s="1" t="s">
        <v>1117</v>
      </c>
      <c r="D303" s="1" t="s">
        <v>1118</v>
      </c>
      <c r="E303" s="1" t="s">
        <v>64</v>
      </c>
      <c r="F303" s="1" t="s">
        <v>77</v>
      </c>
      <c r="G303" s="1">
        <v>88</v>
      </c>
      <c r="H303" s="1" t="s">
        <v>20</v>
      </c>
      <c r="I303" s="1" t="s">
        <v>49</v>
      </c>
      <c r="J303" s="1" t="s">
        <v>210</v>
      </c>
      <c r="K303" s="1">
        <v>12855</v>
      </c>
      <c r="L303" s="1">
        <v>2</v>
      </c>
      <c r="M303" s="1">
        <v>0</v>
      </c>
      <c r="N303" s="1" t="s">
        <v>33</v>
      </c>
    </row>
    <row r="304" spans="1:14">
      <c r="A304" s="1" t="s">
        <v>1119</v>
      </c>
      <c r="B304" s="1" t="s">
        <v>368</v>
      </c>
      <c r="C304" s="1" t="s">
        <v>178</v>
      </c>
      <c r="D304" s="1" t="s">
        <v>1120</v>
      </c>
      <c r="E304" s="1" t="s">
        <v>29</v>
      </c>
      <c r="F304" s="1" t="s">
        <v>77</v>
      </c>
      <c r="G304" s="1">
        <v>23</v>
      </c>
      <c r="H304" s="1" t="s">
        <v>70</v>
      </c>
      <c r="I304" s="1" t="s">
        <v>127</v>
      </c>
      <c r="J304" s="1" t="s">
        <v>71</v>
      </c>
      <c r="K304" s="1">
        <v>13403</v>
      </c>
      <c r="L304" s="1"/>
      <c r="M304" s="1">
        <v>1</v>
      </c>
      <c r="N304" s="1" t="s">
        <v>41</v>
      </c>
    </row>
    <row r="305" spans="1:14">
      <c r="A305" s="1" t="s">
        <v>1121</v>
      </c>
      <c r="B305" s="1" t="s">
        <v>1122</v>
      </c>
      <c r="C305" s="1" t="s">
        <v>819</v>
      </c>
      <c r="D305" s="1" t="s">
        <v>1123</v>
      </c>
      <c r="E305" s="1" t="s">
        <v>64</v>
      </c>
      <c r="F305" s="1" t="s">
        <v>77</v>
      </c>
      <c r="G305" s="1">
        <v>76</v>
      </c>
      <c r="H305" s="1"/>
      <c r="I305" s="1" t="s">
        <v>115</v>
      </c>
      <c r="J305" s="1" t="s">
        <v>32</v>
      </c>
      <c r="K305" s="1">
        <v>11334</v>
      </c>
      <c r="L305" s="1">
        <v>20</v>
      </c>
      <c r="M305" s="1">
        <v>1</v>
      </c>
      <c r="N305" s="1" t="s">
        <v>41</v>
      </c>
    </row>
    <row r="306" spans="1:14">
      <c r="A306" s="1" t="s">
        <v>1124</v>
      </c>
      <c r="B306" s="1" t="s">
        <v>1017</v>
      </c>
      <c r="C306" s="1" t="s">
        <v>1125</v>
      </c>
      <c r="D306" s="1" t="s">
        <v>1126</v>
      </c>
      <c r="E306" s="1" t="s">
        <v>64</v>
      </c>
      <c r="F306" s="1" t="s">
        <v>77</v>
      </c>
      <c r="G306" s="1">
        <v>81</v>
      </c>
      <c r="H306" s="1" t="s">
        <v>144</v>
      </c>
      <c r="I306" s="1" t="s">
        <v>153</v>
      </c>
      <c r="J306" s="1" t="s">
        <v>32</v>
      </c>
      <c r="K306" s="1">
        <v>13243</v>
      </c>
      <c r="L306" s="1">
        <v>20</v>
      </c>
      <c r="M306" s="1">
        <v>0</v>
      </c>
      <c r="N306" s="1" t="s">
        <v>41</v>
      </c>
    </row>
    <row r="307" spans="1:14">
      <c r="A307" s="1" t="s">
        <v>1127</v>
      </c>
      <c r="B307" s="1" t="s">
        <v>1128</v>
      </c>
      <c r="C307" s="1" t="s">
        <v>1129</v>
      </c>
      <c r="D307" s="1" t="s">
        <v>1130</v>
      </c>
      <c r="E307" s="1" t="s">
        <v>46</v>
      </c>
      <c r="F307" s="1" t="s">
        <v>47</v>
      </c>
      <c r="G307" s="1">
        <v>54</v>
      </c>
      <c r="H307" s="1" t="s">
        <v>144</v>
      </c>
      <c r="I307" s="1" t="s">
        <v>110</v>
      </c>
      <c r="J307" s="1" t="s">
        <v>230</v>
      </c>
      <c r="K307" s="1">
        <v>12623</v>
      </c>
      <c r="L307" s="1">
        <v>15</v>
      </c>
      <c r="M307" s="1" t="s">
        <v>23</v>
      </c>
      <c r="N307" s="1" t="s">
        <v>52</v>
      </c>
    </row>
    <row r="308" spans="1:14">
      <c r="A308" s="1" t="s">
        <v>1131</v>
      </c>
      <c r="B308" s="1" t="s">
        <v>1132</v>
      </c>
      <c r="C308" s="1"/>
      <c r="D308" s="1" t="s">
        <v>198</v>
      </c>
      <c r="E308" s="1" t="s">
        <v>137</v>
      </c>
      <c r="F308" s="1" t="s">
        <v>30</v>
      </c>
      <c r="G308" s="1">
        <v>18</v>
      </c>
      <c r="H308" s="1" t="s">
        <v>144</v>
      </c>
      <c r="I308" s="1" t="s">
        <v>49</v>
      </c>
      <c r="J308" s="1" t="s">
        <v>50</v>
      </c>
      <c r="K308" s="1">
        <v>5126</v>
      </c>
      <c r="L308" s="1"/>
      <c r="M308" s="1" t="s">
        <v>51</v>
      </c>
      <c r="N308" s="1" t="s">
        <v>186</v>
      </c>
    </row>
    <row r="309" spans="1:14">
      <c r="A309" s="1" t="s">
        <v>485</v>
      </c>
      <c r="B309" s="1" t="s">
        <v>486</v>
      </c>
      <c r="C309" s="1" t="s">
        <v>487</v>
      </c>
      <c r="D309" s="1" t="s">
        <v>488</v>
      </c>
      <c r="E309" s="1" t="s">
        <v>175</v>
      </c>
      <c r="F309" s="1" t="s">
        <v>209</v>
      </c>
      <c r="G309" s="1">
        <v>17</v>
      </c>
      <c r="H309" s="1" t="s">
        <v>144</v>
      </c>
      <c r="I309" s="1" t="s">
        <v>21</v>
      </c>
      <c r="J309" s="1" t="s">
        <v>22</v>
      </c>
      <c r="K309" s="1" t="s">
        <v>270</v>
      </c>
      <c r="L309" s="1">
        <v>1</v>
      </c>
      <c r="M309" s="1" t="s">
        <v>33</v>
      </c>
      <c r="N309" s="1" t="s">
        <v>52</v>
      </c>
    </row>
    <row r="310" spans="1:14">
      <c r="A310" s="1" t="s">
        <v>1133</v>
      </c>
      <c r="B310" s="1" t="s">
        <v>1134</v>
      </c>
      <c r="C310" s="1" t="s">
        <v>1135</v>
      </c>
      <c r="D310" s="1" t="s">
        <v>1136</v>
      </c>
      <c r="E310" s="1" t="s">
        <v>182</v>
      </c>
      <c r="F310" s="1" t="s">
        <v>183</v>
      </c>
      <c r="G310" s="1">
        <v>50</v>
      </c>
      <c r="H310" s="1" t="s">
        <v>70</v>
      </c>
      <c r="I310" s="1" t="s">
        <v>31</v>
      </c>
      <c r="J310" s="1" t="s">
        <v>32</v>
      </c>
      <c r="K310" s="1" t="s">
        <v>1137</v>
      </c>
      <c r="L310" s="1"/>
      <c r="M310" s="1" t="s">
        <v>51</v>
      </c>
      <c r="N310" s="1" t="s">
        <v>33</v>
      </c>
    </row>
    <row r="311" spans="1:14">
      <c r="A311" s="1" t="s">
        <v>1138</v>
      </c>
      <c r="B311" s="1" t="s">
        <v>1139</v>
      </c>
      <c r="C311" s="1" t="s">
        <v>45</v>
      </c>
      <c r="D311" s="1" t="s">
        <v>1020</v>
      </c>
      <c r="E311" s="1" t="s">
        <v>57</v>
      </c>
      <c r="F311" s="1" t="s">
        <v>19</v>
      </c>
      <c r="G311" s="1">
        <v>43</v>
      </c>
      <c r="H311" s="1" t="s">
        <v>58</v>
      </c>
      <c r="I311" s="1" t="s">
        <v>65</v>
      </c>
      <c r="J311" s="1" t="s">
        <v>210</v>
      </c>
      <c r="K311" s="1">
        <v>5596</v>
      </c>
      <c r="L311" s="1">
        <v>4</v>
      </c>
      <c r="M311" s="1" t="s">
        <v>52</v>
      </c>
      <c r="N311" s="1"/>
    </row>
    <row r="312" spans="1:14">
      <c r="A312" s="1" t="s">
        <v>1140</v>
      </c>
      <c r="B312" s="1" t="s">
        <v>600</v>
      </c>
      <c r="C312" s="1" t="s">
        <v>1141</v>
      </c>
      <c r="D312" s="1" t="s">
        <v>1142</v>
      </c>
      <c r="E312" s="1" t="s">
        <v>95</v>
      </c>
      <c r="F312" s="1" t="s">
        <v>114</v>
      </c>
      <c r="G312" s="1">
        <v>9</v>
      </c>
      <c r="H312" s="1" t="s">
        <v>20</v>
      </c>
      <c r="I312" s="1" t="s">
        <v>49</v>
      </c>
      <c r="J312" s="1" t="s">
        <v>71</v>
      </c>
      <c r="K312" s="1" t="s">
        <v>1143</v>
      </c>
      <c r="L312" s="1" t="s">
        <v>303</v>
      </c>
      <c r="M312" s="1" t="s">
        <v>52</v>
      </c>
      <c r="N312" s="1" t="s">
        <v>186</v>
      </c>
    </row>
    <row r="313" spans="1:14">
      <c r="A313" s="1" t="s">
        <v>1144</v>
      </c>
      <c r="B313" s="1" t="s">
        <v>1145</v>
      </c>
      <c r="C313" s="1" t="s">
        <v>1146</v>
      </c>
      <c r="D313" s="1" t="s">
        <v>259</v>
      </c>
      <c r="E313" s="1" t="s">
        <v>175</v>
      </c>
      <c r="F313" s="1" t="s">
        <v>114</v>
      </c>
      <c r="G313" s="1">
        <v>4</v>
      </c>
      <c r="H313" s="1" t="s">
        <v>104</v>
      </c>
      <c r="I313" s="1" t="s">
        <v>49</v>
      </c>
      <c r="J313" s="1" t="s">
        <v>210</v>
      </c>
      <c r="K313" s="1">
        <v>9757</v>
      </c>
      <c r="L313" s="1">
        <v>20</v>
      </c>
      <c r="M313" s="1">
        <v>1</v>
      </c>
      <c r="N313" s="1" t="s">
        <v>41</v>
      </c>
    </row>
    <row r="314" spans="1:14">
      <c r="A314" s="1" t="s">
        <v>1147</v>
      </c>
      <c r="B314" s="1" t="s">
        <v>1148</v>
      </c>
      <c r="C314" s="1" t="s">
        <v>1149</v>
      </c>
      <c r="D314" s="1" t="s">
        <v>1150</v>
      </c>
      <c r="E314" s="1" t="s">
        <v>82</v>
      </c>
      <c r="F314" s="1" t="s">
        <v>19</v>
      </c>
      <c r="G314" s="1">
        <v>82</v>
      </c>
      <c r="H314" s="1" t="s">
        <v>144</v>
      </c>
      <c r="I314" s="1" t="s">
        <v>110</v>
      </c>
      <c r="J314" s="1" t="s">
        <v>230</v>
      </c>
      <c r="K314" s="1" t="s">
        <v>1151</v>
      </c>
      <c r="L314" s="1">
        <v>11</v>
      </c>
      <c r="M314" s="1" t="s">
        <v>23</v>
      </c>
      <c r="N314" s="1" t="s">
        <v>52</v>
      </c>
    </row>
    <row r="315" spans="1:14">
      <c r="A315" s="1" t="s">
        <v>1152</v>
      </c>
      <c r="B315" s="1" t="s">
        <v>1153</v>
      </c>
      <c r="C315" s="1" t="s">
        <v>1154</v>
      </c>
      <c r="D315" s="1" t="s">
        <v>1155</v>
      </c>
      <c r="E315" s="1" t="s">
        <v>249</v>
      </c>
      <c r="F315" s="1" t="s">
        <v>209</v>
      </c>
      <c r="G315" s="1">
        <v>9</v>
      </c>
      <c r="H315" s="1" t="s">
        <v>144</v>
      </c>
      <c r="I315" s="1" t="s">
        <v>65</v>
      </c>
      <c r="J315" s="1" t="s">
        <v>22</v>
      </c>
      <c r="K315" s="1" t="s">
        <v>1156</v>
      </c>
      <c r="L315" s="1">
        <v>20</v>
      </c>
      <c r="M315" s="1">
        <v>1</v>
      </c>
      <c r="N315" s="1"/>
    </row>
    <row r="316" spans="1:14">
      <c r="A316" s="1" t="s">
        <v>1157</v>
      </c>
      <c r="B316" s="1" t="s">
        <v>1158</v>
      </c>
      <c r="C316" s="1" t="s">
        <v>1159</v>
      </c>
      <c r="D316" s="1" t="s">
        <v>678</v>
      </c>
      <c r="E316" s="1" t="s">
        <v>125</v>
      </c>
      <c r="F316" s="1" t="s">
        <v>126</v>
      </c>
      <c r="G316" s="1">
        <v>71</v>
      </c>
      <c r="H316" s="1" t="s">
        <v>20</v>
      </c>
      <c r="I316" s="1" t="s">
        <v>65</v>
      </c>
      <c r="J316" s="1" t="s">
        <v>89</v>
      </c>
      <c r="K316" s="1">
        <v>13990</v>
      </c>
      <c r="L316" s="1">
        <v>16</v>
      </c>
      <c r="M316" s="1" t="s">
        <v>41</v>
      </c>
      <c r="N316" s="1" t="s">
        <v>33</v>
      </c>
    </row>
    <row r="317" spans="1:14">
      <c r="A317" s="1" t="s">
        <v>1160</v>
      </c>
      <c r="B317" s="1" t="s">
        <v>1161</v>
      </c>
      <c r="C317" s="1" t="s">
        <v>197</v>
      </c>
      <c r="D317" s="1" t="s">
        <v>1162</v>
      </c>
      <c r="E317" s="1" t="s">
        <v>125</v>
      </c>
      <c r="F317" s="1" t="s">
        <v>69</v>
      </c>
      <c r="G317" s="1" t="s">
        <v>1163</v>
      </c>
      <c r="H317" s="1" t="s">
        <v>104</v>
      </c>
      <c r="I317" s="1" t="s">
        <v>21</v>
      </c>
      <c r="J317" s="1" t="s">
        <v>40</v>
      </c>
      <c r="K317" s="1">
        <v>9267</v>
      </c>
      <c r="L317" s="1">
        <v>16</v>
      </c>
      <c r="M317" s="1" t="s">
        <v>23</v>
      </c>
      <c r="N317" s="1" t="s">
        <v>52</v>
      </c>
    </row>
    <row r="318" spans="1:14">
      <c r="A318" s="1" t="s">
        <v>1164</v>
      </c>
      <c r="B318" s="1" t="s">
        <v>289</v>
      </c>
      <c r="C318" s="1" t="s">
        <v>173</v>
      </c>
      <c r="D318" s="1" t="s">
        <v>339</v>
      </c>
      <c r="E318" s="1" t="s">
        <v>137</v>
      </c>
      <c r="F318" s="1" t="s">
        <v>30</v>
      </c>
      <c r="G318" s="1">
        <v>89</v>
      </c>
      <c r="H318" s="1" t="s">
        <v>20</v>
      </c>
      <c r="I318" s="1" t="s">
        <v>127</v>
      </c>
      <c r="J318" s="1" t="s">
        <v>230</v>
      </c>
      <c r="K318" s="1">
        <v>570</v>
      </c>
      <c r="L318" s="1">
        <v>8</v>
      </c>
      <c r="M318" s="1">
        <v>0</v>
      </c>
      <c r="N318" s="1" t="s">
        <v>33</v>
      </c>
    </row>
    <row r="319" spans="1:14">
      <c r="A319" s="1" t="s">
        <v>1165</v>
      </c>
      <c r="B319" s="1" t="s">
        <v>360</v>
      </c>
      <c r="C319" s="1" t="s">
        <v>1166</v>
      </c>
      <c r="D319" s="1" t="s">
        <v>581</v>
      </c>
      <c r="E319" s="1" t="s">
        <v>29</v>
      </c>
      <c r="F319" s="1" t="s">
        <v>102</v>
      </c>
      <c r="G319" s="1">
        <v>79</v>
      </c>
      <c r="H319" s="1" t="s">
        <v>20</v>
      </c>
      <c r="I319" s="1" t="s">
        <v>153</v>
      </c>
      <c r="J319" s="1" t="s">
        <v>71</v>
      </c>
      <c r="K319" s="1">
        <v>12956</v>
      </c>
      <c r="L319" s="1">
        <v>14</v>
      </c>
      <c r="M319" s="1" t="s">
        <v>52</v>
      </c>
      <c r="N319" s="1" t="s">
        <v>186</v>
      </c>
    </row>
    <row r="320" spans="1:14">
      <c r="A320" s="1" t="s">
        <v>1167</v>
      </c>
      <c r="B320" s="1" t="s">
        <v>146</v>
      </c>
      <c r="C320" s="1" t="s">
        <v>1168</v>
      </c>
      <c r="D320" s="1" t="s">
        <v>641</v>
      </c>
      <c r="E320" s="1" t="s">
        <v>18</v>
      </c>
      <c r="F320" s="1" t="s">
        <v>83</v>
      </c>
      <c r="G320" s="1">
        <v>82</v>
      </c>
      <c r="H320" s="1" t="s">
        <v>20</v>
      </c>
      <c r="I320" s="1" t="s">
        <v>153</v>
      </c>
      <c r="J320" s="1" t="s">
        <v>50</v>
      </c>
      <c r="K320" s="1">
        <v>10288</v>
      </c>
      <c r="L320" s="1">
        <v>4</v>
      </c>
      <c r="M320" s="1" t="s">
        <v>33</v>
      </c>
      <c r="N320" s="1" t="s">
        <v>33</v>
      </c>
    </row>
    <row r="321" spans="1:14">
      <c r="A321" s="1" t="s">
        <v>1169</v>
      </c>
      <c r="B321" s="1" t="s">
        <v>1170</v>
      </c>
      <c r="C321" s="1" t="s">
        <v>1171</v>
      </c>
      <c r="D321" s="1" t="s">
        <v>1172</v>
      </c>
      <c r="E321" s="1" t="s">
        <v>120</v>
      </c>
      <c r="F321" s="1" t="s">
        <v>143</v>
      </c>
      <c r="G321" s="1">
        <v>77</v>
      </c>
      <c r="H321" s="1" t="s">
        <v>144</v>
      </c>
      <c r="I321" s="1" t="s">
        <v>49</v>
      </c>
      <c r="J321" s="1" t="s">
        <v>230</v>
      </c>
      <c r="K321" s="1" t="s">
        <v>1173</v>
      </c>
      <c r="L321" s="1">
        <v>18</v>
      </c>
      <c r="M321" s="1" t="s">
        <v>51</v>
      </c>
      <c r="N321" s="1" t="s">
        <v>33</v>
      </c>
    </row>
    <row r="322" spans="1:14">
      <c r="A322" s="1" t="s">
        <v>1174</v>
      </c>
      <c r="B322" s="1" t="s">
        <v>1055</v>
      </c>
      <c r="C322" s="1" t="s">
        <v>1175</v>
      </c>
      <c r="D322" s="1"/>
      <c r="E322" s="1" t="s">
        <v>149</v>
      </c>
      <c r="F322" s="1" t="s">
        <v>47</v>
      </c>
      <c r="G322" s="1">
        <v>46</v>
      </c>
      <c r="H322" s="1" t="s">
        <v>70</v>
      </c>
      <c r="I322" s="1" t="s">
        <v>31</v>
      </c>
      <c r="J322" s="1" t="s">
        <v>22</v>
      </c>
      <c r="K322" s="1">
        <v>8105</v>
      </c>
      <c r="L322" s="1">
        <v>1</v>
      </c>
      <c r="M322" s="1" t="s">
        <v>41</v>
      </c>
      <c r="N322" s="1" t="s">
        <v>23</v>
      </c>
    </row>
    <row r="323" spans="1:14">
      <c r="A323" s="1" t="s">
        <v>1176</v>
      </c>
      <c r="B323" s="1" t="s">
        <v>993</v>
      </c>
      <c r="C323" s="1" t="s">
        <v>1177</v>
      </c>
      <c r="D323" s="1" t="s">
        <v>436</v>
      </c>
      <c r="E323" s="1" t="s">
        <v>64</v>
      </c>
      <c r="F323" s="1" t="s">
        <v>30</v>
      </c>
      <c r="G323" s="1" t="s">
        <v>425</v>
      </c>
      <c r="H323" s="1" t="s">
        <v>70</v>
      </c>
      <c r="I323" s="1" t="s">
        <v>49</v>
      </c>
      <c r="J323" s="1" t="s">
        <v>32</v>
      </c>
      <c r="K323" s="1">
        <v>13398</v>
      </c>
      <c r="L323" s="1">
        <v>19</v>
      </c>
      <c r="M323" s="1" t="s">
        <v>33</v>
      </c>
      <c r="N323" s="1" t="s">
        <v>186</v>
      </c>
    </row>
    <row r="324" spans="1:14">
      <c r="A324" s="1" t="s">
        <v>1178</v>
      </c>
      <c r="B324" s="1" t="s">
        <v>392</v>
      </c>
      <c r="C324" s="1" t="s">
        <v>1123</v>
      </c>
      <c r="D324" s="1" t="s">
        <v>1179</v>
      </c>
      <c r="E324" s="1" t="s">
        <v>18</v>
      </c>
      <c r="F324" s="1" t="s">
        <v>19</v>
      </c>
      <c r="G324" s="1">
        <v>90</v>
      </c>
      <c r="H324" s="1" t="s">
        <v>48</v>
      </c>
      <c r="I324" s="1" t="s">
        <v>153</v>
      </c>
      <c r="J324" s="1" t="s">
        <v>89</v>
      </c>
      <c r="K324" s="1" t="s">
        <v>270</v>
      </c>
      <c r="L324" s="1">
        <v>1</v>
      </c>
      <c r="M324" s="1" t="s">
        <v>51</v>
      </c>
      <c r="N324" s="1" t="s">
        <v>23</v>
      </c>
    </row>
    <row r="325" spans="1:14">
      <c r="A325" s="1" t="s">
        <v>1180</v>
      </c>
      <c r="B325" s="1" t="s">
        <v>1170</v>
      </c>
      <c r="C325" s="1" t="s">
        <v>197</v>
      </c>
      <c r="D325" s="1" t="s">
        <v>1181</v>
      </c>
      <c r="E325" s="1" t="s">
        <v>29</v>
      </c>
      <c r="F325" s="1" t="s">
        <v>30</v>
      </c>
      <c r="G325" s="1">
        <v>43</v>
      </c>
      <c r="H325" s="1" t="s">
        <v>48</v>
      </c>
      <c r="I325" s="1" t="s">
        <v>59</v>
      </c>
      <c r="J325" s="1" t="s">
        <v>210</v>
      </c>
      <c r="K325" s="1">
        <v>13217</v>
      </c>
      <c r="L325" s="1">
        <v>11</v>
      </c>
      <c r="M325" s="1" t="s">
        <v>52</v>
      </c>
      <c r="N325" s="1" t="s">
        <v>23</v>
      </c>
    </row>
    <row r="326" spans="1:14">
      <c r="A326" s="1" t="s">
        <v>1182</v>
      </c>
      <c r="B326" s="1" t="s">
        <v>1183</v>
      </c>
      <c r="C326" s="1" t="s">
        <v>198</v>
      </c>
      <c r="D326" s="1" t="s">
        <v>366</v>
      </c>
      <c r="E326" s="1" t="s">
        <v>149</v>
      </c>
      <c r="F326" s="1" t="s">
        <v>47</v>
      </c>
      <c r="G326" s="1">
        <v>26</v>
      </c>
      <c r="H326" s="1" t="s">
        <v>144</v>
      </c>
      <c r="I326" s="1" t="s">
        <v>65</v>
      </c>
      <c r="J326" s="1" t="s">
        <v>89</v>
      </c>
      <c r="K326" s="1">
        <v>5816</v>
      </c>
      <c r="L326" s="1">
        <v>8</v>
      </c>
      <c r="M326" s="1" t="s">
        <v>52</v>
      </c>
      <c r="N326" s="1" t="s">
        <v>24</v>
      </c>
    </row>
    <row r="327" spans="1:14">
      <c r="A327" s="1" t="s">
        <v>1184</v>
      </c>
      <c r="B327" s="1" t="s">
        <v>1185</v>
      </c>
      <c r="C327" s="1" t="s">
        <v>1186</v>
      </c>
      <c r="D327" s="1" t="s">
        <v>1187</v>
      </c>
      <c r="E327" s="1" t="s">
        <v>29</v>
      </c>
      <c r="F327" s="1" t="s">
        <v>30</v>
      </c>
      <c r="G327" s="1">
        <v>82</v>
      </c>
      <c r="H327" s="1" t="s">
        <v>144</v>
      </c>
      <c r="I327" s="1" t="s">
        <v>31</v>
      </c>
      <c r="J327" s="1" t="s">
        <v>89</v>
      </c>
      <c r="K327" s="1" t="s">
        <v>1188</v>
      </c>
      <c r="L327" s="1">
        <v>2</v>
      </c>
      <c r="M327" s="1" t="s">
        <v>33</v>
      </c>
      <c r="N327" s="1"/>
    </row>
    <row r="328" spans="1:14">
      <c r="A328" s="1" t="s">
        <v>1189</v>
      </c>
      <c r="B328" s="1" t="s">
        <v>878</v>
      </c>
      <c r="C328" s="1" t="s">
        <v>1190</v>
      </c>
      <c r="D328" s="1" t="s">
        <v>492</v>
      </c>
      <c r="E328" s="1" t="s">
        <v>137</v>
      </c>
      <c r="F328" s="1" t="s">
        <v>30</v>
      </c>
      <c r="G328" s="1">
        <v>27</v>
      </c>
      <c r="H328" s="1" t="s">
        <v>84</v>
      </c>
      <c r="I328" s="1" t="s">
        <v>110</v>
      </c>
      <c r="J328" s="1" t="s">
        <v>89</v>
      </c>
      <c r="K328" s="1">
        <v>489</v>
      </c>
      <c r="L328" s="1">
        <v>20</v>
      </c>
      <c r="M328" s="1" t="s">
        <v>41</v>
      </c>
      <c r="N328" s="1" t="s">
        <v>33</v>
      </c>
    </row>
    <row r="329" spans="1:14">
      <c r="A329" s="1" t="s">
        <v>1191</v>
      </c>
      <c r="B329" s="1" t="s">
        <v>1192</v>
      </c>
      <c r="C329" s="1" t="s">
        <v>1193</v>
      </c>
      <c r="D329" s="1" t="s">
        <v>1194</v>
      </c>
      <c r="E329" s="1" t="s">
        <v>29</v>
      </c>
      <c r="F329" s="1" t="s">
        <v>102</v>
      </c>
      <c r="G329" s="1">
        <v>31</v>
      </c>
      <c r="H329" s="1" t="s">
        <v>104</v>
      </c>
      <c r="I329" s="1" t="s">
        <v>153</v>
      </c>
      <c r="J329" s="1" t="s">
        <v>40</v>
      </c>
      <c r="K329" s="1" t="s">
        <v>270</v>
      </c>
      <c r="L329" s="1">
        <v>9</v>
      </c>
      <c r="M329" s="1" t="s">
        <v>41</v>
      </c>
      <c r="N329" s="1" t="s">
        <v>41</v>
      </c>
    </row>
    <row r="330" spans="1:14">
      <c r="A330" s="1" t="s">
        <v>1195</v>
      </c>
      <c r="B330" s="1" t="s">
        <v>1196</v>
      </c>
      <c r="C330" s="1" t="s">
        <v>1197</v>
      </c>
      <c r="D330" s="1" t="s">
        <v>601</v>
      </c>
      <c r="E330" s="1" t="s">
        <v>357</v>
      </c>
      <c r="F330" s="1" t="s">
        <v>183</v>
      </c>
      <c r="G330" s="1">
        <v>24</v>
      </c>
      <c r="H330" s="1" t="s">
        <v>20</v>
      </c>
      <c r="I330" s="1" t="s">
        <v>153</v>
      </c>
      <c r="J330" s="1" t="s">
        <v>22</v>
      </c>
      <c r="K330" s="1">
        <v>2951</v>
      </c>
      <c r="L330" s="1">
        <v>18</v>
      </c>
      <c r="M330" s="1" t="s">
        <v>52</v>
      </c>
      <c r="N330" s="1" t="s">
        <v>24</v>
      </c>
    </row>
    <row r="331" spans="1:14">
      <c r="A331" s="1" t="s">
        <v>1198</v>
      </c>
      <c r="B331" s="1" t="s">
        <v>458</v>
      </c>
      <c r="C331" s="1" t="s">
        <v>1199</v>
      </c>
      <c r="D331" s="1" t="s">
        <v>1200</v>
      </c>
      <c r="E331" s="1" t="s">
        <v>357</v>
      </c>
      <c r="F331" s="1" t="s">
        <v>183</v>
      </c>
      <c r="G331" s="1">
        <v>31</v>
      </c>
      <c r="H331" s="1" t="s">
        <v>48</v>
      </c>
      <c r="I331" s="1" t="s">
        <v>65</v>
      </c>
      <c r="J331" s="1" t="s">
        <v>50</v>
      </c>
      <c r="K331" s="1" t="s">
        <v>1201</v>
      </c>
      <c r="L331" s="1">
        <v>20</v>
      </c>
      <c r="M331" s="1" t="s">
        <v>23</v>
      </c>
      <c r="N331" s="1" t="s">
        <v>52</v>
      </c>
    </row>
    <row r="332" spans="1:14">
      <c r="A332" s="1" t="s">
        <v>1202</v>
      </c>
      <c r="B332" s="1" t="s">
        <v>1203</v>
      </c>
      <c r="C332" s="1" t="s">
        <v>1204</v>
      </c>
      <c r="D332" s="1" t="s">
        <v>280</v>
      </c>
      <c r="E332" s="1" t="s">
        <v>18</v>
      </c>
      <c r="F332" s="1" t="s">
        <v>19</v>
      </c>
      <c r="G332" s="1">
        <v>24</v>
      </c>
      <c r="H332" s="1" t="s">
        <v>84</v>
      </c>
      <c r="I332" s="1" t="s">
        <v>65</v>
      </c>
      <c r="J332" s="1" t="s">
        <v>32</v>
      </c>
      <c r="K332" s="1" t="s">
        <v>1205</v>
      </c>
      <c r="L332" s="1">
        <v>20</v>
      </c>
      <c r="M332" s="1" t="s">
        <v>51</v>
      </c>
      <c r="N332" s="1" t="s">
        <v>41</v>
      </c>
    </row>
    <row r="333" spans="1:14">
      <c r="A333" s="1" t="s">
        <v>1206</v>
      </c>
      <c r="B333" s="1" t="s">
        <v>759</v>
      </c>
      <c r="C333" s="1" t="s">
        <v>1207</v>
      </c>
      <c r="D333" s="1" t="s">
        <v>1208</v>
      </c>
      <c r="E333" s="1" t="s">
        <v>46</v>
      </c>
      <c r="F333" s="1" t="s">
        <v>199</v>
      </c>
      <c r="G333" s="1">
        <v>82</v>
      </c>
      <c r="H333" s="1" t="s">
        <v>104</v>
      </c>
      <c r="I333" s="1" t="s">
        <v>115</v>
      </c>
      <c r="J333" s="1" t="s">
        <v>22</v>
      </c>
      <c r="K333" s="1">
        <v>1223</v>
      </c>
      <c r="L333" s="1">
        <v>17</v>
      </c>
      <c r="M333" s="1" t="s">
        <v>52</v>
      </c>
      <c r="N333" s="1" t="s">
        <v>23</v>
      </c>
    </row>
    <row r="334" spans="1:14">
      <c r="A334" s="1" t="s">
        <v>1209</v>
      </c>
      <c r="B334" s="1" t="s">
        <v>1210</v>
      </c>
      <c r="C334" s="1" t="s">
        <v>1190</v>
      </c>
      <c r="D334" s="1" t="s">
        <v>1211</v>
      </c>
      <c r="E334" s="1" t="s">
        <v>64</v>
      </c>
      <c r="F334" s="1" t="s">
        <v>102</v>
      </c>
      <c r="G334" s="1">
        <v>32</v>
      </c>
      <c r="H334" s="1" t="s">
        <v>104</v>
      </c>
      <c r="I334" s="1" t="s">
        <v>65</v>
      </c>
      <c r="J334" s="1" t="s">
        <v>210</v>
      </c>
      <c r="K334" s="1">
        <v>4945</v>
      </c>
      <c r="L334" s="1">
        <v>14</v>
      </c>
      <c r="M334" s="1" t="s">
        <v>24</v>
      </c>
      <c r="N334" s="1" t="s">
        <v>24</v>
      </c>
    </row>
    <row r="335" spans="1:14">
      <c r="A335" s="1" t="s">
        <v>78</v>
      </c>
      <c r="B335" s="1" t="s">
        <v>79</v>
      </c>
      <c r="C335" s="1" t="s">
        <v>80</v>
      </c>
      <c r="D335" s="1" t="s">
        <v>81</v>
      </c>
      <c r="E335" s="1" t="s">
        <v>82</v>
      </c>
      <c r="F335" s="1" t="s">
        <v>83</v>
      </c>
      <c r="G335" s="1">
        <v>30</v>
      </c>
      <c r="H335" s="1" t="s">
        <v>84</v>
      </c>
      <c r="I335" s="1" t="s">
        <v>65</v>
      </c>
      <c r="J335" s="1" t="s">
        <v>22</v>
      </c>
      <c r="K335" s="1">
        <v>13262</v>
      </c>
      <c r="L335" s="1">
        <v>16</v>
      </c>
      <c r="M335" s="1" t="s">
        <v>52</v>
      </c>
      <c r="N335" s="1" t="s">
        <v>33</v>
      </c>
    </row>
    <row r="336" spans="1:14">
      <c r="A336" s="1" t="s">
        <v>1212</v>
      </c>
      <c r="B336" s="1" t="s">
        <v>333</v>
      </c>
      <c r="C336" s="1" t="s">
        <v>1213</v>
      </c>
      <c r="D336" s="1" t="s">
        <v>781</v>
      </c>
      <c r="E336" s="1" t="s">
        <v>149</v>
      </c>
      <c r="F336" s="1" t="s">
        <v>199</v>
      </c>
      <c r="G336" s="1" t="s">
        <v>1214</v>
      </c>
      <c r="H336" s="1" t="s">
        <v>70</v>
      </c>
      <c r="I336" s="1" t="s">
        <v>31</v>
      </c>
      <c r="J336" s="1" t="s">
        <v>50</v>
      </c>
      <c r="K336" s="1">
        <v>9563</v>
      </c>
      <c r="L336" s="1" t="s">
        <v>1215</v>
      </c>
      <c r="M336" s="1" t="s">
        <v>51</v>
      </c>
      <c r="N336" s="1" t="s">
        <v>186</v>
      </c>
    </row>
    <row r="337" spans="1:14">
      <c r="A337" s="1" t="s">
        <v>1216</v>
      </c>
      <c r="B337" s="1" t="s">
        <v>1217</v>
      </c>
      <c r="C337" s="1" t="s">
        <v>806</v>
      </c>
      <c r="D337" s="1" t="s">
        <v>898</v>
      </c>
      <c r="E337" s="1" t="s">
        <v>120</v>
      </c>
      <c r="F337" s="1" t="s">
        <v>39</v>
      </c>
      <c r="G337" s="1">
        <v>64</v>
      </c>
      <c r="H337" s="1"/>
      <c r="I337" s="1" t="s">
        <v>21</v>
      </c>
      <c r="J337" s="1" t="s">
        <v>40</v>
      </c>
      <c r="K337" s="1">
        <v>4870</v>
      </c>
      <c r="L337" s="1">
        <v>12</v>
      </c>
      <c r="M337" s="1" t="s">
        <v>41</v>
      </c>
      <c r="N337" s="1" t="s">
        <v>41</v>
      </c>
    </row>
    <row r="338" spans="1:14">
      <c r="A338" s="1" t="s">
        <v>1218</v>
      </c>
      <c r="B338" s="1" t="s">
        <v>106</v>
      </c>
      <c r="C338" s="1" t="s">
        <v>1129</v>
      </c>
      <c r="D338" s="1" t="s">
        <v>1219</v>
      </c>
      <c r="E338" s="1" t="s">
        <v>38</v>
      </c>
      <c r="F338" s="1" t="s">
        <v>143</v>
      </c>
      <c r="G338" s="1" t="s">
        <v>1220</v>
      </c>
      <c r="H338" s="1" t="s">
        <v>58</v>
      </c>
      <c r="I338" s="1" t="s">
        <v>115</v>
      </c>
      <c r="J338" s="1" t="s">
        <v>230</v>
      </c>
      <c r="K338" s="1">
        <v>2687</v>
      </c>
      <c r="L338" s="1">
        <v>14</v>
      </c>
      <c r="M338" s="1">
        <v>0</v>
      </c>
      <c r="N338" s="1" t="s">
        <v>33</v>
      </c>
    </row>
    <row r="339" spans="1:14">
      <c r="A339" s="1" t="s">
        <v>1221</v>
      </c>
      <c r="B339" s="1" t="s">
        <v>526</v>
      </c>
      <c r="C339" s="1" t="s">
        <v>1222</v>
      </c>
      <c r="D339" s="1" t="s">
        <v>1223</v>
      </c>
      <c r="E339" s="1" t="s">
        <v>18</v>
      </c>
      <c r="F339" s="1" t="s">
        <v>83</v>
      </c>
      <c r="G339" s="1">
        <v>32</v>
      </c>
      <c r="H339" s="1" t="s">
        <v>104</v>
      </c>
      <c r="I339" s="1" t="s">
        <v>115</v>
      </c>
      <c r="J339" s="1" t="s">
        <v>210</v>
      </c>
      <c r="K339" s="1">
        <v>419</v>
      </c>
      <c r="L339" s="1">
        <v>20</v>
      </c>
      <c r="M339" s="1" t="s">
        <v>52</v>
      </c>
      <c r="N339" s="1" t="s">
        <v>23</v>
      </c>
    </row>
    <row r="340" spans="1:14">
      <c r="A340" s="1" t="s">
        <v>1224</v>
      </c>
      <c r="B340" s="1" t="s">
        <v>592</v>
      </c>
      <c r="C340" s="1" t="s">
        <v>1166</v>
      </c>
      <c r="D340" s="1" t="s">
        <v>1225</v>
      </c>
      <c r="E340" s="1" t="s">
        <v>142</v>
      </c>
      <c r="F340" s="1" t="s">
        <v>39</v>
      </c>
      <c r="G340" s="1" t="s">
        <v>330</v>
      </c>
      <c r="H340" s="1" t="s">
        <v>70</v>
      </c>
      <c r="I340" s="1" t="s">
        <v>49</v>
      </c>
      <c r="J340" s="1" t="s">
        <v>22</v>
      </c>
      <c r="K340" s="1">
        <v>1981</v>
      </c>
      <c r="L340" s="1" t="s">
        <v>885</v>
      </c>
      <c r="M340" s="1" t="s">
        <v>24</v>
      </c>
      <c r="N340" s="1" t="s">
        <v>41</v>
      </c>
    </row>
    <row r="341" spans="1:14">
      <c r="A341" s="1" t="s">
        <v>1226</v>
      </c>
      <c r="B341" s="1" t="s">
        <v>1227</v>
      </c>
      <c r="C341" s="1" t="s">
        <v>474</v>
      </c>
      <c r="D341" s="1" t="s">
        <v>488</v>
      </c>
      <c r="E341" s="1" t="s">
        <v>108</v>
      </c>
      <c r="F341" s="1" t="s">
        <v>47</v>
      </c>
      <c r="G341" s="1">
        <v>58</v>
      </c>
      <c r="H341" s="1" t="s">
        <v>48</v>
      </c>
      <c r="I341" s="1" t="s">
        <v>31</v>
      </c>
      <c r="J341" s="1" t="s">
        <v>230</v>
      </c>
      <c r="K341" s="1">
        <v>7090</v>
      </c>
      <c r="L341" s="1">
        <v>11</v>
      </c>
      <c r="M341" s="1">
        <v>0</v>
      </c>
      <c r="N341" s="1" t="s">
        <v>186</v>
      </c>
    </row>
    <row r="342" spans="1:14">
      <c r="A342" s="1" t="s">
        <v>1228</v>
      </c>
      <c r="B342" s="1" t="s">
        <v>826</v>
      </c>
      <c r="C342" s="1" t="s">
        <v>1229</v>
      </c>
      <c r="D342" s="1" t="s">
        <v>1230</v>
      </c>
      <c r="E342" s="1" t="s">
        <v>142</v>
      </c>
      <c r="F342" s="1" t="s">
        <v>143</v>
      </c>
      <c r="G342" s="1">
        <v>83</v>
      </c>
      <c r="H342" s="1" t="s">
        <v>144</v>
      </c>
      <c r="I342" s="1" t="s">
        <v>110</v>
      </c>
      <c r="J342" s="1" t="s">
        <v>32</v>
      </c>
      <c r="K342" s="1">
        <v>-250</v>
      </c>
      <c r="L342" s="1">
        <v>10</v>
      </c>
      <c r="M342" s="1" t="s">
        <v>23</v>
      </c>
      <c r="N342" s="1" t="s">
        <v>33</v>
      </c>
    </row>
    <row r="343" spans="1:14">
      <c r="A343" s="1" t="s">
        <v>1231</v>
      </c>
      <c r="B343" s="1" t="s">
        <v>1232</v>
      </c>
      <c r="C343" s="1" t="s">
        <v>664</v>
      </c>
      <c r="D343" s="1"/>
      <c r="E343" s="1" t="s">
        <v>357</v>
      </c>
      <c r="F343" s="1" t="s">
        <v>69</v>
      </c>
      <c r="G343" s="1">
        <v>62</v>
      </c>
      <c r="H343" s="1" t="s">
        <v>84</v>
      </c>
      <c r="I343" s="1" t="s">
        <v>59</v>
      </c>
      <c r="J343" s="1" t="s">
        <v>40</v>
      </c>
      <c r="K343" s="1">
        <v>12150</v>
      </c>
      <c r="L343" s="1">
        <v>14</v>
      </c>
      <c r="M343" s="1" t="s">
        <v>23</v>
      </c>
      <c r="N343" s="1" t="s">
        <v>52</v>
      </c>
    </row>
    <row r="344" spans="1:14">
      <c r="A344" s="1" t="s">
        <v>1233</v>
      </c>
      <c r="B344" s="1" t="s">
        <v>494</v>
      </c>
      <c r="C344" s="1" t="s">
        <v>1234</v>
      </c>
      <c r="D344" s="1" t="s">
        <v>221</v>
      </c>
      <c r="E344" s="1" t="s">
        <v>249</v>
      </c>
      <c r="F344" s="1" t="s">
        <v>114</v>
      </c>
      <c r="G344" s="1">
        <v>5</v>
      </c>
      <c r="H344" s="1" t="s">
        <v>144</v>
      </c>
      <c r="I344" s="1" t="s">
        <v>110</v>
      </c>
      <c r="J344" s="1" t="s">
        <v>210</v>
      </c>
      <c r="K344" s="1">
        <v>12463</v>
      </c>
      <c r="L344" s="1">
        <v>2</v>
      </c>
      <c r="M344" s="1" t="s">
        <v>33</v>
      </c>
      <c r="N344" s="1" t="s">
        <v>24</v>
      </c>
    </row>
    <row r="345" spans="1:14">
      <c r="A345" s="1" t="s">
        <v>1235</v>
      </c>
      <c r="B345" s="1" t="s">
        <v>918</v>
      </c>
      <c r="C345" s="1" t="s">
        <v>1236</v>
      </c>
      <c r="D345" s="1" t="s">
        <v>752</v>
      </c>
      <c r="E345" s="1" t="s">
        <v>175</v>
      </c>
      <c r="F345" s="1" t="s">
        <v>114</v>
      </c>
      <c r="G345" s="1" t="s">
        <v>1237</v>
      </c>
      <c r="H345" s="1" t="s">
        <v>84</v>
      </c>
      <c r="I345" s="1" t="s">
        <v>110</v>
      </c>
      <c r="J345" s="1" t="s">
        <v>22</v>
      </c>
      <c r="K345" s="1">
        <v>1168</v>
      </c>
      <c r="L345" s="1">
        <v>18</v>
      </c>
      <c r="M345" s="1">
        <v>0</v>
      </c>
      <c r="N345" s="1" t="s">
        <v>186</v>
      </c>
    </row>
    <row r="346" spans="1:14">
      <c r="A346" s="1" t="s">
        <v>761</v>
      </c>
      <c r="B346" s="1" t="s">
        <v>762</v>
      </c>
      <c r="C346" s="1" t="s">
        <v>752</v>
      </c>
      <c r="D346" s="1" t="s">
        <v>763</v>
      </c>
      <c r="E346" s="1" t="s">
        <v>38</v>
      </c>
      <c r="F346" s="1" t="s">
        <v>143</v>
      </c>
      <c r="G346" s="1">
        <v>91</v>
      </c>
      <c r="H346" s="1" t="s">
        <v>20</v>
      </c>
      <c r="I346" s="1" t="s">
        <v>21</v>
      </c>
      <c r="J346" s="1" t="s">
        <v>71</v>
      </c>
      <c r="K346" s="1">
        <v>5834</v>
      </c>
      <c r="L346" s="1">
        <v>12</v>
      </c>
      <c r="M346" s="1">
        <v>0</v>
      </c>
      <c r="N346" s="1" t="s">
        <v>186</v>
      </c>
    </row>
    <row r="347" spans="1:14">
      <c r="A347" s="1" t="s">
        <v>1238</v>
      </c>
      <c r="B347" s="1" t="s">
        <v>196</v>
      </c>
      <c r="C347" s="1" t="s">
        <v>1146</v>
      </c>
      <c r="D347" s="1" t="s">
        <v>830</v>
      </c>
      <c r="E347" s="1" t="s">
        <v>108</v>
      </c>
      <c r="F347" s="1" t="s">
        <v>47</v>
      </c>
      <c r="G347" s="1">
        <v>74</v>
      </c>
      <c r="H347" s="1" t="s">
        <v>84</v>
      </c>
      <c r="I347" s="1" t="s">
        <v>21</v>
      </c>
      <c r="J347" s="1" t="s">
        <v>32</v>
      </c>
      <c r="K347" s="1">
        <v>12116</v>
      </c>
      <c r="L347" s="1" t="s">
        <v>1215</v>
      </c>
      <c r="M347" s="1" t="s">
        <v>51</v>
      </c>
      <c r="N347" s="1" t="s">
        <v>41</v>
      </c>
    </row>
    <row r="348" spans="1:14">
      <c r="A348" s="1" t="s">
        <v>1239</v>
      </c>
      <c r="B348" s="1" t="s">
        <v>161</v>
      </c>
      <c r="C348" s="1" t="s">
        <v>214</v>
      </c>
      <c r="D348" s="1" t="s">
        <v>1240</v>
      </c>
      <c r="E348" s="1" t="s">
        <v>82</v>
      </c>
      <c r="F348" s="1" t="s">
        <v>132</v>
      </c>
      <c r="G348" s="1">
        <v>56</v>
      </c>
      <c r="H348" s="1" t="s">
        <v>104</v>
      </c>
      <c r="I348" s="1" t="s">
        <v>127</v>
      </c>
      <c r="J348" s="1" t="s">
        <v>210</v>
      </c>
      <c r="K348" s="1" t="s">
        <v>1241</v>
      </c>
      <c r="L348" s="1">
        <v>3</v>
      </c>
      <c r="M348" s="1" t="s">
        <v>33</v>
      </c>
      <c r="N348" s="1" t="s">
        <v>24</v>
      </c>
    </row>
    <row r="349" spans="1:14">
      <c r="A349" s="1" t="s">
        <v>1242</v>
      </c>
      <c r="B349" s="1" t="s">
        <v>1243</v>
      </c>
      <c r="C349" s="1" t="s">
        <v>1036</v>
      </c>
      <c r="D349" s="1" t="s">
        <v>87</v>
      </c>
      <c r="E349" s="1" t="s">
        <v>18</v>
      </c>
      <c r="F349" s="1" t="s">
        <v>19</v>
      </c>
      <c r="G349" s="1">
        <v>95</v>
      </c>
      <c r="H349" s="1" t="s">
        <v>58</v>
      </c>
      <c r="I349" s="1" t="s">
        <v>115</v>
      </c>
      <c r="J349" s="1" t="s">
        <v>230</v>
      </c>
      <c r="K349" s="1" t="s">
        <v>1244</v>
      </c>
      <c r="L349" s="1">
        <v>19</v>
      </c>
      <c r="M349" s="1">
        <v>1</v>
      </c>
      <c r="N349" s="1" t="s">
        <v>33</v>
      </c>
    </row>
    <row r="350" spans="1:14">
      <c r="A350" s="1" t="s">
        <v>1245</v>
      </c>
      <c r="B350" s="1" t="s">
        <v>446</v>
      </c>
      <c r="C350" s="1" t="s">
        <v>17</v>
      </c>
      <c r="D350" s="1" t="s">
        <v>1040</v>
      </c>
      <c r="E350" s="1" t="s">
        <v>357</v>
      </c>
      <c r="F350" s="1" t="s">
        <v>126</v>
      </c>
      <c r="G350" s="1" t="s">
        <v>484</v>
      </c>
      <c r="H350" s="1" t="s">
        <v>48</v>
      </c>
      <c r="I350" s="1" t="s">
        <v>21</v>
      </c>
      <c r="J350" s="1" t="s">
        <v>89</v>
      </c>
      <c r="K350" s="1">
        <v>3269</v>
      </c>
      <c r="L350" s="1">
        <v>8</v>
      </c>
      <c r="M350" s="1" t="s">
        <v>24</v>
      </c>
      <c r="N350" s="1" t="s">
        <v>52</v>
      </c>
    </row>
    <row r="351" spans="1:14">
      <c r="A351" s="1" t="s">
        <v>1246</v>
      </c>
      <c r="B351" s="1" t="s">
        <v>1004</v>
      </c>
      <c r="C351" s="1" t="s">
        <v>911</v>
      </c>
      <c r="D351" s="1" t="s">
        <v>1247</v>
      </c>
      <c r="E351" s="1" t="s">
        <v>38</v>
      </c>
      <c r="F351" s="1" t="s">
        <v>39</v>
      </c>
      <c r="G351" s="1">
        <v>93</v>
      </c>
      <c r="H351" s="1" t="s">
        <v>144</v>
      </c>
      <c r="I351" s="1" t="s">
        <v>21</v>
      </c>
      <c r="J351" s="1" t="s">
        <v>32</v>
      </c>
      <c r="K351" s="1">
        <v>7304</v>
      </c>
      <c r="L351" s="1">
        <v>3</v>
      </c>
      <c r="M351" s="1" t="s">
        <v>52</v>
      </c>
      <c r="N351" s="1" t="s">
        <v>33</v>
      </c>
    </row>
    <row r="352" spans="1:14">
      <c r="A352" s="1" t="s">
        <v>1248</v>
      </c>
      <c r="B352" s="1" t="s">
        <v>1249</v>
      </c>
      <c r="C352" s="1" t="s">
        <v>500</v>
      </c>
      <c r="D352" s="1" t="s">
        <v>950</v>
      </c>
      <c r="E352" s="1" t="s">
        <v>137</v>
      </c>
      <c r="F352" s="1" t="s">
        <v>30</v>
      </c>
      <c r="G352" s="1">
        <v>46</v>
      </c>
      <c r="H352" s="1" t="s">
        <v>58</v>
      </c>
      <c r="I352" s="1" t="s">
        <v>59</v>
      </c>
      <c r="J352" s="1" t="s">
        <v>50</v>
      </c>
      <c r="K352" s="1" t="s">
        <v>1250</v>
      </c>
      <c r="L352" s="1">
        <v>13</v>
      </c>
      <c r="M352" s="1">
        <v>1</v>
      </c>
      <c r="N352" s="1" t="s">
        <v>33</v>
      </c>
    </row>
    <row r="353" spans="1:14">
      <c r="A353" s="1" t="s">
        <v>697</v>
      </c>
      <c r="B353" s="1" t="s">
        <v>698</v>
      </c>
      <c r="C353" s="1" t="s">
        <v>699</v>
      </c>
      <c r="D353" s="1" t="s">
        <v>700</v>
      </c>
      <c r="E353" s="1" t="s">
        <v>29</v>
      </c>
      <c r="F353" s="1" t="s">
        <v>77</v>
      </c>
      <c r="G353" s="1">
        <v>55</v>
      </c>
      <c r="H353" s="1" t="s">
        <v>70</v>
      </c>
      <c r="I353" s="1" t="s">
        <v>153</v>
      </c>
      <c r="J353" s="1" t="s">
        <v>210</v>
      </c>
      <c r="K353" s="1">
        <v>-250</v>
      </c>
      <c r="L353" s="1">
        <v>20</v>
      </c>
      <c r="M353" s="1" t="s">
        <v>24</v>
      </c>
      <c r="N353" s="1" t="s">
        <v>23</v>
      </c>
    </row>
    <row r="354" spans="1:14">
      <c r="A354" s="1" t="s">
        <v>1251</v>
      </c>
      <c r="B354" s="1" t="s">
        <v>1252</v>
      </c>
      <c r="C354" s="1" t="s">
        <v>1253</v>
      </c>
      <c r="D354" s="1" t="s">
        <v>1254</v>
      </c>
      <c r="E354" s="1" t="s">
        <v>175</v>
      </c>
      <c r="F354" s="1" t="s">
        <v>114</v>
      </c>
      <c r="G354" s="1">
        <v>6</v>
      </c>
      <c r="H354" s="1" t="s">
        <v>58</v>
      </c>
      <c r="I354" s="1" t="s">
        <v>65</v>
      </c>
      <c r="J354" s="1" t="s">
        <v>71</v>
      </c>
      <c r="K354" s="1">
        <v>3372</v>
      </c>
      <c r="L354" s="1" t="s">
        <v>303</v>
      </c>
      <c r="M354" s="1" t="s">
        <v>51</v>
      </c>
      <c r="N354" s="1" t="s">
        <v>33</v>
      </c>
    </row>
    <row r="355" spans="1:14">
      <c r="A355" s="1" t="s">
        <v>1255</v>
      </c>
      <c r="B355" s="1" t="s">
        <v>86</v>
      </c>
      <c r="C355" s="1" t="s">
        <v>245</v>
      </c>
      <c r="D355" s="1" t="s">
        <v>692</v>
      </c>
      <c r="E355" s="1" t="s">
        <v>46</v>
      </c>
      <c r="F355" s="1" t="s">
        <v>109</v>
      </c>
      <c r="G355" s="1">
        <v>81</v>
      </c>
      <c r="H355" s="1" t="s">
        <v>48</v>
      </c>
      <c r="I355" s="1" t="s">
        <v>115</v>
      </c>
      <c r="J355" s="1" t="s">
        <v>230</v>
      </c>
      <c r="K355" s="1">
        <v>13278</v>
      </c>
      <c r="L355" s="1">
        <v>4</v>
      </c>
      <c r="M355" s="1" t="s">
        <v>51</v>
      </c>
      <c r="N355" s="1" t="s">
        <v>52</v>
      </c>
    </row>
    <row r="356" spans="1:14">
      <c r="A356" s="1" t="s">
        <v>1256</v>
      </c>
      <c r="B356" s="1" t="s">
        <v>346</v>
      </c>
      <c r="C356" s="1" t="s">
        <v>1257</v>
      </c>
      <c r="D356" s="1" t="s">
        <v>1258</v>
      </c>
      <c r="E356" s="1" t="s">
        <v>357</v>
      </c>
      <c r="F356" s="1" t="s">
        <v>69</v>
      </c>
      <c r="G356" s="1">
        <v>86</v>
      </c>
      <c r="H356" s="1" t="s">
        <v>58</v>
      </c>
      <c r="I356" s="1"/>
      <c r="J356" s="1" t="s">
        <v>40</v>
      </c>
      <c r="K356" s="1">
        <v>14132</v>
      </c>
      <c r="L356" s="1">
        <v>19</v>
      </c>
      <c r="M356" s="1">
        <v>1</v>
      </c>
      <c r="N356" s="1" t="s">
        <v>186</v>
      </c>
    </row>
    <row r="357" spans="1:14">
      <c r="A357" s="1" t="s">
        <v>1259</v>
      </c>
      <c r="B357" s="1" t="s">
        <v>43</v>
      </c>
      <c r="C357" s="1" t="s">
        <v>903</v>
      </c>
      <c r="D357" s="1" t="s">
        <v>1179</v>
      </c>
      <c r="E357" s="1" t="s">
        <v>182</v>
      </c>
      <c r="F357" s="1" t="s">
        <v>183</v>
      </c>
      <c r="G357" s="1">
        <v>31</v>
      </c>
      <c r="H357" s="1" t="s">
        <v>70</v>
      </c>
      <c r="I357" s="1" t="s">
        <v>153</v>
      </c>
      <c r="J357" s="1" t="s">
        <v>71</v>
      </c>
      <c r="K357" s="1">
        <v>11764</v>
      </c>
      <c r="L357" s="1">
        <v>2</v>
      </c>
      <c r="M357" s="1" t="s">
        <v>52</v>
      </c>
      <c r="N357" s="1" t="s">
        <v>33</v>
      </c>
    </row>
    <row r="358" spans="1:14">
      <c r="A358" s="1" t="s">
        <v>1260</v>
      </c>
      <c r="B358" s="1" t="s">
        <v>1252</v>
      </c>
      <c r="C358" s="1" t="s">
        <v>1261</v>
      </c>
      <c r="D358" s="1" t="s">
        <v>1262</v>
      </c>
      <c r="E358" s="1" t="s">
        <v>175</v>
      </c>
      <c r="F358" s="1" t="s">
        <v>209</v>
      </c>
      <c r="G358" s="1">
        <v>13</v>
      </c>
      <c r="H358" s="1" t="s">
        <v>144</v>
      </c>
      <c r="I358" s="1" t="s">
        <v>59</v>
      </c>
      <c r="J358" s="1" t="s">
        <v>230</v>
      </c>
      <c r="K358" s="1" t="s">
        <v>1263</v>
      </c>
      <c r="L358" s="1">
        <v>2</v>
      </c>
      <c r="M358" s="1" t="s">
        <v>24</v>
      </c>
      <c r="N358" s="1" t="s">
        <v>186</v>
      </c>
    </row>
    <row r="359" spans="1:14">
      <c r="A359" s="1" t="s">
        <v>1264</v>
      </c>
      <c r="B359" s="1" t="s">
        <v>1265</v>
      </c>
      <c r="C359" s="1" t="s">
        <v>888</v>
      </c>
      <c r="D359" s="1" t="s">
        <v>492</v>
      </c>
      <c r="E359" s="1" t="s">
        <v>46</v>
      </c>
      <c r="F359" s="1" t="s">
        <v>199</v>
      </c>
      <c r="G359" s="1">
        <v>63</v>
      </c>
      <c r="H359" s="1" t="s">
        <v>48</v>
      </c>
      <c r="I359" s="1" t="s">
        <v>65</v>
      </c>
      <c r="J359" s="1" t="s">
        <v>32</v>
      </c>
      <c r="K359" s="1">
        <v>5529</v>
      </c>
      <c r="L359" s="1"/>
      <c r="M359" s="1" t="s">
        <v>24</v>
      </c>
      <c r="N359" s="1" t="s">
        <v>41</v>
      </c>
    </row>
    <row r="360" spans="1:14">
      <c r="A360" s="1" t="s">
        <v>1266</v>
      </c>
      <c r="B360" s="1" t="s">
        <v>1267</v>
      </c>
      <c r="C360" s="1" t="s">
        <v>198</v>
      </c>
      <c r="D360" s="1" t="s">
        <v>1168</v>
      </c>
      <c r="E360" s="1" t="s">
        <v>149</v>
      </c>
      <c r="F360" s="1" t="s">
        <v>199</v>
      </c>
      <c r="G360" s="1">
        <v>87</v>
      </c>
      <c r="H360" s="1" t="s">
        <v>70</v>
      </c>
      <c r="I360" s="1" t="s">
        <v>49</v>
      </c>
      <c r="J360" s="1" t="s">
        <v>210</v>
      </c>
      <c r="K360" s="1">
        <v>6214</v>
      </c>
      <c r="L360" s="1">
        <v>12</v>
      </c>
      <c r="M360" s="1">
        <v>1</v>
      </c>
      <c r="N360" s="1" t="s">
        <v>23</v>
      </c>
    </row>
    <row r="361" spans="1:14">
      <c r="A361" s="1" t="s">
        <v>1268</v>
      </c>
      <c r="B361" s="1" t="s">
        <v>1269</v>
      </c>
      <c r="C361" s="1" t="s">
        <v>578</v>
      </c>
      <c r="D361" s="1" t="s">
        <v>1270</v>
      </c>
      <c r="E361" s="1" t="s">
        <v>108</v>
      </c>
      <c r="F361" s="1" t="s">
        <v>47</v>
      </c>
      <c r="G361" s="1">
        <v>49</v>
      </c>
      <c r="H361" s="1" t="s">
        <v>58</v>
      </c>
      <c r="I361" s="1" t="s">
        <v>115</v>
      </c>
      <c r="J361" s="1" t="s">
        <v>210</v>
      </c>
      <c r="K361" s="1" t="s">
        <v>1271</v>
      </c>
      <c r="L361" s="1">
        <v>12</v>
      </c>
      <c r="M361" s="1" t="s">
        <v>33</v>
      </c>
      <c r="N361" s="1" t="s">
        <v>23</v>
      </c>
    </row>
    <row r="362" spans="1:14">
      <c r="A362" s="1" t="s">
        <v>1272</v>
      </c>
      <c r="B362" s="1" t="s">
        <v>1273</v>
      </c>
      <c r="C362" s="1" t="s">
        <v>1274</v>
      </c>
      <c r="D362" s="1"/>
      <c r="E362" s="1" t="s">
        <v>95</v>
      </c>
      <c r="F362" s="1" t="s">
        <v>209</v>
      </c>
      <c r="G362" s="1">
        <v>11</v>
      </c>
      <c r="H362" s="1" t="s">
        <v>144</v>
      </c>
      <c r="I362" s="1" t="s">
        <v>115</v>
      </c>
      <c r="J362" s="1" t="s">
        <v>50</v>
      </c>
      <c r="K362" s="1" t="s">
        <v>1275</v>
      </c>
      <c r="L362" s="1">
        <v>19</v>
      </c>
      <c r="M362" s="1" t="s">
        <v>41</v>
      </c>
      <c r="N362" s="1" t="s">
        <v>23</v>
      </c>
    </row>
    <row r="363" spans="1:14">
      <c r="A363" s="1" t="s">
        <v>1276</v>
      </c>
      <c r="B363" s="1" t="s">
        <v>516</v>
      </c>
      <c r="C363" s="1" t="s">
        <v>614</v>
      </c>
      <c r="D363" s="1" t="s">
        <v>1277</v>
      </c>
      <c r="E363" s="1" t="s">
        <v>38</v>
      </c>
      <c r="F363" s="1" t="s">
        <v>143</v>
      </c>
      <c r="G363" s="1" t="s">
        <v>1278</v>
      </c>
      <c r="H363" s="1" t="s">
        <v>20</v>
      </c>
      <c r="I363" s="1" t="s">
        <v>65</v>
      </c>
      <c r="J363" s="1" t="s">
        <v>22</v>
      </c>
      <c r="K363" s="1">
        <v>7381</v>
      </c>
      <c r="L363" s="1">
        <v>16</v>
      </c>
      <c r="M363" s="1">
        <v>0</v>
      </c>
      <c r="N363" s="1" t="s">
        <v>33</v>
      </c>
    </row>
    <row r="364" spans="1:14">
      <c r="A364" s="1" t="s">
        <v>1279</v>
      </c>
      <c r="B364" s="1" t="s">
        <v>502</v>
      </c>
      <c r="C364" s="1" t="s">
        <v>1081</v>
      </c>
      <c r="D364" s="1" t="s">
        <v>1280</v>
      </c>
      <c r="E364" s="1" t="s">
        <v>120</v>
      </c>
      <c r="F364" s="1" t="s">
        <v>143</v>
      </c>
      <c r="G364" s="1">
        <v>-5</v>
      </c>
      <c r="H364" s="1" t="s">
        <v>48</v>
      </c>
      <c r="I364" s="1" t="s">
        <v>153</v>
      </c>
      <c r="J364" s="1" t="s">
        <v>50</v>
      </c>
      <c r="K364" s="1">
        <v>1393</v>
      </c>
      <c r="L364" s="1">
        <v>2</v>
      </c>
      <c r="M364" s="1" t="s">
        <v>51</v>
      </c>
      <c r="N364" s="1" t="s">
        <v>41</v>
      </c>
    </row>
    <row r="365" spans="1:14">
      <c r="A365" s="1" t="s">
        <v>1281</v>
      </c>
      <c r="B365" s="1" t="s">
        <v>61</v>
      </c>
      <c r="C365" s="1" t="s">
        <v>581</v>
      </c>
      <c r="D365" s="1" t="s">
        <v>1282</v>
      </c>
      <c r="E365" s="1" t="s">
        <v>415</v>
      </c>
      <c r="F365" s="1" t="s">
        <v>114</v>
      </c>
      <c r="G365" s="1">
        <v>16</v>
      </c>
      <c r="H365" s="1" t="s">
        <v>70</v>
      </c>
      <c r="I365" s="1" t="s">
        <v>115</v>
      </c>
      <c r="J365" s="1" t="s">
        <v>210</v>
      </c>
      <c r="K365" s="1">
        <v>3698</v>
      </c>
      <c r="L365" s="1">
        <v>16</v>
      </c>
      <c r="M365" s="1">
        <v>1</v>
      </c>
      <c r="N365" s="1" t="s">
        <v>41</v>
      </c>
    </row>
    <row r="366" spans="1:14">
      <c r="A366" s="1" t="s">
        <v>1283</v>
      </c>
      <c r="B366" s="1" t="s">
        <v>1227</v>
      </c>
      <c r="C366" s="1" t="s">
        <v>197</v>
      </c>
      <c r="D366" s="1" t="s">
        <v>675</v>
      </c>
      <c r="E366" s="1" t="s">
        <v>29</v>
      </c>
      <c r="F366" s="1" t="s">
        <v>30</v>
      </c>
      <c r="G366" s="1" t="s">
        <v>998</v>
      </c>
      <c r="H366" s="1" t="s">
        <v>70</v>
      </c>
      <c r="I366" s="1" t="s">
        <v>59</v>
      </c>
      <c r="J366" s="1" t="s">
        <v>22</v>
      </c>
      <c r="K366" s="1" t="s">
        <v>1284</v>
      </c>
      <c r="L366" s="1" t="s">
        <v>1285</v>
      </c>
      <c r="M366" s="1" t="s">
        <v>52</v>
      </c>
      <c r="N366" s="1" t="s">
        <v>52</v>
      </c>
    </row>
    <row r="367" spans="1:14">
      <c r="A367" s="1" t="s">
        <v>1286</v>
      </c>
      <c r="B367" s="1" t="s">
        <v>220</v>
      </c>
      <c r="C367" s="1" t="s">
        <v>966</v>
      </c>
      <c r="D367" s="1" t="s">
        <v>1287</v>
      </c>
      <c r="E367" s="1" t="s">
        <v>82</v>
      </c>
      <c r="F367" s="1" t="s">
        <v>83</v>
      </c>
      <c r="G367" s="1">
        <v>46</v>
      </c>
      <c r="H367" s="1" t="s">
        <v>104</v>
      </c>
      <c r="I367" s="1" t="s">
        <v>115</v>
      </c>
      <c r="J367" s="1" t="s">
        <v>50</v>
      </c>
      <c r="K367" s="1" t="s">
        <v>270</v>
      </c>
      <c r="L367" s="1">
        <v>6</v>
      </c>
      <c r="M367" s="1" t="s">
        <v>52</v>
      </c>
      <c r="N367" s="1" t="s">
        <v>41</v>
      </c>
    </row>
    <row r="368" spans="1:14">
      <c r="A368" s="1" t="s">
        <v>1288</v>
      </c>
      <c r="B368" s="1" t="s">
        <v>556</v>
      </c>
      <c r="C368" s="1" t="s">
        <v>1289</v>
      </c>
      <c r="D368" s="1"/>
      <c r="E368" s="1" t="s">
        <v>142</v>
      </c>
      <c r="F368" s="1" t="s">
        <v>143</v>
      </c>
      <c r="G368" s="1">
        <v>37</v>
      </c>
      <c r="H368" s="1" t="s">
        <v>70</v>
      </c>
      <c r="I368" s="1" t="s">
        <v>110</v>
      </c>
      <c r="J368" s="1" t="s">
        <v>230</v>
      </c>
      <c r="K368" s="1">
        <v>12042</v>
      </c>
      <c r="L368" s="1" t="s">
        <v>303</v>
      </c>
      <c r="M368" s="1">
        <v>0</v>
      </c>
      <c r="N368" s="1" t="s">
        <v>41</v>
      </c>
    </row>
    <row r="369" spans="1:14">
      <c r="A369" s="1" t="s">
        <v>1290</v>
      </c>
      <c r="B369" s="1" t="s">
        <v>977</v>
      </c>
      <c r="C369" s="1" t="s">
        <v>1010</v>
      </c>
      <c r="D369" s="1" t="s">
        <v>894</v>
      </c>
      <c r="E369" s="1" t="s">
        <v>108</v>
      </c>
      <c r="F369" s="1" t="s">
        <v>47</v>
      </c>
      <c r="G369" s="1">
        <v>37</v>
      </c>
      <c r="H369" s="1" t="s">
        <v>70</v>
      </c>
      <c r="I369" s="1" t="s">
        <v>110</v>
      </c>
      <c r="J369" s="1" t="s">
        <v>89</v>
      </c>
      <c r="K369" s="1"/>
      <c r="L369" s="1">
        <v>15</v>
      </c>
      <c r="M369" s="1" t="s">
        <v>33</v>
      </c>
      <c r="N369" s="1" t="s">
        <v>23</v>
      </c>
    </row>
    <row r="370" spans="1:14">
      <c r="A370" s="1" t="s">
        <v>1291</v>
      </c>
      <c r="B370" s="1" t="s">
        <v>368</v>
      </c>
      <c r="C370" s="1" t="s">
        <v>567</v>
      </c>
      <c r="D370" s="1" t="s">
        <v>816</v>
      </c>
      <c r="E370" s="1" t="s">
        <v>46</v>
      </c>
      <c r="F370" s="1" t="s">
        <v>47</v>
      </c>
      <c r="G370" s="1">
        <v>76</v>
      </c>
      <c r="H370" s="1" t="s">
        <v>70</v>
      </c>
      <c r="I370" s="1" t="s">
        <v>110</v>
      </c>
      <c r="J370" s="1" t="s">
        <v>22</v>
      </c>
      <c r="K370" s="1">
        <v>5104</v>
      </c>
      <c r="L370" s="1">
        <v>5</v>
      </c>
      <c r="M370" s="1" t="s">
        <v>23</v>
      </c>
      <c r="N370" s="1" t="s">
        <v>33</v>
      </c>
    </row>
    <row r="371" spans="1:14">
      <c r="A371" s="1" t="s">
        <v>1292</v>
      </c>
      <c r="B371" s="1" t="s">
        <v>953</v>
      </c>
      <c r="C371" s="1" t="s">
        <v>1293</v>
      </c>
      <c r="D371" s="1" t="s">
        <v>492</v>
      </c>
      <c r="E371" s="1" t="s">
        <v>249</v>
      </c>
      <c r="F371" s="1" t="s">
        <v>114</v>
      </c>
      <c r="G371" s="1">
        <v>13</v>
      </c>
      <c r="H371" s="1" t="s">
        <v>58</v>
      </c>
      <c r="I371" s="1" t="s">
        <v>115</v>
      </c>
      <c r="J371" s="1" t="s">
        <v>230</v>
      </c>
      <c r="K371" s="1">
        <v>6660</v>
      </c>
      <c r="L371" s="1">
        <v>8</v>
      </c>
      <c r="M371" s="1">
        <v>1</v>
      </c>
      <c r="N371" s="1" t="s">
        <v>24</v>
      </c>
    </row>
    <row r="372" spans="1:14">
      <c r="A372" s="1" t="s">
        <v>1294</v>
      </c>
      <c r="B372" s="1" t="s">
        <v>1295</v>
      </c>
      <c r="C372" s="1" t="s">
        <v>1296</v>
      </c>
      <c r="D372" s="1" t="s">
        <v>1297</v>
      </c>
      <c r="E372" s="1" t="s">
        <v>137</v>
      </c>
      <c r="F372" s="1" t="s">
        <v>30</v>
      </c>
      <c r="G372" s="1">
        <v>29</v>
      </c>
      <c r="H372" s="1" t="s">
        <v>20</v>
      </c>
      <c r="I372" s="1" t="s">
        <v>110</v>
      </c>
      <c r="J372" s="1" t="s">
        <v>89</v>
      </c>
      <c r="K372" s="1">
        <v>7923</v>
      </c>
      <c r="L372" s="1">
        <v>13</v>
      </c>
      <c r="M372" s="1">
        <v>0</v>
      </c>
      <c r="N372" s="1" t="s">
        <v>24</v>
      </c>
    </row>
    <row r="373" spans="1:14">
      <c r="A373" s="1" t="s">
        <v>1298</v>
      </c>
      <c r="B373" s="1" t="s">
        <v>1161</v>
      </c>
      <c r="C373" s="1" t="s">
        <v>1299</v>
      </c>
      <c r="D373" s="1" t="s">
        <v>1300</v>
      </c>
      <c r="E373" s="1" t="s">
        <v>82</v>
      </c>
      <c r="F373" s="1" t="s">
        <v>132</v>
      </c>
      <c r="G373" s="1">
        <v>80</v>
      </c>
      <c r="H373" s="1" t="s">
        <v>48</v>
      </c>
      <c r="I373" s="1" t="s">
        <v>153</v>
      </c>
      <c r="J373" s="1" t="s">
        <v>89</v>
      </c>
      <c r="K373" s="1">
        <v>3064</v>
      </c>
      <c r="L373" s="1">
        <v>8</v>
      </c>
      <c r="M373" s="1" t="s">
        <v>41</v>
      </c>
      <c r="N373" s="1" t="s">
        <v>23</v>
      </c>
    </row>
    <row r="374" spans="1:14">
      <c r="A374" s="1" t="s">
        <v>1301</v>
      </c>
      <c r="B374" s="1" t="s">
        <v>319</v>
      </c>
      <c r="C374" s="1"/>
      <c r="D374" s="1" t="s">
        <v>1302</v>
      </c>
      <c r="E374" s="1" t="s">
        <v>95</v>
      </c>
      <c r="F374" s="1" t="s">
        <v>114</v>
      </c>
      <c r="G374" s="1">
        <v>13</v>
      </c>
      <c r="H374" s="1" t="s">
        <v>144</v>
      </c>
      <c r="I374" s="1" t="s">
        <v>153</v>
      </c>
      <c r="J374" s="1" t="s">
        <v>210</v>
      </c>
      <c r="K374" s="1" t="s">
        <v>1303</v>
      </c>
      <c r="L374" s="1">
        <v>7</v>
      </c>
      <c r="M374" s="1">
        <v>0</v>
      </c>
      <c r="N374" s="1" t="s">
        <v>41</v>
      </c>
    </row>
    <row r="375" spans="1:14">
      <c r="A375" s="1" t="s">
        <v>1304</v>
      </c>
      <c r="B375" s="1" t="s">
        <v>427</v>
      </c>
      <c r="C375" s="1" t="s">
        <v>244</v>
      </c>
      <c r="D375" s="1" t="s">
        <v>940</v>
      </c>
      <c r="E375" s="1" t="s">
        <v>68</v>
      </c>
      <c r="F375" s="1" t="s">
        <v>183</v>
      </c>
      <c r="G375" s="1">
        <v>50</v>
      </c>
      <c r="H375" s="1" t="s">
        <v>84</v>
      </c>
      <c r="I375" s="1" t="s">
        <v>21</v>
      </c>
      <c r="J375" s="1" t="s">
        <v>40</v>
      </c>
      <c r="K375" s="1">
        <v>11424</v>
      </c>
      <c r="L375" s="1">
        <v>17</v>
      </c>
      <c r="M375" s="1" t="s">
        <v>23</v>
      </c>
      <c r="N375" s="1" t="s">
        <v>33</v>
      </c>
    </row>
    <row r="376" spans="1:14">
      <c r="A376" s="1" t="s">
        <v>1305</v>
      </c>
      <c r="B376" s="1" t="s">
        <v>1306</v>
      </c>
      <c r="C376" s="1" t="s">
        <v>500</v>
      </c>
      <c r="D376" s="1" t="s">
        <v>1307</v>
      </c>
      <c r="E376" s="1" t="s">
        <v>64</v>
      </c>
      <c r="F376" s="1" t="s">
        <v>30</v>
      </c>
      <c r="G376" s="1" t="s">
        <v>1308</v>
      </c>
      <c r="H376" s="1" t="s">
        <v>84</v>
      </c>
      <c r="I376" s="1" t="s">
        <v>110</v>
      </c>
      <c r="J376" s="1" t="s">
        <v>32</v>
      </c>
      <c r="K376" s="1">
        <v>9578</v>
      </c>
      <c r="L376" s="1">
        <v>16</v>
      </c>
      <c r="M376" s="1">
        <v>1</v>
      </c>
      <c r="N376" s="1" t="s">
        <v>186</v>
      </c>
    </row>
    <row r="377" spans="1:14">
      <c r="A377" s="1" t="s">
        <v>1309</v>
      </c>
      <c r="B377" s="1" t="s">
        <v>220</v>
      </c>
      <c r="C377" s="1" t="s">
        <v>296</v>
      </c>
      <c r="D377" s="1" t="s">
        <v>1159</v>
      </c>
      <c r="E377" s="1" t="s">
        <v>64</v>
      </c>
      <c r="F377" s="1" t="s">
        <v>102</v>
      </c>
      <c r="G377" s="1" t="s">
        <v>330</v>
      </c>
      <c r="H377" s="1" t="s">
        <v>84</v>
      </c>
      <c r="I377" s="1" t="s">
        <v>59</v>
      </c>
      <c r="J377" s="1" t="s">
        <v>50</v>
      </c>
      <c r="K377" s="1">
        <v>2560</v>
      </c>
      <c r="L377" s="1">
        <v>15</v>
      </c>
      <c r="M377" s="1" t="s">
        <v>23</v>
      </c>
      <c r="N377" s="1" t="s">
        <v>186</v>
      </c>
    </row>
    <row r="378" spans="1:14">
      <c r="A378" s="1" t="s">
        <v>1310</v>
      </c>
      <c r="B378" s="1" t="s">
        <v>217</v>
      </c>
      <c r="C378" s="1" t="s">
        <v>573</v>
      </c>
      <c r="D378" s="1" t="s">
        <v>1311</v>
      </c>
      <c r="E378" s="1" t="s">
        <v>108</v>
      </c>
      <c r="F378" s="1" t="s">
        <v>199</v>
      </c>
      <c r="G378" s="1">
        <v>47</v>
      </c>
      <c r="H378" s="1" t="s">
        <v>58</v>
      </c>
      <c r="I378" s="1" t="s">
        <v>110</v>
      </c>
      <c r="J378" s="1" t="s">
        <v>40</v>
      </c>
      <c r="K378" s="1" t="s">
        <v>1312</v>
      </c>
      <c r="L378" s="1">
        <v>13</v>
      </c>
      <c r="M378" s="1" t="s">
        <v>41</v>
      </c>
      <c r="N378" s="1"/>
    </row>
    <row r="379" spans="1:14">
      <c r="A379" s="1" t="s">
        <v>1313</v>
      </c>
      <c r="B379" s="1" t="s">
        <v>742</v>
      </c>
      <c r="C379" s="1" t="s">
        <v>1314</v>
      </c>
      <c r="D379" s="1" t="s">
        <v>621</v>
      </c>
      <c r="E379" s="1"/>
      <c r="F379" s="1" t="s">
        <v>164</v>
      </c>
      <c r="G379" s="1" t="s">
        <v>1315</v>
      </c>
      <c r="H379" s="1" t="s">
        <v>84</v>
      </c>
      <c r="I379" s="1" t="s">
        <v>110</v>
      </c>
      <c r="J379" s="1" t="s">
        <v>22</v>
      </c>
      <c r="K379" s="1">
        <v>2453</v>
      </c>
      <c r="L379" s="1">
        <v>20</v>
      </c>
      <c r="M379" s="1" t="s">
        <v>24</v>
      </c>
      <c r="N379" s="1" t="s">
        <v>52</v>
      </c>
    </row>
    <row r="380" spans="1:14">
      <c r="A380" s="1" t="s">
        <v>1316</v>
      </c>
      <c r="B380" s="1" t="s">
        <v>1317</v>
      </c>
      <c r="C380" s="1" t="s">
        <v>675</v>
      </c>
      <c r="D380" s="1" t="s">
        <v>297</v>
      </c>
      <c r="E380" s="1" t="s">
        <v>175</v>
      </c>
      <c r="F380" s="1" t="s">
        <v>114</v>
      </c>
      <c r="G380" s="1">
        <v>3</v>
      </c>
      <c r="H380" s="1" t="s">
        <v>48</v>
      </c>
      <c r="I380" s="1"/>
      <c r="J380" s="1" t="s">
        <v>50</v>
      </c>
      <c r="K380" s="1" t="s">
        <v>1318</v>
      </c>
      <c r="L380" s="1">
        <v>18</v>
      </c>
      <c r="M380" s="1" t="s">
        <v>52</v>
      </c>
      <c r="N380" s="1" t="s">
        <v>52</v>
      </c>
    </row>
    <row r="381" spans="1:14">
      <c r="A381" s="1" t="s">
        <v>1319</v>
      </c>
      <c r="B381" s="1" t="s">
        <v>1320</v>
      </c>
      <c r="C381" s="1" t="s">
        <v>1321</v>
      </c>
      <c r="D381" s="1" t="s">
        <v>1322</v>
      </c>
      <c r="E381" s="1" t="s">
        <v>249</v>
      </c>
      <c r="F381" s="1" t="s">
        <v>114</v>
      </c>
      <c r="G381" s="1">
        <v>10</v>
      </c>
      <c r="H381" s="1" t="s">
        <v>144</v>
      </c>
      <c r="I381" s="1" t="s">
        <v>21</v>
      </c>
      <c r="J381" s="1" t="s">
        <v>40</v>
      </c>
      <c r="K381" s="1"/>
      <c r="L381" s="1">
        <v>20</v>
      </c>
      <c r="M381" s="1" t="s">
        <v>41</v>
      </c>
      <c r="N381" s="1" t="s">
        <v>33</v>
      </c>
    </row>
    <row r="382" spans="1:14">
      <c r="A382" s="1" t="s">
        <v>1323</v>
      </c>
      <c r="B382" s="1" t="s">
        <v>794</v>
      </c>
      <c r="C382" s="1" t="s">
        <v>1093</v>
      </c>
      <c r="D382" s="1" t="s">
        <v>988</v>
      </c>
      <c r="E382" s="1" t="s">
        <v>169</v>
      </c>
      <c r="F382" s="1" t="s">
        <v>39</v>
      </c>
      <c r="G382" s="1">
        <v>34</v>
      </c>
      <c r="H382" s="1" t="s">
        <v>48</v>
      </c>
      <c r="I382" s="1" t="s">
        <v>153</v>
      </c>
      <c r="J382" s="1" t="s">
        <v>50</v>
      </c>
      <c r="K382" s="1">
        <v>10523</v>
      </c>
      <c r="L382" s="1">
        <v>10</v>
      </c>
      <c r="M382" s="1" t="s">
        <v>51</v>
      </c>
      <c r="N382" s="1" t="s">
        <v>33</v>
      </c>
    </row>
    <row r="383" spans="1:14">
      <c r="A383" s="1" t="s">
        <v>1324</v>
      </c>
      <c r="B383" s="1" t="s">
        <v>1325</v>
      </c>
      <c r="C383" s="1" t="s">
        <v>1326</v>
      </c>
      <c r="D383" s="1" t="s">
        <v>1327</v>
      </c>
      <c r="E383" s="1" t="s">
        <v>18</v>
      </c>
      <c r="F383" s="1" t="s">
        <v>83</v>
      </c>
      <c r="G383" s="1">
        <v>80</v>
      </c>
      <c r="H383" s="1" t="s">
        <v>144</v>
      </c>
      <c r="I383" s="1" t="s">
        <v>110</v>
      </c>
      <c r="J383" s="1" t="s">
        <v>230</v>
      </c>
      <c r="K383" s="1">
        <v>-250</v>
      </c>
      <c r="L383" s="1">
        <v>14</v>
      </c>
      <c r="M383" s="1" t="s">
        <v>51</v>
      </c>
      <c r="N383" s="1" t="s">
        <v>24</v>
      </c>
    </row>
    <row r="384" spans="1:14">
      <c r="A384" s="1" t="s">
        <v>1328</v>
      </c>
      <c r="B384" s="1" t="s">
        <v>1329</v>
      </c>
      <c r="C384" s="1" t="s">
        <v>528</v>
      </c>
      <c r="D384" s="1" t="s">
        <v>1330</v>
      </c>
      <c r="E384" s="1" t="s">
        <v>18</v>
      </c>
      <c r="F384" s="1" t="s">
        <v>19</v>
      </c>
      <c r="G384" s="1">
        <v>71</v>
      </c>
      <c r="H384" s="1" t="s">
        <v>104</v>
      </c>
      <c r="I384" s="1" t="s">
        <v>31</v>
      </c>
      <c r="J384" s="1" t="s">
        <v>22</v>
      </c>
      <c r="K384" s="1">
        <v>975</v>
      </c>
      <c r="L384" s="1">
        <v>16</v>
      </c>
      <c r="M384" s="1" t="s">
        <v>41</v>
      </c>
      <c r="N384" s="1" t="s">
        <v>186</v>
      </c>
    </row>
    <row r="385" spans="1:14">
      <c r="A385" s="1" t="s">
        <v>1331</v>
      </c>
      <c r="B385" s="1" t="s">
        <v>196</v>
      </c>
      <c r="C385" s="1" t="s">
        <v>1332</v>
      </c>
      <c r="D385" s="1"/>
      <c r="E385" s="1" t="s">
        <v>249</v>
      </c>
      <c r="F385" s="1" t="s">
        <v>114</v>
      </c>
      <c r="G385" s="1" t="s">
        <v>1333</v>
      </c>
      <c r="H385" s="1" t="s">
        <v>144</v>
      </c>
      <c r="I385" s="1" t="s">
        <v>153</v>
      </c>
      <c r="J385" s="1" t="s">
        <v>22</v>
      </c>
      <c r="K385" s="1" t="s">
        <v>358</v>
      </c>
      <c r="L385" s="1">
        <v>6</v>
      </c>
      <c r="M385" s="1" t="s">
        <v>51</v>
      </c>
      <c r="N385" s="1" t="s">
        <v>52</v>
      </c>
    </row>
    <row r="386" spans="1:14">
      <c r="A386" s="1" t="s">
        <v>1334</v>
      </c>
      <c r="B386" s="1" t="s">
        <v>1110</v>
      </c>
      <c r="C386" s="1" t="s">
        <v>1335</v>
      </c>
      <c r="D386" s="1" t="s">
        <v>771</v>
      </c>
      <c r="E386" s="1" t="s">
        <v>169</v>
      </c>
      <c r="F386" s="1" t="s">
        <v>143</v>
      </c>
      <c r="G386" s="1">
        <v>64</v>
      </c>
      <c r="H386" s="1" t="s">
        <v>58</v>
      </c>
      <c r="I386" s="1" t="s">
        <v>21</v>
      </c>
      <c r="J386" s="1" t="s">
        <v>89</v>
      </c>
      <c r="K386" s="1">
        <v>2841</v>
      </c>
      <c r="L386" s="1">
        <v>12</v>
      </c>
      <c r="M386" s="1" t="s">
        <v>51</v>
      </c>
      <c r="N386" s="1" t="s">
        <v>41</v>
      </c>
    </row>
    <row r="387" spans="1:14">
      <c r="A387" s="1" t="s">
        <v>1336</v>
      </c>
      <c r="B387" s="1" t="s">
        <v>61</v>
      </c>
      <c r="C387" s="1" t="s">
        <v>1337</v>
      </c>
      <c r="D387" s="1" t="s">
        <v>1338</v>
      </c>
      <c r="E387" s="1"/>
      <c r="F387" s="1" t="s">
        <v>199</v>
      </c>
      <c r="G387" s="1" t="s">
        <v>316</v>
      </c>
      <c r="H387" s="1" t="s">
        <v>104</v>
      </c>
      <c r="I387" s="1" t="s">
        <v>115</v>
      </c>
      <c r="J387" s="1" t="s">
        <v>230</v>
      </c>
      <c r="K387" s="1">
        <v>6765</v>
      </c>
      <c r="L387" s="1">
        <v>19</v>
      </c>
      <c r="M387" s="1" t="s">
        <v>33</v>
      </c>
      <c r="N387" s="1" t="s">
        <v>186</v>
      </c>
    </row>
    <row r="388" spans="1:14">
      <c r="A388" s="1" t="s">
        <v>1339</v>
      </c>
      <c r="B388" s="1" t="s">
        <v>659</v>
      </c>
      <c r="C388" s="1" t="s">
        <v>1340</v>
      </c>
      <c r="D388" s="1" t="s">
        <v>492</v>
      </c>
      <c r="E388" s="1" t="s">
        <v>18</v>
      </c>
      <c r="F388" s="1" t="s">
        <v>19</v>
      </c>
      <c r="G388" s="1">
        <v>27</v>
      </c>
      <c r="H388" s="1" t="s">
        <v>70</v>
      </c>
      <c r="I388" s="1" t="s">
        <v>65</v>
      </c>
      <c r="J388" s="1" t="s">
        <v>210</v>
      </c>
      <c r="K388" s="1">
        <v>13076</v>
      </c>
      <c r="L388" s="1">
        <v>16</v>
      </c>
      <c r="M388" s="1">
        <v>0</v>
      </c>
      <c r="N388" s="1" t="s">
        <v>186</v>
      </c>
    </row>
    <row r="389" spans="1:14">
      <c r="A389" s="1" t="s">
        <v>1341</v>
      </c>
      <c r="B389" s="1" t="s">
        <v>1342</v>
      </c>
      <c r="C389" s="1" t="s">
        <v>1010</v>
      </c>
      <c r="D389" s="1" t="s">
        <v>1343</v>
      </c>
      <c r="E389" s="1" t="s">
        <v>46</v>
      </c>
      <c r="F389" s="1" t="s">
        <v>47</v>
      </c>
      <c r="G389" s="1">
        <v>37</v>
      </c>
      <c r="H389" s="1" t="s">
        <v>58</v>
      </c>
      <c r="I389" s="1" t="s">
        <v>127</v>
      </c>
      <c r="J389" s="1" t="s">
        <v>71</v>
      </c>
      <c r="K389" s="1">
        <v>11045</v>
      </c>
      <c r="L389" s="1">
        <v>90</v>
      </c>
      <c r="M389" s="1" t="s">
        <v>23</v>
      </c>
      <c r="N389" s="1" t="s">
        <v>186</v>
      </c>
    </row>
    <row r="390" spans="1:14">
      <c r="A390" s="1" t="s">
        <v>1344</v>
      </c>
      <c r="B390" s="1" t="s">
        <v>1217</v>
      </c>
      <c r="C390" s="1" t="s">
        <v>1345</v>
      </c>
      <c r="D390" s="1" t="s">
        <v>1064</v>
      </c>
      <c r="E390" s="1" t="s">
        <v>149</v>
      </c>
      <c r="F390" s="1" t="s">
        <v>199</v>
      </c>
      <c r="G390" s="1">
        <v>72</v>
      </c>
      <c r="H390" s="1" t="s">
        <v>104</v>
      </c>
      <c r="I390" s="1" t="s">
        <v>110</v>
      </c>
      <c r="J390" s="1" t="s">
        <v>40</v>
      </c>
      <c r="K390" s="1">
        <v>13951</v>
      </c>
      <c r="L390" s="1">
        <v>12</v>
      </c>
      <c r="M390" s="1" t="s">
        <v>33</v>
      </c>
      <c r="N390" s="1" t="s">
        <v>186</v>
      </c>
    </row>
    <row r="391" spans="1:14">
      <c r="A391" s="1" t="s">
        <v>1346</v>
      </c>
      <c r="B391" s="1" t="s">
        <v>212</v>
      </c>
      <c r="C391" s="1" t="s">
        <v>1347</v>
      </c>
      <c r="D391" s="1" t="s">
        <v>1348</v>
      </c>
      <c r="E391" s="1" t="s">
        <v>249</v>
      </c>
      <c r="F391" s="1" t="s">
        <v>209</v>
      </c>
      <c r="G391" s="1">
        <v>5</v>
      </c>
      <c r="H391" s="1" t="s">
        <v>58</v>
      </c>
      <c r="I391" s="1" t="s">
        <v>127</v>
      </c>
      <c r="J391" s="1" t="s">
        <v>210</v>
      </c>
      <c r="K391" s="1">
        <v>3248</v>
      </c>
      <c r="L391" s="1">
        <v>3</v>
      </c>
      <c r="M391" s="1">
        <v>0</v>
      </c>
      <c r="N391" s="1" t="s">
        <v>33</v>
      </c>
    </row>
    <row r="392" spans="1:14">
      <c r="A392" s="1" t="s">
        <v>1349</v>
      </c>
      <c r="B392" s="1" t="s">
        <v>1350</v>
      </c>
      <c r="C392" s="1" t="s">
        <v>280</v>
      </c>
      <c r="D392" s="1" t="s">
        <v>1351</v>
      </c>
      <c r="E392" s="1" t="s">
        <v>108</v>
      </c>
      <c r="F392" s="1" t="s">
        <v>47</v>
      </c>
      <c r="G392" s="1">
        <v>86</v>
      </c>
      <c r="H392" s="1" t="s">
        <v>84</v>
      </c>
      <c r="I392" s="1" t="s">
        <v>127</v>
      </c>
      <c r="J392" s="1" t="s">
        <v>22</v>
      </c>
      <c r="K392" s="1">
        <v>11743</v>
      </c>
      <c r="L392" s="1">
        <v>3</v>
      </c>
      <c r="M392" s="1" t="s">
        <v>24</v>
      </c>
      <c r="N392" s="1" t="s">
        <v>24</v>
      </c>
    </row>
    <row r="393" spans="1:14">
      <c r="A393" s="1" t="s">
        <v>1352</v>
      </c>
      <c r="B393" s="1" t="s">
        <v>1353</v>
      </c>
      <c r="C393" s="1" t="s">
        <v>1354</v>
      </c>
      <c r="D393" s="1" t="s">
        <v>1355</v>
      </c>
      <c r="E393" s="1" t="s">
        <v>108</v>
      </c>
      <c r="F393" s="1" t="s">
        <v>199</v>
      </c>
      <c r="G393" s="1">
        <v>23</v>
      </c>
      <c r="H393" s="1" t="s">
        <v>104</v>
      </c>
      <c r="I393" s="1" t="s">
        <v>49</v>
      </c>
      <c r="J393" s="1" t="s">
        <v>22</v>
      </c>
      <c r="K393" s="1" t="s">
        <v>1356</v>
      </c>
      <c r="L393" s="1">
        <v>11</v>
      </c>
      <c r="M393" s="1">
        <v>0</v>
      </c>
      <c r="N393" s="1" t="s">
        <v>24</v>
      </c>
    </row>
    <row r="394" spans="1:14">
      <c r="A394" s="1" t="s">
        <v>1357</v>
      </c>
      <c r="B394" s="1" t="s">
        <v>299</v>
      </c>
      <c r="C394" s="1" t="s">
        <v>483</v>
      </c>
      <c r="D394" s="1" t="s">
        <v>251</v>
      </c>
      <c r="E394" s="1" t="s">
        <v>46</v>
      </c>
      <c r="F394" s="1" t="s">
        <v>109</v>
      </c>
      <c r="G394" s="1">
        <v>90</v>
      </c>
      <c r="H394" s="1"/>
      <c r="I394" s="1" t="s">
        <v>59</v>
      </c>
      <c r="J394" s="1" t="s">
        <v>40</v>
      </c>
      <c r="K394" s="1">
        <v>14374</v>
      </c>
      <c r="L394" s="1">
        <v>18</v>
      </c>
      <c r="M394" s="1" t="s">
        <v>24</v>
      </c>
      <c r="N394" s="1" t="s">
        <v>186</v>
      </c>
    </row>
    <row r="395" spans="1:14">
      <c r="A395" s="1" t="s">
        <v>1358</v>
      </c>
      <c r="B395" s="1" t="s">
        <v>1161</v>
      </c>
      <c r="C395" s="1" t="s">
        <v>1359</v>
      </c>
      <c r="D395" s="1" t="s">
        <v>1130</v>
      </c>
      <c r="E395" s="1" t="s">
        <v>38</v>
      </c>
      <c r="F395" s="1" t="s">
        <v>39</v>
      </c>
      <c r="G395" s="1">
        <v>31</v>
      </c>
      <c r="H395" s="1" t="s">
        <v>58</v>
      </c>
      <c r="I395" s="1" t="s">
        <v>21</v>
      </c>
      <c r="J395" s="1" t="s">
        <v>22</v>
      </c>
      <c r="K395" s="1" t="s">
        <v>270</v>
      </c>
      <c r="L395" s="1">
        <v>2</v>
      </c>
      <c r="M395" s="1" t="s">
        <v>24</v>
      </c>
      <c r="N395" s="1" t="s">
        <v>33</v>
      </c>
    </row>
    <row r="396" spans="1:14">
      <c r="A396" s="1" t="s">
        <v>1360</v>
      </c>
      <c r="B396" s="1" t="s">
        <v>872</v>
      </c>
      <c r="C396" s="1" t="s">
        <v>1287</v>
      </c>
      <c r="D396" s="1" t="s">
        <v>1361</v>
      </c>
      <c r="E396" s="1" t="s">
        <v>249</v>
      </c>
      <c r="F396" s="1" t="s">
        <v>209</v>
      </c>
      <c r="G396" s="1">
        <v>5</v>
      </c>
      <c r="H396" s="1" t="s">
        <v>104</v>
      </c>
      <c r="I396" s="1" t="s">
        <v>59</v>
      </c>
      <c r="J396" s="1" t="s">
        <v>210</v>
      </c>
      <c r="K396" s="1">
        <v>1074</v>
      </c>
      <c r="L396" s="1">
        <v>3</v>
      </c>
      <c r="M396" s="1" t="s">
        <v>51</v>
      </c>
      <c r="N396" s="1" t="s">
        <v>24</v>
      </c>
    </row>
    <row r="397" spans="1:14">
      <c r="A397" s="1" t="s">
        <v>1362</v>
      </c>
      <c r="B397" s="1" t="s">
        <v>469</v>
      </c>
      <c r="C397" s="1" t="s">
        <v>520</v>
      </c>
      <c r="D397" s="1" t="s">
        <v>978</v>
      </c>
      <c r="E397" s="1" t="s">
        <v>64</v>
      </c>
      <c r="F397" s="1" t="s">
        <v>77</v>
      </c>
      <c r="G397" s="1">
        <v>86</v>
      </c>
      <c r="H397" s="1" t="s">
        <v>58</v>
      </c>
      <c r="I397" s="1"/>
      <c r="J397" s="1" t="s">
        <v>32</v>
      </c>
      <c r="K397" s="1" t="s">
        <v>1363</v>
      </c>
      <c r="L397" s="1">
        <v>12</v>
      </c>
      <c r="M397" s="1" t="s">
        <v>41</v>
      </c>
      <c r="N397" s="1" t="s">
        <v>41</v>
      </c>
    </row>
    <row r="398" spans="1:14">
      <c r="A398" s="1" t="s">
        <v>685</v>
      </c>
      <c r="B398" s="1" t="s">
        <v>516</v>
      </c>
      <c r="C398" s="1" t="s">
        <v>686</v>
      </c>
      <c r="D398" s="1" t="s">
        <v>687</v>
      </c>
      <c r="E398" s="1" t="s">
        <v>149</v>
      </c>
      <c r="F398" s="1" t="s">
        <v>109</v>
      </c>
      <c r="G398" s="1" t="s">
        <v>688</v>
      </c>
      <c r="H398" s="1" t="s">
        <v>48</v>
      </c>
      <c r="I398" s="1" t="s">
        <v>115</v>
      </c>
      <c r="J398" s="1" t="s">
        <v>40</v>
      </c>
      <c r="K398" s="1">
        <v>10831</v>
      </c>
      <c r="L398" s="1">
        <v>19</v>
      </c>
      <c r="M398" s="1" t="s">
        <v>33</v>
      </c>
      <c r="N398" s="1" t="s">
        <v>33</v>
      </c>
    </row>
    <row r="399" spans="1:14">
      <c r="A399" s="1" t="s">
        <v>1364</v>
      </c>
      <c r="B399" s="1" t="s">
        <v>1083</v>
      </c>
      <c r="C399" s="1" t="s">
        <v>1365</v>
      </c>
      <c r="D399" s="1" t="s">
        <v>1366</v>
      </c>
      <c r="E399" s="1" t="s">
        <v>57</v>
      </c>
      <c r="F399" s="1" t="s">
        <v>83</v>
      </c>
      <c r="G399" s="1">
        <v>35</v>
      </c>
      <c r="H399" s="1" t="s">
        <v>58</v>
      </c>
      <c r="I399" s="1" t="s">
        <v>21</v>
      </c>
      <c r="J399" s="1" t="s">
        <v>210</v>
      </c>
      <c r="K399" s="1">
        <v>11549</v>
      </c>
      <c r="L399" s="1">
        <v>14</v>
      </c>
      <c r="M399" s="1" t="s">
        <v>52</v>
      </c>
      <c r="N399" s="1" t="s">
        <v>41</v>
      </c>
    </row>
    <row r="400" spans="1:14">
      <c r="A400" s="1" t="s">
        <v>1367</v>
      </c>
      <c r="B400" s="1" t="s">
        <v>1203</v>
      </c>
      <c r="C400" s="1" t="s">
        <v>1368</v>
      </c>
      <c r="D400" s="1" t="s">
        <v>1369</v>
      </c>
      <c r="E400" s="1" t="s">
        <v>249</v>
      </c>
      <c r="F400" s="1" t="s">
        <v>209</v>
      </c>
      <c r="G400" s="1" t="s">
        <v>330</v>
      </c>
      <c r="H400" s="1" t="s">
        <v>70</v>
      </c>
      <c r="I400" s="1" t="s">
        <v>153</v>
      </c>
      <c r="J400" s="1" t="s">
        <v>50</v>
      </c>
      <c r="K400" s="1">
        <v>11072</v>
      </c>
      <c r="L400" s="1">
        <v>15</v>
      </c>
      <c r="M400" s="1" t="s">
        <v>23</v>
      </c>
      <c r="N400" s="1" t="s">
        <v>41</v>
      </c>
    </row>
    <row r="401" spans="1:14">
      <c r="A401" s="1" t="s">
        <v>1370</v>
      </c>
      <c r="B401" s="1" t="s">
        <v>713</v>
      </c>
      <c r="C401" s="1" t="s">
        <v>1371</v>
      </c>
      <c r="D401" s="1" t="s">
        <v>492</v>
      </c>
      <c r="E401" s="1" t="s">
        <v>95</v>
      </c>
      <c r="F401" s="1" t="s">
        <v>96</v>
      </c>
      <c r="G401" s="1">
        <v>14</v>
      </c>
      <c r="H401" s="1" t="s">
        <v>58</v>
      </c>
      <c r="I401" s="1" t="s">
        <v>115</v>
      </c>
      <c r="J401" s="1" t="s">
        <v>89</v>
      </c>
      <c r="K401" s="1">
        <v>7169</v>
      </c>
      <c r="L401" s="1">
        <v>13</v>
      </c>
      <c r="M401" s="1">
        <v>0</v>
      </c>
      <c r="N401" s="1" t="s">
        <v>24</v>
      </c>
    </row>
    <row r="402" spans="1:14">
      <c r="A402" s="1" t="s">
        <v>1372</v>
      </c>
      <c r="B402" s="1" t="s">
        <v>292</v>
      </c>
      <c r="C402" s="1" t="s">
        <v>1373</v>
      </c>
      <c r="D402" s="1"/>
      <c r="E402" s="1" t="s">
        <v>18</v>
      </c>
      <c r="F402" s="1" t="s">
        <v>19</v>
      </c>
      <c r="G402" s="1">
        <v>63</v>
      </c>
      <c r="H402" s="1" t="s">
        <v>84</v>
      </c>
      <c r="I402" s="1" t="s">
        <v>110</v>
      </c>
      <c r="J402" s="1" t="s">
        <v>32</v>
      </c>
      <c r="K402" s="1">
        <v>6098</v>
      </c>
      <c r="L402" s="1">
        <v>16</v>
      </c>
      <c r="M402" s="1" t="s">
        <v>41</v>
      </c>
      <c r="N402" s="1" t="s">
        <v>52</v>
      </c>
    </row>
    <row r="403" spans="1:14">
      <c r="A403" s="1" t="s">
        <v>1374</v>
      </c>
      <c r="B403" s="1" t="s">
        <v>1267</v>
      </c>
      <c r="C403" s="1" t="s">
        <v>325</v>
      </c>
      <c r="D403" s="1" t="s">
        <v>946</v>
      </c>
      <c r="E403" s="1" t="s">
        <v>38</v>
      </c>
      <c r="F403" s="1" t="s">
        <v>39</v>
      </c>
      <c r="G403" s="1">
        <v>86</v>
      </c>
      <c r="H403" s="1" t="s">
        <v>70</v>
      </c>
      <c r="I403" s="1" t="s">
        <v>49</v>
      </c>
      <c r="J403" s="1" t="s">
        <v>230</v>
      </c>
      <c r="K403" s="1" t="s">
        <v>358</v>
      </c>
      <c r="L403" s="1">
        <v>3</v>
      </c>
      <c r="M403" s="1">
        <v>0</v>
      </c>
      <c r="N403" s="1" t="s">
        <v>24</v>
      </c>
    </row>
    <row r="404" spans="1:14">
      <c r="A404" s="1" t="s">
        <v>1375</v>
      </c>
      <c r="B404" s="1" t="s">
        <v>1376</v>
      </c>
      <c r="C404" s="1" t="s">
        <v>1377</v>
      </c>
      <c r="D404" s="1" t="s">
        <v>1378</v>
      </c>
      <c r="E404" s="1" t="s">
        <v>142</v>
      </c>
      <c r="F404" s="1" t="s">
        <v>143</v>
      </c>
      <c r="G404" s="1">
        <v>71</v>
      </c>
      <c r="H404" s="1" t="s">
        <v>144</v>
      </c>
      <c r="I404" s="1" t="s">
        <v>115</v>
      </c>
      <c r="J404" s="1" t="s">
        <v>32</v>
      </c>
      <c r="K404" s="1">
        <v>1362</v>
      </c>
      <c r="L404" s="1">
        <v>10</v>
      </c>
      <c r="M404" s="1">
        <v>0</v>
      </c>
      <c r="N404" s="1" t="s">
        <v>186</v>
      </c>
    </row>
    <row r="405" spans="1:14">
      <c r="A405" s="1" t="s">
        <v>1379</v>
      </c>
      <c r="B405" s="1" t="s">
        <v>1380</v>
      </c>
      <c r="C405" s="1" t="s">
        <v>1381</v>
      </c>
      <c r="D405" s="1" t="s">
        <v>710</v>
      </c>
      <c r="E405" s="1" t="s">
        <v>142</v>
      </c>
      <c r="F405" s="1" t="s">
        <v>39</v>
      </c>
      <c r="G405" s="1">
        <v>25</v>
      </c>
      <c r="H405" s="1" t="s">
        <v>20</v>
      </c>
      <c r="I405" s="1" t="s">
        <v>65</v>
      </c>
      <c r="J405" s="1" t="s">
        <v>22</v>
      </c>
      <c r="K405" s="1">
        <v>12355</v>
      </c>
      <c r="L405" s="1" t="s">
        <v>303</v>
      </c>
      <c r="M405" s="1" t="s">
        <v>23</v>
      </c>
      <c r="N405" s="1" t="s">
        <v>23</v>
      </c>
    </row>
    <row r="406" spans="1:14">
      <c r="A406" s="1" t="s">
        <v>1382</v>
      </c>
      <c r="B406" s="1" t="s">
        <v>151</v>
      </c>
      <c r="C406" s="1" t="s">
        <v>763</v>
      </c>
      <c r="D406" s="1" t="s">
        <v>189</v>
      </c>
      <c r="E406" s="1" t="s">
        <v>415</v>
      </c>
      <c r="F406" s="1" t="s">
        <v>114</v>
      </c>
      <c r="G406" s="1">
        <v>8</v>
      </c>
      <c r="H406" s="1" t="s">
        <v>70</v>
      </c>
      <c r="I406" s="1" t="s">
        <v>153</v>
      </c>
      <c r="J406" s="1" t="s">
        <v>22</v>
      </c>
      <c r="K406" s="1">
        <v>9977</v>
      </c>
      <c r="L406" s="1">
        <v>13</v>
      </c>
      <c r="M406" s="1" t="s">
        <v>52</v>
      </c>
      <c r="N406" s="1" t="s">
        <v>24</v>
      </c>
    </row>
    <row r="407" spans="1:14">
      <c r="A407" s="1" t="s">
        <v>1383</v>
      </c>
      <c r="B407" s="1" t="s">
        <v>727</v>
      </c>
      <c r="C407" s="1" t="s">
        <v>1384</v>
      </c>
      <c r="D407" s="1" t="s">
        <v>1385</v>
      </c>
      <c r="E407" s="1" t="s">
        <v>149</v>
      </c>
      <c r="F407" s="1" t="s">
        <v>47</v>
      </c>
      <c r="G407" s="1" t="s">
        <v>1114</v>
      </c>
      <c r="H407" s="1" t="s">
        <v>58</v>
      </c>
      <c r="I407" s="1" t="s">
        <v>153</v>
      </c>
      <c r="J407" s="1" t="s">
        <v>22</v>
      </c>
      <c r="K407" s="1">
        <v>-250</v>
      </c>
      <c r="L407" s="1">
        <v>4</v>
      </c>
      <c r="M407" s="1">
        <v>1</v>
      </c>
      <c r="N407" s="1" t="s">
        <v>33</v>
      </c>
    </row>
    <row r="408" spans="1:14">
      <c r="A408" s="1" t="s">
        <v>1386</v>
      </c>
      <c r="B408" s="1" t="s">
        <v>896</v>
      </c>
      <c r="C408" s="1"/>
      <c r="D408" s="1" t="s">
        <v>1387</v>
      </c>
      <c r="E408" s="1" t="s">
        <v>46</v>
      </c>
      <c r="F408" s="1" t="s">
        <v>109</v>
      </c>
      <c r="G408" s="1">
        <v>23</v>
      </c>
      <c r="H408" s="1" t="s">
        <v>20</v>
      </c>
      <c r="I408" s="1" t="s">
        <v>65</v>
      </c>
      <c r="J408" s="1" t="s">
        <v>50</v>
      </c>
      <c r="K408" s="1" t="s">
        <v>1388</v>
      </c>
      <c r="L408" s="1">
        <v>3</v>
      </c>
      <c r="M408" s="1" t="s">
        <v>33</v>
      </c>
      <c r="N408" s="1" t="s">
        <v>23</v>
      </c>
    </row>
    <row r="409" spans="1:14">
      <c r="A409" s="1" t="s">
        <v>1389</v>
      </c>
      <c r="B409" s="1" t="s">
        <v>1317</v>
      </c>
      <c r="C409" s="1" t="s">
        <v>743</v>
      </c>
      <c r="D409" s="1" t="s">
        <v>424</v>
      </c>
      <c r="E409" s="1" t="s">
        <v>169</v>
      </c>
      <c r="F409" s="1" t="s">
        <v>143</v>
      </c>
      <c r="G409" s="1" t="s">
        <v>484</v>
      </c>
      <c r="H409" s="1" t="s">
        <v>48</v>
      </c>
      <c r="I409" s="1" t="s">
        <v>49</v>
      </c>
      <c r="J409" s="1" t="s">
        <v>210</v>
      </c>
      <c r="K409" s="1">
        <v>1347</v>
      </c>
      <c r="L409" s="1" t="s">
        <v>1390</v>
      </c>
      <c r="M409" s="1" t="s">
        <v>33</v>
      </c>
      <c r="N409" s="1" t="s">
        <v>24</v>
      </c>
    </row>
    <row r="410" spans="1:14">
      <c r="A410" s="1" t="s">
        <v>1391</v>
      </c>
      <c r="B410" s="1" t="s">
        <v>921</v>
      </c>
      <c r="C410" s="1" t="s">
        <v>1311</v>
      </c>
      <c r="D410" s="1" t="s">
        <v>1392</v>
      </c>
      <c r="E410" s="1" t="s">
        <v>175</v>
      </c>
      <c r="F410" s="1" t="s">
        <v>209</v>
      </c>
      <c r="G410" s="1">
        <v>17</v>
      </c>
      <c r="H410" s="1" t="s">
        <v>70</v>
      </c>
      <c r="I410" s="1" t="s">
        <v>110</v>
      </c>
      <c r="J410" s="1" t="s">
        <v>22</v>
      </c>
      <c r="K410" s="1">
        <v>11395</v>
      </c>
      <c r="L410" s="1">
        <v>10</v>
      </c>
      <c r="M410" s="1">
        <v>0</v>
      </c>
      <c r="N410" s="1" t="s">
        <v>23</v>
      </c>
    </row>
    <row r="411" spans="1:14">
      <c r="A411" s="1" t="s">
        <v>1393</v>
      </c>
      <c r="B411" s="1" t="s">
        <v>378</v>
      </c>
      <c r="C411" s="1"/>
      <c r="D411" s="1" t="s">
        <v>1394</v>
      </c>
      <c r="E411" s="1" t="s">
        <v>182</v>
      </c>
      <c r="F411" s="1" t="s">
        <v>69</v>
      </c>
      <c r="G411" s="1">
        <v>66</v>
      </c>
      <c r="H411" s="1" t="s">
        <v>48</v>
      </c>
      <c r="I411" s="1" t="s">
        <v>65</v>
      </c>
      <c r="J411" s="1" t="s">
        <v>210</v>
      </c>
      <c r="K411" s="1">
        <v>7655</v>
      </c>
      <c r="L411" s="1" t="s">
        <v>1395</v>
      </c>
      <c r="M411" s="1" t="s">
        <v>23</v>
      </c>
      <c r="N411" s="1" t="s">
        <v>33</v>
      </c>
    </row>
    <row r="412" spans="1:14">
      <c r="A412" s="1" t="s">
        <v>1396</v>
      </c>
      <c r="B412" s="1" t="s">
        <v>1397</v>
      </c>
      <c r="C412" s="1" t="s">
        <v>1398</v>
      </c>
      <c r="D412" s="1" t="s">
        <v>988</v>
      </c>
      <c r="E412" s="1" t="s">
        <v>149</v>
      </c>
      <c r="F412" s="1" t="s">
        <v>109</v>
      </c>
      <c r="G412" s="1">
        <v>46</v>
      </c>
      <c r="H412" s="1" t="s">
        <v>104</v>
      </c>
      <c r="I412" s="1" t="s">
        <v>110</v>
      </c>
      <c r="J412" s="1" t="s">
        <v>89</v>
      </c>
      <c r="K412" s="1">
        <v>2071</v>
      </c>
      <c r="L412" s="1">
        <v>20</v>
      </c>
      <c r="M412" s="1">
        <v>1</v>
      </c>
      <c r="N412" s="1" t="s">
        <v>52</v>
      </c>
    </row>
    <row r="413" spans="1:14">
      <c r="A413" s="1" t="s">
        <v>1399</v>
      </c>
      <c r="B413" s="1" t="s">
        <v>1004</v>
      </c>
      <c r="C413" s="1" t="s">
        <v>1400</v>
      </c>
      <c r="D413" s="1"/>
      <c r="E413" s="1" t="s">
        <v>149</v>
      </c>
      <c r="F413" s="1" t="s">
        <v>199</v>
      </c>
      <c r="G413" s="1" t="s">
        <v>330</v>
      </c>
      <c r="H413" s="1" t="s">
        <v>20</v>
      </c>
      <c r="I413" s="1" t="s">
        <v>21</v>
      </c>
      <c r="J413" s="1" t="s">
        <v>50</v>
      </c>
      <c r="K413" s="1">
        <v>5982</v>
      </c>
      <c r="L413" s="1">
        <v>15</v>
      </c>
      <c r="M413" s="1">
        <v>0</v>
      </c>
      <c r="N413" s="1" t="s">
        <v>52</v>
      </c>
    </row>
    <row r="414" spans="1:14">
      <c r="A414" s="1" t="s">
        <v>1401</v>
      </c>
      <c r="B414" s="1" t="s">
        <v>750</v>
      </c>
      <c r="C414" s="1" t="s">
        <v>1402</v>
      </c>
      <c r="D414" s="1" t="s">
        <v>1351</v>
      </c>
      <c r="E414" s="1" t="s">
        <v>182</v>
      </c>
      <c r="F414" s="1" t="s">
        <v>69</v>
      </c>
      <c r="G414" s="1">
        <v>21</v>
      </c>
      <c r="H414" s="1" t="s">
        <v>48</v>
      </c>
      <c r="I414" s="1" t="s">
        <v>49</v>
      </c>
      <c r="J414" s="1" t="s">
        <v>89</v>
      </c>
      <c r="K414" s="1">
        <v>3529</v>
      </c>
      <c r="L414" s="1">
        <v>15</v>
      </c>
      <c r="M414" s="1">
        <v>0</v>
      </c>
      <c r="N414" s="1" t="s">
        <v>33</v>
      </c>
    </row>
    <row r="415" spans="1:14">
      <c r="A415" s="1" t="s">
        <v>1403</v>
      </c>
      <c r="B415" s="1" t="s">
        <v>1404</v>
      </c>
      <c r="C415" s="1" t="s">
        <v>1405</v>
      </c>
      <c r="D415" s="1" t="s">
        <v>1406</v>
      </c>
      <c r="E415" s="1" t="s">
        <v>18</v>
      </c>
      <c r="F415" s="1" t="s">
        <v>132</v>
      </c>
      <c r="G415" s="1" t="s">
        <v>1407</v>
      </c>
      <c r="H415" s="1" t="s">
        <v>104</v>
      </c>
      <c r="I415" s="1" t="s">
        <v>115</v>
      </c>
      <c r="J415" s="1" t="s">
        <v>71</v>
      </c>
      <c r="K415" s="1">
        <v>3709</v>
      </c>
      <c r="L415" s="1">
        <v>12</v>
      </c>
      <c r="M415" s="1">
        <v>0</v>
      </c>
      <c r="N415" s="1" t="s">
        <v>41</v>
      </c>
    </row>
    <row r="416" spans="1:14">
      <c r="A416" s="1" t="s">
        <v>1408</v>
      </c>
      <c r="B416" s="1" t="s">
        <v>953</v>
      </c>
      <c r="C416" s="1" t="s">
        <v>844</v>
      </c>
      <c r="D416" s="1" t="s">
        <v>1409</v>
      </c>
      <c r="E416" s="1" t="s">
        <v>46</v>
      </c>
      <c r="F416" s="1" t="s">
        <v>199</v>
      </c>
      <c r="G416" s="1">
        <v>36</v>
      </c>
      <c r="H416" s="1"/>
      <c r="I416" s="1" t="s">
        <v>110</v>
      </c>
      <c r="J416" s="1" t="s">
        <v>32</v>
      </c>
      <c r="K416" s="1" t="s">
        <v>1410</v>
      </c>
      <c r="L416" s="1">
        <v>10</v>
      </c>
      <c r="M416" s="1" t="s">
        <v>52</v>
      </c>
      <c r="N416" s="1" t="s">
        <v>41</v>
      </c>
    </row>
    <row r="417" spans="1:14">
      <c r="A417" s="1" t="s">
        <v>1411</v>
      </c>
      <c r="B417" s="1" t="s">
        <v>1412</v>
      </c>
      <c r="C417" s="1" t="s">
        <v>1413</v>
      </c>
      <c r="D417" s="1" t="s">
        <v>1061</v>
      </c>
      <c r="E417" s="1" t="s">
        <v>120</v>
      </c>
      <c r="F417" s="1" t="s">
        <v>143</v>
      </c>
      <c r="G417" s="1">
        <v>61</v>
      </c>
      <c r="H417" s="1" t="s">
        <v>20</v>
      </c>
      <c r="I417" s="1" t="s">
        <v>110</v>
      </c>
      <c r="J417" s="1" t="s">
        <v>22</v>
      </c>
      <c r="K417" s="1">
        <v>4256</v>
      </c>
      <c r="L417" s="1">
        <v>11</v>
      </c>
      <c r="M417" s="1">
        <v>0</v>
      </c>
      <c r="N417" s="1" t="s">
        <v>24</v>
      </c>
    </row>
    <row r="418" spans="1:14">
      <c r="A418" s="1" t="s">
        <v>1414</v>
      </c>
      <c r="B418" s="1" t="s">
        <v>1415</v>
      </c>
      <c r="C418" s="1" t="s">
        <v>1416</v>
      </c>
      <c r="D418" s="1" t="s">
        <v>350</v>
      </c>
      <c r="E418" s="1" t="s">
        <v>46</v>
      </c>
      <c r="F418" s="1" t="s">
        <v>109</v>
      </c>
      <c r="G418" s="1">
        <v>55</v>
      </c>
      <c r="H418" s="1" t="s">
        <v>48</v>
      </c>
      <c r="I418" s="1" t="s">
        <v>31</v>
      </c>
      <c r="J418" s="1" t="s">
        <v>230</v>
      </c>
      <c r="K418" s="1" t="s">
        <v>358</v>
      </c>
      <c r="L418" s="1">
        <v>18</v>
      </c>
      <c r="M418" s="1" t="s">
        <v>52</v>
      </c>
      <c r="N418" s="1" t="s">
        <v>41</v>
      </c>
    </row>
    <row r="419" spans="1:14">
      <c r="A419" s="1" t="s">
        <v>1417</v>
      </c>
      <c r="B419" s="1" t="s">
        <v>1418</v>
      </c>
      <c r="C419" s="1" t="s">
        <v>940</v>
      </c>
      <c r="D419" s="1" t="s">
        <v>1186</v>
      </c>
      <c r="E419" s="1" t="s">
        <v>415</v>
      </c>
      <c r="F419" s="1" t="s">
        <v>114</v>
      </c>
      <c r="G419" s="1">
        <v>11</v>
      </c>
      <c r="H419" s="1"/>
      <c r="I419" s="1" t="s">
        <v>31</v>
      </c>
      <c r="J419" s="1" t="s">
        <v>22</v>
      </c>
      <c r="K419" s="1">
        <v>2889</v>
      </c>
      <c r="L419" s="1">
        <v>3</v>
      </c>
      <c r="M419" s="1" t="s">
        <v>24</v>
      </c>
      <c r="N419" s="1" t="s">
        <v>24</v>
      </c>
    </row>
    <row r="420" spans="1:14">
      <c r="A420" s="1" t="s">
        <v>1419</v>
      </c>
      <c r="B420" s="1" t="s">
        <v>1420</v>
      </c>
      <c r="C420" s="1" t="s">
        <v>260</v>
      </c>
      <c r="D420" s="1" t="s">
        <v>492</v>
      </c>
      <c r="E420" s="1" t="s">
        <v>182</v>
      </c>
      <c r="F420" s="1" t="s">
        <v>183</v>
      </c>
      <c r="G420" s="1" t="s">
        <v>1421</v>
      </c>
      <c r="H420" s="1" t="s">
        <v>104</v>
      </c>
      <c r="I420" s="1" t="s">
        <v>153</v>
      </c>
      <c r="J420" s="1" t="s">
        <v>89</v>
      </c>
      <c r="K420" s="1">
        <v>12526</v>
      </c>
      <c r="L420" s="1">
        <v>3</v>
      </c>
      <c r="M420" s="1" t="s">
        <v>23</v>
      </c>
      <c r="N420" s="1" t="s">
        <v>33</v>
      </c>
    </row>
    <row r="421" spans="1:14">
      <c r="A421" s="1" t="s">
        <v>295</v>
      </c>
      <c r="B421" s="1" t="s">
        <v>151</v>
      </c>
      <c r="C421" s="1" t="s">
        <v>296</v>
      </c>
      <c r="D421" s="1" t="s">
        <v>297</v>
      </c>
      <c r="E421" s="1" t="s">
        <v>182</v>
      </c>
      <c r="F421" s="1" t="s">
        <v>126</v>
      </c>
      <c r="G421" s="1">
        <v>41</v>
      </c>
      <c r="H421" s="1" t="s">
        <v>48</v>
      </c>
      <c r="I421" s="1" t="s">
        <v>115</v>
      </c>
      <c r="J421" s="1" t="s">
        <v>50</v>
      </c>
      <c r="K421" s="1" t="s">
        <v>1422</v>
      </c>
      <c r="L421" s="1">
        <v>9</v>
      </c>
      <c r="M421" s="1" t="s">
        <v>41</v>
      </c>
      <c r="N421" s="1" t="s">
        <v>41</v>
      </c>
    </row>
    <row r="422" spans="1:14">
      <c r="A422" s="1" t="s">
        <v>1423</v>
      </c>
      <c r="B422" s="1" t="s">
        <v>996</v>
      </c>
      <c r="C422" s="1" t="s">
        <v>1194</v>
      </c>
      <c r="D422" s="1" t="s">
        <v>1424</v>
      </c>
      <c r="E422" s="1" t="s">
        <v>249</v>
      </c>
      <c r="F422" s="1" t="s">
        <v>114</v>
      </c>
      <c r="G422" s="1">
        <v>1</v>
      </c>
      <c r="H422" s="1" t="s">
        <v>70</v>
      </c>
      <c r="I422" s="1" t="s">
        <v>153</v>
      </c>
      <c r="J422" s="1" t="s">
        <v>71</v>
      </c>
      <c r="K422" s="1">
        <v>4722</v>
      </c>
      <c r="L422" s="1">
        <v>4</v>
      </c>
      <c r="M422" s="1" t="s">
        <v>52</v>
      </c>
      <c r="N422" s="1" t="s">
        <v>186</v>
      </c>
    </row>
    <row r="423" spans="1:14">
      <c r="A423" s="1" t="s">
        <v>1425</v>
      </c>
      <c r="B423" s="1" t="s">
        <v>1426</v>
      </c>
      <c r="C423" s="1" t="s">
        <v>123</v>
      </c>
      <c r="D423" s="1" t="s">
        <v>1427</v>
      </c>
      <c r="E423" s="1" t="s">
        <v>29</v>
      </c>
      <c r="F423" s="1" t="s">
        <v>30</v>
      </c>
      <c r="G423" s="1" t="s">
        <v>456</v>
      </c>
      <c r="H423" s="1" t="s">
        <v>104</v>
      </c>
      <c r="I423" s="1" t="s">
        <v>31</v>
      </c>
      <c r="J423" s="1" t="s">
        <v>40</v>
      </c>
      <c r="K423" s="1" t="s">
        <v>1428</v>
      </c>
      <c r="L423" s="1" t="s">
        <v>303</v>
      </c>
      <c r="M423" s="1" t="s">
        <v>23</v>
      </c>
      <c r="N423" s="1" t="s">
        <v>33</v>
      </c>
    </row>
    <row r="424" spans="1:14">
      <c r="A424" s="1" t="s">
        <v>1429</v>
      </c>
      <c r="B424" s="1" t="s">
        <v>1430</v>
      </c>
      <c r="C424" s="1" t="s">
        <v>1431</v>
      </c>
      <c r="D424" s="1" t="s">
        <v>1432</v>
      </c>
      <c r="E424" s="1" t="s">
        <v>175</v>
      </c>
      <c r="F424" s="1" t="s">
        <v>96</v>
      </c>
      <c r="G424" s="1">
        <v>16</v>
      </c>
      <c r="H424" s="1" t="s">
        <v>84</v>
      </c>
      <c r="I424" s="1" t="s">
        <v>127</v>
      </c>
      <c r="J424" s="1" t="s">
        <v>71</v>
      </c>
      <c r="K424" s="1">
        <v>5837</v>
      </c>
      <c r="L424" s="1">
        <v>11</v>
      </c>
      <c r="M424" s="1" t="s">
        <v>33</v>
      </c>
      <c r="N424" s="1" t="s">
        <v>24</v>
      </c>
    </row>
    <row r="425" spans="1:14">
      <c r="A425" s="1" t="s">
        <v>1433</v>
      </c>
      <c r="B425" s="1" t="s">
        <v>469</v>
      </c>
      <c r="C425" s="1" t="s">
        <v>649</v>
      </c>
      <c r="D425" s="1" t="s">
        <v>1434</v>
      </c>
      <c r="E425" s="1" t="s">
        <v>415</v>
      </c>
      <c r="F425" s="1" t="s">
        <v>96</v>
      </c>
      <c r="G425" s="1">
        <v>16</v>
      </c>
      <c r="H425" s="1" t="s">
        <v>104</v>
      </c>
      <c r="I425" s="1" t="s">
        <v>110</v>
      </c>
      <c r="J425" s="1" t="s">
        <v>89</v>
      </c>
      <c r="K425" s="1">
        <v>4224</v>
      </c>
      <c r="L425" s="1">
        <v>15</v>
      </c>
      <c r="M425" s="1" t="s">
        <v>51</v>
      </c>
      <c r="N425" s="1" t="s">
        <v>23</v>
      </c>
    </row>
    <row r="426" spans="1:14">
      <c r="A426" s="1" t="s">
        <v>1435</v>
      </c>
      <c r="B426" s="1" t="s">
        <v>1317</v>
      </c>
      <c r="C426" s="1" t="s">
        <v>1436</v>
      </c>
      <c r="D426" s="1" t="s">
        <v>1437</v>
      </c>
      <c r="E426" s="1" t="s">
        <v>149</v>
      </c>
      <c r="F426" s="1" t="s">
        <v>47</v>
      </c>
      <c r="G426" s="1">
        <v>92</v>
      </c>
      <c r="H426" s="1" t="s">
        <v>48</v>
      </c>
      <c r="I426" s="1" t="s">
        <v>115</v>
      </c>
      <c r="J426" s="1" t="s">
        <v>50</v>
      </c>
      <c r="K426" s="1">
        <v>6462</v>
      </c>
      <c r="L426" s="1">
        <v>4</v>
      </c>
      <c r="M426" s="1" t="s">
        <v>23</v>
      </c>
      <c r="N426" s="1" t="s">
        <v>23</v>
      </c>
    </row>
    <row r="427" spans="1:14">
      <c r="A427" s="1" t="s">
        <v>1438</v>
      </c>
      <c r="B427" s="1" t="s">
        <v>1439</v>
      </c>
      <c r="C427" s="1" t="s">
        <v>852</v>
      </c>
      <c r="D427" s="1" t="s">
        <v>699</v>
      </c>
      <c r="E427" s="1" t="s">
        <v>169</v>
      </c>
      <c r="F427" s="1" t="s">
        <v>143</v>
      </c>
      <c r="G427" s="1" t="s">
        <v>425</v>
      </c>
      <c r="H427" s="1" t="s">
        <v>48</v>
      </c>
      <c r="I427" s="1" t="s">
        <v>127</v>
      </c>
      <c r="J427" s="1" t="s">
        <v>71</v>
      </c>
      <c r="K427" s="1" t="s">
        <v>1440</v>
      </c>
      <c r="L427" s="1">
        <v>1</v>
      </c>
      <c r="M427" s="1" t="s">
        <v>24</v>
      </c>
      <c r="N427" s="1" t="s">
        <v>33</v>
      </c>
    </row>
    <row r="428" spans="1:14">
      <c r="A428" s="1" t="s">
        <v>1441</v>
      </c>
      <c r="B428" s="1" t="s">
        <v>1442</v>
      </c>
      <c r="C428" s="1" t="s">
        <v>1443</v>
      </c>
      <c r="D428" s="1" t="s">
        <v>1444</v>
      </c>
      <c r="E428" s="1" t="s">
        <v>357</v>
      </c>
      <c r="F428" s="1" t="s">
        <v>69</v>
      </c>
      <c r="G428" s="1">
        <v>68</v>
      </c>
      <c r="H428" s="1" t="s">
        <v>48</v>
      </c>
      <c r="I428" s="1" t="s">
        <v>65</v>
      </c>
      <c r="J428" s="1" t="s">
        <v>32</v>
      </c>
      <c r="K428" s="1" t="s">
        <v>1445</v>
      </c>
      <c r="L428" s="1">
        <v>7</v>
      </c>
      <c r="M428" s="1">
        <v>0</v>
      </c>
      <c r="N428" s="1" t="s">
        <v>23</v>
      </c>
    </row>
    <row r="429" spans="1:14">
      <c r="A429" s="1" t="s">
        <v>1446</v>
      </c>
      <c r="B429" s="1" t="s">
        <v>1134</v>
      </c>
      <c r="C429" s="1" t="s">
        <v>1447</v>
      </c>
      <c r="D429" s="1" t="s">
        <v>1084</v>
      </c>
      <c r="E429" s="1" t="s">
        <v>357</v>
      </c>
      <c r="F429" s="1" t="s">
        <v>126</v>
      </c>
      <c r="G429" s="1">
        <v>94</v>
      </c>
      <c r="H429" s="1" t="s">
        <v>144</v>
      </c>
      <c r="I429" s="1" t="s">
        <v>110</v>
      </c>
      <c r="J429" s="1" t="s">
        <v>40</v>
      </c>
      <c r="K429" s="1">
        <v>-250</v>
      </c>
      <c r="L429" s="1">
        <v>5</v>
      </c>
      <c r="M429" s="1" t="s">
        <v>51</v>
      </c>
      <c r="N429" s="1" t="s">
        <v>186</v>
      </c>
    </row>
    <row r="430" spans="1:14">
      <c r="A430" s="1" t="s">
        <v>1448</v>
      </c>
      <c r="B430" s="1" t="s">
        <v>1132</v>
      </c>
      <c r="C430" s="1"/>
      <c r="D430" s="1" t="s">
        <v>806</v>
      </c>
      <c r="E430" s="1" t="s">
        <v>18</v>
      </c>
      <c r="F430" s="1" t="s">
        <v>19</v>
      </c>
      <c r="G430" s="1">
        <v>41</v>
      </c>
      <c r="H430" s="1" t="s">
        <v>104</v>
      </c>
      <c r="I430" s="1" t="s">
        <v>31</v>
      </c>
      <c r="J430" s="1" t="s">
        <v>210</v>
      </c>
      <c r="K430" s="1">
        <v>3316</v>
      </c>
      <c r="L430" s="1">
        <v>9</v>
      </c>
      <c r="M430" s="1">
        <v>1</v>
      </c>
      <c r="N430" s="1" t="s">
        <v>52</v>
      </c>
    </row>
    <row r="431" spans="1:14">
      <c r="A431" s="1" t="s">
        <v>1449</v>
      </c>
      <c r="B431" s="1" t="s">
        <v>1450</v>
      </c>
      <c r="C431" s="1" t="s">
        <v>197</v>
      </c>
      <c r="D431" s="1" t="s">
        <v>492</v>
      </c>
      <c r="E431" s="1"/>
      <c r="F431" s="1" t="s">
        <v>96</v>
      </c>
      <c r="G431" s="1"/>
      <c r="H431" s="1"/>
      <c r="I431" s="1"/>
      <c r="J431" s="1" t="s">
        <v>40</v>
      </c>
      <c r="K431" s="1">
        <v>750000</v>
      </c>
      <c r="L431" s="1">
        <v>90</v>
      </c>
      <c r="M431" s="1">
        <v>1</v>
      </c>
      <c r="N431" s="1"/>
    </row>
    <row r="432" spans="1:14">
      <c r="A432" s="1" t="s">
        <v>1451</v>
      </c>
      <c r="B432" s="1" t="s">
        <v>600</v>
      </c>
      <c r="C432" s="1" t="s">
        <v>1179</v>
      </c>
      <c r="D432" s="1" t="s">
        <v>227</v>
      </c>
      <c r="E432" s="1" t="s">
        <v>18</v>
      </c>
      <c r="F432" s="1" t="s">
        <v>83</v>
      </c>
      <c r="G432" s="1">
        <v>89</v>
      </c>
      <c r="H432" s="1" t="s">
        <v>84</v>
      </c>
      <c r="I432" s="1" t="s">
        <v>59</v>
      </c>
      <c r="J432" s="1" t="s">
        <v>71</v>
      </c>
      <c r="K432" s="1" t="s">
        <v>1452</v>
      </c>
      <c r="L432" s="1">
        <v>90</v>
      </c>
      <c r="M432" s="1">
        <v>0</v>
      </c>
      <c r="N432" s="1" t="s">
        <v>33</v>
      </c>
    </row>
    <row r="433" spans="1:14">
      <c r="A433" s="1" t="s">
        <v>1453</v>
      </c>
      <c r="B433" s="1" t="s">
        <v>1454</v>
      </c>
      <c r="C433" s="1" t="s">
        <v>882</v>
      </c>
      <c r="D433" s="1"/>
      <c r="E433" s="1" t="s">
        <v>149</v>
      </c>
      <c r="F433" s="1" t="s">
        <v>47</v>
      </c>
      <c r="G433" s="1">
        <v>89</v>
      </c>
      <c r="H433" s="1" t="s">
        <v>58</v>
      </c>
      <c r="I433" s="1" t="s">
        <v>127</v>
      </c>
      <c r="J433" s="1" t="s">
        <v>71</v>
      </c>
      <c r="K433" s="1" t="s">
        <v>1455</v>
      </c>
      <c r="L433" s="1">
        <v>15</v>
      </c>
      <c r="M433" s="1">
        <v>0</v>
      </c>
      <c r="N433" s="1" t="s">
        <v>41</v>
      </c>
    </row>
    <row r="434" spans="1:14">
      <c r="A434" s="1" t="s">
        <v>1456</v>
      </c>
      <c r="B434" s="1" t="s">
        <v>442</v>
      </c>
      <c r="C434" s="1" t="s">
        <v>491</v>
      </c>
      <c r="D434" s="1" t="s">
        <v>514</v>
      </c>
      <c r="E434" s="1" t="s">
        <v>108</v>
      </c>
      <c r="F434" s="1" t="s">
        <v>199</v>
      </c>
      <c r="G434" s="1">
        <v>34</v>
      </c>
      <c r="H434" s="1" t="s">
        <v>84</v>
      </c>
      <c r="I434" s="1"/>
      <c r="J434" s="1" t="s">
        <v>50</v>
      </c>
      <c r="K434" s="1" t="s">
        <v>1457</v>
      </c>
      <c r="L434" s="1">
        <v>19</v>
      </c>
      <c r="M434" s="1" t="s">
        <v>41</v>
      </c>
      <c r="N434" s="1" t="s">
        <v>23</v>
      </c>
    </row>
    <row r="435" spans="1:14">
      <c r="A435" s="1" t="s">
        <v>1458</v>
      </c>
      <c r="B435" s="1" t="s">
        <v>67</v>
      </c>
      <c r="C435" s="1" t="s">
        <v>1459</v>
      </c>
      <c r="D435" s="1" t="s">
        <v>1311</v>
      </c>
      <c r="E435" s="1" t="s">
        <v>29</v>
      </c>
      <c r="F435" s="1" t="s">
        <v>77</v>
      </c>
      <c r="G435" s="1">
        <v>69</v>
      </c>
      <c r="H435" s="1" t="s">
        <v>58</v>
      </c>
      <c r="I435" s="1" t="s">
        <v>110</v>
      </c>
      <c r="J435" s="1" t="s">
        <v>71</v>
      </c>
      <c r="K435" s="1">
        <v>5882</v>
      </c>
      <c r="L435" s="1">
        <v>13</v>
      </c>
      <c r="M435" s="1" t="s">
        <v>51</v>
      </c>
      <c r="N435" s="1" t="s">
        <v>24</v>
      </c>
    </row>
    <row r="436" spans="1:14">
      <c r="A436" s="1" t="s">
        <v>1460</v>
      </c>
      <c r="B436" s="1" t="s">
        <v>1461</v>
      </c>
      <c r="C436" s="1" t="s">
        <v>1462</v>
      </c>
      <c r="D436" s="1" t="s">
        <v>290</v>
      </c>
      <c r="E436" s="1" t="s">
        <v>120</v>
      </c>
      <c r="F436" s="1" t="s">
        <v>39</v>
      </c>
      <c r="G436" s="1">
        <v>25</v>
      </c>
      <c r="H436" s="1" t="s">
        <v>58</v>
      </c>
      <c r="I436" s="1" t="s">
        <v>153</v>
      </c>
      <c r="J436" s="1" t="s">
        <v>71</v>
      </c>
      <c r="K436" s="1">
        <v>7838</v>
      </c>
      <c r="L436" s="1">
        <v>18</v>
      </c>
      <c r="M436" s="1">
        <v>0</v>
      </c>
      <c r="N436" s="1" t="s">
        <v>41</v>
      </c>
    </row>
    <row r="437" spans="1:14">
      <c r="A437" s="1" t="s">
        <v>1463</v>
      </c>
      <c r="B437" s="1" t="s">
        <v>1185</v>
      </c>
      <c r="C437" s="1" t="s">
        <v>1108</v>
      </c>
      <c r="D437" s="1" t="s">
        <v>1464</v>
      </c>
      <c r="E437" s="1" t="s">
        <v>169</v>
      </c>
      <c r="F437" s="1" t="s">
        <v>164</v>
      </c>
      <c r="G437" s="1">
        <v>54</v>
      </c>
      <c r="H437" s="1" t="s">
        <v>58</v>
      </c>
      <c r="I437" s="1" t="s">
        <v>110</v>
      </c>
      <c r="J437" s="1" t="s">
        <v>22</v>
      </c>
      <c r="K437" s="1">
        <v>1105</v>
      </c>
      <c r="L437" s="1">
        <v>8</v>
      </c>
      <c r="M437" s="1" t="s">
        <v>52</v>
      </c>
      <c r="N437" s="1" t="s">
        <v>33</v>
      </c>
    </row>
    <row r="438" spans="1:14">
      <c r="A438" s="1" t="s">
        <v>1465</v>
      </c>
      <c r="B438" s="1" t="s">
        <v>1466</v>
      </c>
      <c r="C438" s="1" t="s">
        <v>919</v>
      </c>
      <c r="D438" s="1" t="s">
        <v>1084</v>
      </c>
      <c r="E438" s="1" t="s">
        <v>149</v>
      </c>
      <c r="F438" s="1" t="s">
        <v>47</v>
      </c>
      <c r="G438" s="1">
        <v>49</v>
      </c>
      <c r="H438" s="1" t="s">
        <v>84</v>
      </c>
      <c r="I438" s="1" t="s">
        <v>127</v>
      </c>
      <c r="J438" s="1" t="s">
        <v>89</v>
      </c>
      <c r="K438" s="1"/>
      <c r="L438" s="1" t="s">
        <v>303</v>
      </c>
      <c r="M438" s="1" t="s">
        <v>51</v>
      </c>
      <c r="N438" s="1" t="s">
        <v>33</v>
      </c>
    </row>
    <row r="439" spans="1:14">
      <c r="A439" s="1" t="s">
        <v>1467</v>
      </c>
      <c r="B439" s="1" t="s">
        <v>777</v>
      </c>
      <c r="C439" s="1" t="s">
        <v>1219</v>
      </c>
      <c r="D439" s="1" t="s">
        <v>227</v>
      </c>
      <c r="E439" s="1" t="s">
        <v>357</v>
      </c>
      <c r="F439" s="1" t="s">
        <v>69</v>
      </c>
      <c r="G439" s="1">
        <v>81</v>
      </c>
      <c r="H439" s="1"/>
      <c r="I439" s="1" t="s">
        <v>115</v>
      </c>
      <c r="J439" s="1" t="s">
        <v>50</v>
      </c>
      <c r="K439" s="1"/>
      <c r="L439" s="1">
        <v>1</v>
      </c>
      <c r="M439" s="1">
        <v>1</v>
      </c>
      <c r="N439" s="1" t="s">
        <v>41</v>
      </c>
    </row>
    <row r="440" spans="1:14">
      <c r="A440" s="1" t="s">
        <v>1468</v>
      </c>
      <c r="B440" s="1" t="s">
        <v>1030</v>
      </c>
      <c r="C440" s="1" t="s">
        <v>1469</v>
      </c>
      <c r="D440" s="1" t="s">
        <v>1470</v>
      </c>
      <c r="E440" s="1"/>
      <c r="F440" s="1" t="s">
        <v>126</v>
      </c>
      <c r="G440" s="1">
        <v>71</v>
      </c>
      <c r="H440" s="1" t="s">
        <v>70</v>
      </c>
      <c r="I440" s="1" t="s">
        <v>127</v>
      </c>
      <c r="J440" s="1" t="s">
        <v>32</v>
      </c>
      <c r="K440" s="1" t="s">
        <v>1471</v>
      </c>
      <c r="L440" s="1">
        <v>15</v>
      </c>
      <c r="M440" s="1">
        <v>0</v>
      </c>
      <c r="N440" s="1" t="s">
        <v>186</v>
      </c>
    </row>
    <row r="441" spans="1:14">
      <c r="A441" s="1" t="s">
        <v>1472</v>
      </c>
      <c r="B441" s="1" t="s">
        <v>67</v>
      </c>
      <c r="C441" s="1"/>
      <c r="D441" s="1" t="s">
        <v>1473</v>
      </c>
      <c r="E441" s="1" t="s">
        <v>142</v>
      </c>
      <c r="F441" s="1" t="s">
        <v>164</v>
      </c>
      <c r="G441" s="1">
        <v>62</v>
      </c>
      <c r="H441" s="1" t="s">
        <v>48</v>
      </c>
      <c r="I441" s="1" t="s">
        <v>153</v>
      </c>
      <c r="J441" s="1" t="s">
        <v>32</v>
      </c>
      <c r="K441" s="1" t="s">
        <v>1474</v>
      </c>
      <c r="L441" s="1">
        <v>20</v>
      </c>
      <c r="M441" s="1">
        <v>1</v>
      </c>
      <c r="N441" s="1" t="s">
        <v>41</v>
      </c>
    </row>
    <row r="442" spans="1:14">
      <c r="A442" s="1" t="s">
        <v>1475</v>
      </c>
      <c r="B442" s="1" t="s">
        <v>1203</v>
      </c>
      <c r="C442" s="1" t="s">
        <v>699</v>
      </c>
      <c r="D442" s="1" t="s">
        <v>1476</v>
      </c>
      <c r="E442" s="1"/>
      <c r="F442" s="1" t="s">
        <v>109</v>
      </c>
      <c r="G442" s="1">
        <v>86</v>
      </c>
      <c r="H442" s="1" t="s">
        <v>104</v>
      </c>
      <c r="I442" s="1" t="s">
        <v>59</v>
      </c>
      <c r="J442" s="1" t="s">
        <v>40</v>
      </c>
      <c r="K442" s="1">
        <v>1406</v>
      </c>
      <c r="L442" s="1" t="s">
        <v>303</v>
      </c>
      <c r="M442" s="1">
        <v>0</v>
      </c>
      <c r="N442" s="1" t="s">
        <v>33</v>
      </c>
    </row>
    <row r="443" spans="1:14">
      <c r="A443" s="1" t="s">
        <v>1477</v>
      </c>
      <c r="B443" s="1" t="s">
        <v>289</v>
      </c>
      <c r="C443" s="1" t="s">
        <v>1478</v>
      </c>
      <c r="D443" s="1" t="s">
        <v>465</v>
      </c>
      <c r="E443" s="1" t="s">
        <v>29</v>
      </c>
      <c r="F443" s="1" t="s">
        <v>30</v>
      </c>
      <c r="G443" s="1">
        <v>19</v>
      </c>
      <c r="H443" s="1" t="s">
        <v>104</v>
      </c>
      <c r="I443" s="1" t="s">
        <v>115</v>
      </c>
      <c r="J443" s="1" t="s">
        <v>71</v>
      </c>
      <c r="K443" s="1">
        <v>12413</v>
      </c>
      <c r="L443" s="1">
        <v>19</v>
      </c>
      <c r="M443" s="1" t="s">
        <v>23</v>
      </c>
      <c r="N443" s="1" t="s">
        <v>41</v>
      </c>
    </row>
    <row r="444" spans="1:14">
      <c r="A444" s="1" t="s">
        <v>1479</v>
      </c>
      <c r="B444" s="1" t="s">
        <v>1012</v>
      </c>
      <c r="C444" s="1" t="s">
        <v>167</v>
      </c>
      <c r="D444" s="1" t="s">
        <v>62</v>
      </c>
      <c r="E444" s="1" t="s">
        <v>64</v>
      </c>
      <c r="F444" s="1" t="s">
        <v>77</v>
      </c>
      <c r="G444" s="1">
        <v>33</v>
      </c>
      <c r="H444" s="1" t="s">
        <v>84</v>
      </c>
      <c r="I444" s="1" t="s">
        <v>49</v>
      </c>
      <c r="J444" s="1" t="s">
        <v>230</v>
      </c>
      <c r="K444" s="1">
        <v>8710</v>
      </c>
      <c r="L444" s="1">
        <v>2</v>
      </c>
      <c r="M444" s="1" t="s">
        <v>23</v>
      </c>
      <c r="N444" s="1" t="s">
        <v>186</v>
      </c>
    </row>
    <row r="445" spans="1:14">
      <c r="A445" s="1" t="s">
        <v>1480</v>
      </c>
      <c r="B445" s="1" t="s">
        <v>134</v>
      </c>
      <c r="C445" s="1" t="s">
        <v>884</v>
      </c>
      <c r="D445" s="1" t="s">
        <v>1398</v>
      </c>
      <c r="E445" s="1" t="s">
        <v>120</v>
      </c>
      <c r="F445" s="1" t="s">
        <v>164</v>
      </c>
      <c r="G445" s="1">
        <v>74</v>
      </c>
      <c r="H445" s="1" t="s">
        <v>20</v>
      </c>
      <c r="I445" s="1" t="s">
        <v>110</v>
      </c>
      <c r="J445" s="1" t="s">
        <v>22</v>
      </c>
      <c r="K445" s="1">
        <v>1779</v>
      </c>
      <c r="L445" s="1">
        <v>15</v>
      </c>
      <c r="M445" s="1" t="s">
        <v>52</v>
      </c>
      <c r="N445" s="1" t="s">
        <v>41</v>
      </c>
    </row>
    <row r="446" spans="1:14">
      <c r="A446" s="1" t="s">
        <v>1481</v>
      </c>
      <c r="B446" s="1" t="s">
        <v>1482</v>
      </c>
      <c r="C446" s="1" t="s">
        <v>1483</v>
      </c>
      <c r="D446" s="1" t="s">
        <v>1484</v>
      </c>
      <c r="E446" s="1" t="s">
        <v>137</v>
      </c>
      <c r="F446" s="1" t="s">
        <v>102</v>
      </c>
      <c r="G446" s="1">
        <v>63</v>
      </c>
      <c r="H446" s="1" t="s">
        <v>84</v>
      </c>
      <c r="I446" s="1" t="s">
        <v>115</v>
      </c>
      <c r="J446" s="1" t="s">
        <v>22</v>
      </c>
      <c r="K446" s="1" t="s">
        <v>1485</v>
      </c>
      <c r="L446" s="1">
        <v>90</v>
      </c>
      <c r="M446" s="1" t="s">
        <v>52</v>
      </c>
      <c r="N446" s="1" t="s">
        <v>24</v>
      </c>
    </row>
    <row r="447" spans="1:14">
      <c r="A447" s="1" t="s">
        <v>1239</v>
      </c>
      <c r="B447" s="1" t="s">
        <v>161</v>
      </c>
      <c r="C447" s="1" t="s">
        <v>214</v>
      </c>
      <c r="D447" s="1" t="s">
        <v>1240</v>
      </c>
      <c r="E447" s="1" t="s">
        <v>82</v>
      </c>
      <c r="F447" s="1" t="s">
        <v>132</v>
      </c>
      <c r="G447" s="1">
        <v>56</v>
      </c>
      <c r="H447" s="1" t="s">
        <v>104</v>
      </c>
      <c r="I447" s="1" t="s">
        <v>127</v>
      </c>
      <c r="J447" s="1" t="s">
        <v>210</v>
      </c>
      <c r="K447" s="1" t="s">
        <v>1241</v>
      </c>
      <c r="L447" s="1">
        <v>3</v>
      </c>
      <c r="M447" s="1" t="s">
        <v>33</v>
      </c>
      <c r="N447" s="1" t="s">
        <v>24</v>
      </c>
    </row>
    <row r="448" spans="1:14">
      <c r="A448" s="1" t="s">
        <v>1486</v>
      </c>
      <c r="B448" s="1" t="s">
        <v>1487</v>
      </c>
      <c r="C448" s="1" t="s">
        <v>1488</v>
      </c>
      <c r="D448" s="1" t="s">
        <v>831</v>
      </c>
      <c r="E448" s="1" t="s">
        <v>38</v>
      </c>
      <c r="F448" s="1" t="s">
        <v>164</v>
      </c>
      <c r="G448" s="1">
        <v>63</v>
      </c>
      <c r="H448" s="1" t="s">
        <v>20</v>
      </c>
      <c r="I448" s="1" t="s">
        <v>31</v>
      </c>
      <c r="J448" s="1" t="s">
        <v>210</v>
      </c>
      <c r="K448" s="1">
        <v>8022</v>
      </c>
      <c r="L448" s="1">
        <v>5</v>
      </c>
      <c r="M448" s="1">
        <v>1</v>
      </c>
      <c r="N448" s="1" t="s">
        <v>23</v>
      </c>
    </row>
    <row r="449" spans="1:14">
      <c r="A449" s="1" t="s">
        <v>1489</v>
      </c>
      <c r="B449" s="1" t="s">
        <v>887</v>
      </c>
      <c r="C449" s="1" t="s">
        <v>1490</v>
      </c>
      <c r="D449" s="1" t="s">
        <v>140</v>
      </c>
      <c r="E449" s="1" t="s">
        <v>137</v>
      </c>
      <c r="F449" s="1" t="s">
        <v>77</v>
      </c>
      <c r="G449" s="1" t="s">
        <v>1491</v>
      </c>
      <c r="H449" s="1" t="s">
        <v>20</v>
      </c>
      <c r="I449" s="1" t="s">
        <v>127</v>
      </c>
      <c r="J449" s="1" t="s">
        <v>71</v>
      </c>
      <c r="K449" s="1">
        <v>4414</v>
      </c>
      <c r="L449" s="1">
        <v>8</v>
      </c>
      <c r="M449" s="1" t="s">
        <v>33</v>
      </c>
      <c r="N449" s="1" t="s">
        <v>23</v>
      </c>
    </row>
    <row r="450" spans="1:14">
      <c r="A450" s="1" t="s">
        <v>1479</v>
      </c>
      <c r="B450" s="1" t="s">
        <v>1012</v>
      </c>
      <c r="C450" s="1" t="s">
        <v>167</v>
      </c>
      <c r="D450" s="1" t="s">
        <v>62</v>
      </c>
      <c r="E450" s="1" t="s">
        <v>64</v>
      </c>
      <c r="F450" s="1" t="s">
        <v>77</v>
      </c>
      <c r="G450" s="1">
        <v>33</v>
      </c>
      <c r="H450" s="1" t="s">
        <v>84</v>
      </c>
      <c r="I450" s="1" t="s">
        <v>49</v>
      </c>
      <c r="J450" s="1" t="s">
        <v>230</v>
      </c>
      <c r="K450" s="1">
        <v>8710</v>
      </c>
      <c r="L450" s="1">
        <v>2</v>
      </c>
      <c r="M450" s="1" t="s">
        <v>23</v>
      </c>
      <c r="N450" s="1" t="s">
        <v>186</v>
      </c>
    </row>
    <row r="451" spans="1:14">
      <c r="A451" s="1" t="s">
        <v>1492</v>
      </c>
      <c r="B451" s="1" t="s">
        <v>971</v>
      </c>
      <c r="C451" s="1" t="s">
        <v>44</v>
      </c>
      <c r="D451" s="1" t="s">
        <v>946</v>
      </c>
      <c r="E451" s="1" t="s">
        <v>68</v>
      </c>
      <c r="F451" s="1" t="s">
        <v>69</v>
      </c>
      <c r="G451" s="1">
        <v>22</v>
      </c>
      <c r="H451" s="1" t="s">
        <v>58</v>
      </c>
      <c r="I451" s="1" t="s">
        <v>65</v>
      </c>
      <c r="J451" s="1" t="s">
        <v>40</v>
      </c>
      <c r="K451" s="1">
        <v>2927</v>
      </c>
      <c r="L451" s="1">
        <v>1</v>
      </c>
      <c r="M451" s="1" t="s">
        <v>52</v>
      </c>
      <c r="N451" s="1" t="s">
        <v>24</v>
      </c>
    </row>
    <row r="452" spans="1:14">
      <c r="A452" s="1" t="s">
        <v>1493</v>
      </c>
      <c r="B452" s="1" t="s">
        <v>1128</v>
      </c>
      <c r="C452" s="1" t="s">
        <v>503</v>
      </c>
      <c r="D452" s="1" t="s">
        <v>1494</v>
      </c>
      <c r="E452" s="1" t="s">
        <v>415</v>
      </c>
      <c r="F452" s="1" t="s">
        <v>209</v>
      </c>
      <c r="G452" s="1">
        <v>13</v>
      </c>
      <c r="H452" s="1" t="s">
        <v>58</v>
      </c>
      <c r="I452" s="1" t="s">
        <v>49</v>
      </c>
      <c r="J452" s="1" t="s">
        <v>50</v>
      </c>
      <c r="K452" s="1">
        <v>1124</v>
      </c>
      <c r="L452" s="1">
        <v>9</v>
      </c>
      <c r="M452" s="1" t="s">
        <v>41</v>
      </c>
      <c r="N452" s="1" t="s">
        <v>41</v>
      </c>
    </row>
    <row r="453" spans="1:14">
      <c r="A453" s="1" t="s">
        <v>1495</v>
      </c>
      <c r="B453" s="1" t="s">
        <v>1442</v>
      </c>
      <c r="C453" s="1"/>
      <c r="D453" s="1" t="s">
        <v>1496</v>
      </c>
      <c r="E453" s="1" t="s">
        <v>29</v>
      </c>
      <c r="F453" s="1" t="s">
        <v>102</v>
      </c>
      <c r="G453" s="1"/>
      <c r="H453" s="1" t="s">
        <v>144</v>
      </c>
      <c r="I453" s="1" t="s">
        <v>153</v>
      </c>
      <c r="J453" s="1" t="s">
        <v>22</v>
      </c>
      <c r="K453" s="1">
        <v>5353</v>
      </c>
      <c r="L453" s="1">
        <v>7</v>
      </c>
      <c r="M453" s="1">
        <v>1</v>
      </c>
      <c r="N453" s="1" t="s">
        <v>24</v>
      </c>
    </row>
    <row r="454" spans="1:14">
      <c r="A454" s="1" t="s">
        <v>1497</v>
      </c>
      <c r="B454" s="1" t="s">
        <v>1083</v>
      </c>
      <c r="C454" s="1" t="s">
        <v>218</v>
      </c>
      <c r="D454" s="1" t="s">
        <v>1498</v>
      </c>
      <c r="E454" s="1" t="s">
        <v>46</v>
      </c>
      <c r="F454" s="1" t="s">
        <v>47</v>
      </c>
      <c r="G454" s="1" t="s">
        <v>1499</v>
      </c>
      <c r="H454" s="1" t="s">
        <v>20</v>
      </c>
      <c r="I454" s="1" t="s">
        <v>115</v>
      </c>
      <c r="J454" s="1" t="s">
        <v>230</v>
      </c>
      <c r="K454" s="1">
        <v>1430</v>
      </c>
      <c r="L454" s="1">
        <v>8</v>
      </c>
      <c r="M454" s="1" t="s">
        <v>33</v>
      </c>
      <c r="N454" s="1" t="s">
        <v>33</v>
      </c>
    </row>
    <row r="455" spans="1:14">
      <c r="A455" s="1" t="s">
        <v>865</v>
      </c>
      <c r="B455" s="1" t="s">
        <v>866</v>
      </c>
      <c r="C455" s="1" t="s">
        <v>867</v>
      </c>
      <c r="D455" s="1" t="s">
        <v>868</v>
      </c>
      <c r="E455" s="1" t="s">
        <v>137</v>
      </c>
      <c r="F455" s="1" t="s">
        <v>77</v>
      </c>
      <c r="G455" s="1">
        <v>32</v>
      </c>
      <c r="H455" s="1" t="s">
        <v>104</v>
      </c>
      <c r="I455" s="1" t="s">
        <v>65</v>
      </c>
      <c r="J455" s="1" t="s">
        <v>89</v>
      </c>
      <c r="K455" s="1">
        <v>8225</v>
      </c>
      <c r="L455" s="1"/>
      <c r="M455" s="1">
        <v>1</v>
      </c>
      <c r="N455" s="1" t="s">
        <v>52</v>
      </c>
    </row>
    <row r="456" spans="1:14">
      <c r="A456" s="1" t="s">
        <v>1500</v>
      </c>
      <c r="B456" s="1" t="s">
        <v>1501</v>
      </c>
      <c r="C456" s="1" t="s">
        <v>1502</v>
      </c>
      <c r="D456" s="1" t="s">
        <v>1503</v>
      </c>
      <c r="E456" s="1" t="s">
        <v>64</v>
      </c>
      <c r="F456" s="1" t="s">
        <v>77</v>
      </c>
      <c r="G456" s="1">
        <v>74</v>
      </c>
      <c r="H456" s="1" t="s">
        <v>144</v>
      </c>
      <c r="I456" s="1" t="s">
        <v>65</v>
      </c>
      <c r="J456" s="1" t="s">
        <v>89</v>
      </c>
      <c r="K456" s="1">
        <v>7082</v>
      </c>
      <c r="L456" s="1">
        <v>17</v>
      </c>
      <c r="M456" s="1" t="s">
        <v>23</v>
      </c>
      <c r="N456" s="1" t="s">
        <v>23</v>
      </c>
    </row>
    <row r="457" spans="1:14">
      <c r="A457" s="1" t="s">
        <v>1504</v>
      </c>
      <c r="B457" s="1" t="s">
        <v>872</v>
      </c>
      <c r="C457" s="1" t="s">
        <v>1405</v>
      </c>
      <c r="D457" s="1" t="s">
        <v>919</v>
      </c>
      <c r="E457" s="1" t="s">
        <v>57</v>
      </c>
      <c r="F457" s="1" t="s">
        <v>83</v>
      </c>
      <c r="G457" s="1">
        <v>77</v>
      </c>
      <c r="H457" s="1" t="s">
        <v>144</v>
      </c>
      <c r="I457" s="1" t="s">
        <v>21</v>
      </c>
      <c r="J457" s="1" t="s">
        <v>89</v>
      </c>
      <c r="K457" s="1">
        <v>12443</v>
      </c>
      <c r="L457" s="1">
        <v>6</v>
      </c>
      <c r="M457" s="1">
        <v>1</v>
      </c>
      <c r="N457" s="1" t="s">
        <v>41</v>
      </c>
    </row>
    <row r="458" spans="1:14">
      <c r="A458" s="1" t="s">
        <v>1505</v>
      </c>
      <c r="B458" s="1" t="s">
        <v>299</v>
      </c>
      <c r="C458" s="1" t="s">
        <v>543</v>
      </c>
      <c r="D458" s="1" t="s">
        <v>1506</v>
      </c>
      <c r="E458" s="1" t="s">
        <v>175</v>
      </c>
      <c r="F458" s="1" t="s">
        <v>114</v>
      </c>
      <c r="G458" s="1">
        <v>-5</v>
      </c>
      <c r="H458" s="1" t="s">
        <v>144</v>
      </c>
      <c r="I458" s="1" t="s">
        <v>65</v>
      </c>
      <c r="J458" s="1" t="s">
        <v>230</v>
      </c>
      <c r="K458" s="1" t="s">
        <v>1507</v>
      </c>
      <c r="L458" s="1">
        <v>13</v>
      </c>
      <c r="M458" s="1" t="s">
        <v>23</v>
      </c>
      <c r="N458" s="1" t="s">
        <v>24</v>
      </c>
    </row>
    <row r="459" spans="1:14">
      <c r="A459" s="1" t="s">
        <v>1508</v>
      </c>
      <c r="B459" s="1" t="s">
        <v>765</v>
      </c>
      <c r="C459" s="1" t="s">
        <v>1509</v>
      </c>
      <c r="D459" s="1" t="s">
        <v>1444</v>
      </c>
      <c r="E459" s="1" t="s">
        <v>137</v>
      </c>
      <c r="F459" s="1" t="s">
        <v>102</v>
      </c>
      <c r="G459" s="1">
        <v>44</v>
      </c>
      <c r="H459" s="1" t="s">
        <v>84</v>
      </c>
      <c r="I459" s="1" t="s">
        <v>127</v>
      </c>
      <c r="J459" s="1" t="s">
        <v>32</v>
      </c>
      <c r="K459" s="1">
        <v>6597</v>
      </c>
      <c r="L459" s="1" t="s">
        <v>1510</v>
      </c>
      <c r="M459" s="1" t="s">
        <v>52</v>
      </c>
      <c r="N459" s="1" t="s">
        <v>23</v>
      </c>
    </row>
    <row r="460" spans="1:14">
      <c r="A460" s="1" t="s">
        <v>1511</v>
      </c>
      <c r="B460" s="1" t="s">
        <v>1512</v>
      </c>
      <c r="C460" s="1" t="s">
        <v>396</v>
      </c>
      <c r="D460" s="1" t="s">
        <v>714</v>
      </c>
      <c r="E460" s="1" t="s">
        <v>125</v>
      </c>
      <c r="F460" s="1" t="s">
        <v>69</v>
      </c>
      <c r="G460" s="1">
        <v>150</v>
      </c>
      <c r="H460" s="1" t="s">
        <v>58</v>
      </c>
      <c r="I460" s="1" t="s">
        <v>21</v>
      </c>
      <c r="J460" s="1" t="s">
        <v>210</v>
      </c>
      <c r="K460" s="1">
        <v>5645</v>
      </c>
      <c r="L460" s="1">
        <v>19</v>
      </c>
      <c r="M460" s="1">
        <v>0</v>
      </c>
      <c r="N460" s="1" t="s">
        <v>41</v>
      </c>
    </row>
    <row r="461" spans="1:14">
      <c r="A461" s="1" t="s">
        <v>1513</v>
      </c>
      <c r="B461" s="1" t="s">
        <v>1514</v>
      </c>
      <c r="C461" s="1"/>
      <c r="D461" s="1" t="s">
        <v>1515</v>
      </c>
      <c r="E461" s="1" t="s">
        <v>108</v>
      </c>
      <c r="F461" s="1" t="s">
        <v>109</v>
      </c>
      <c r="G461" s="1">
        <v>41</v>
      </c>
      <c r="H461" s="1" t="s">
        <v>144</v>
      </c>
      <c r="I461" s="1" t="s">
        <v>115</v>
      </c>
      <c r="J461" s="1" t="s">
        <v>210</v>
      </c>
      <c r="K461" s="1">
        <v>12299</v>
      </c>
      <c r="L461" s="1">
        <v>17</v>
      </c>
      <c r="M461" s="1" t="s">
        <v>52</v>
      </c>
      <c r="N461" s="1" t="s">
        <v>52</v>
      </c>
    </row>
    <row r="462" spans="1:14">
      <c r="A462" s="1" t="s">
        <v>1516</v>
      </c>
      <c r="B462" s="1" t="s">
        <v>1517</v>
      </c>
      <c r="C462" s="1" t="s">
        <v>315</v>
      </c>
      <c r="D462" s="1" t="s">
        <v>27</v>
      </c>
      <c r="E462" s="1" t="s">
        <v>108</v>
      </c>
      <c r="F462" s="1" t="s">
        <v>109</v>
      </c>
      <c r="G462" s="1">
        <v>81</v>
      </c>
      <c r="H462" s="1" t="s">
        <v>58</v>
      </c>
      <c r="I462" s="1" t="s">
        <v>65</v>
      </c>
      <c r="J462" s="1" t="s">
        <v>22</v>
      </c>
      <c r="K462" s="1">
        <v>11815</v>
      </c>
      <c r="L462" s="1">
        <v>19</v>
      </c>
      <c r="M462" s="1" t="s">
        <v>23</v>
      </c>
      <c r="N462" s="1" t="s">
        <v>52</v>
      </c>
    </row>
    <row r="463" spans="1:14">
      <c r="A463" s="1" t="s">
        <v>1518</v>
      </c>
      <c r="B463" s="1" t="s">
        <v>1466</v>
      </c>
      <c r="C463" s="1" t="s">
        <v>585</v>
      </c>
      <c r="D463" s="1" t="s">
        <v>735</v>
      </c>
      <c r="E463" s="1" t="s">
        <v>142</v>
      </c>
      <c r="F463" s="1" t="s">
        <v>39</v>
      </c>
      <c r="G463" s="1">
        <v>48</v>
      </c>
      <c r="H463" s="1" t="s">
        <v>70</v>
      </c>
      <c r="I463" s="1" t="s">
        <v>65</v>
      </c>
      <c r="J463" s="1" t="s">
        <v>230</v>
      </c>
      <c r="K463" s="1">
        <v>5483</v>
      </c>
      <c r="L463" s="1">
        <v>16</v>
      </c>
      <c r="M463" s="1" t="s">
        <v>51</v>
      </c>
      <c r="N463" s="1" t="s">
        <v>23</v>
      </c>
    </row>
    <row r="464" spans="1:14">
      <c r="A464" s="1" t="s">
        <v>1519</v>
      </c>
      <c r="B464" s="1" t="s">
        <v>538</v>
      </c>
      <c r="C464" s="1" t="s">
        <v>1321</v>
      </c>
      <c r="D464" s="1" t="s">
        <v>1296</v>
      </c>
      <c r="E464" s="1" t="s">
        <v>357</v>
      </c>
      <c r="F464" s="1" t="s">
        <v>126</v>
      </c>
      <c r="G464" s="1">
        <v>92</v>
      </c>
      <c r="H464" s="1" t="s">
        <v>84</v>
      </c>
      <c r="I464" s="1" t="s">
        <v>59</v>
      </c>
      <c r="J464" s="1" t="s">
        <v>89</v>
      </c>
      <c r="K464" s="1" t="s">
        <v>1520</v>
      </c>
      <c r="L464" s="1">
        <v>9</v>
      </c>
      <c r="M464" s="1" t="s">
        <v>24</v>
      </c>
      <c r="N464" s="1" t="s">
        <v>186</v>
      </c>
    </row>
    <row r="465" spans="1:14">
      <c r="A465" s="1" t="s">
        <v>869</v>
      </c>
      <c r="B465" s="1" t="s">
        <v>612</v>
      </c>
      <c r="C465" s="1" t="s">
        <v>870</v>
      </c>
      <c r="D465" s="1" t="s">
        <v>276</v>
      </c>
      <c r="E465" s="1" t="s">
        <v>149</v>
      </c>
      <c r="F465" s="1" t="s">
        <v>47</v>
      </c>
      <c r="G465" s="1">
        <v>81</v>
      </c>
      <c r="H465" s="1" t="s">
        <v>70</v>
      </c>
      <c r="I465" s="1" t="s">
        <v>31</v>
      </c>
      <c r="J465" s="1" t="s">
        <v>22</v>
      </c>
      <c r="K465" s="1">
        <v>4929</v>
      </c>
      <c r="L465" s="1">
        <v>17</v>
      </c>
      <c r="M465" s="1" t="s">
        <v>51</v>
      </c>
      <c r="N465" s="1" t="s">
        <v>186</v>
      </c>
    </row>
    <row r="466" spans="1:14">
      <c r="A466" s="1" t="s">
        <v>1521</v>
      </c>
      <c r="B466" s="1" t="s">
        <v>794</v>
      </c>
      <c r="C466" s="1" t="s">
        <v>248</v>
      </c>
      <c r="D466" s="1" t="s">
        <v>1522</v>
      </c>
      <c r="E466" s="1" t="s">
        <v>169</v>
      </c>
      <c r="F466" s="1" t="s">
        <v>143</v>
      </c>
      <c r="G466" s="1" t="s">
        <v>330</v>
      </c>
      <c r="H466" s="1" t="s">
        <v>84</v>
      </c>
      <c r="I466" s="1" t="s">
        <v>65</v>
      </c>
      <c r="J466" s="1" t="s">
        <v>210</v>
      </c>
      <c r="K466" s="1">
        <v>4549</v>
      </c>
      <c r="L466" s="1">
        <v>10</v>
      </c>
      <c r="M466" s="1" t="s">
        <v>24</v>
      </c>
      <c r="N466" s="1" t="s">
        <v>24</v>
      </c>
    </row>
    <row r="467" spans="1:14">
      <c r="A467" s="1" t="s">
        <v>1523</v>
      </c>
      <c r="B467" s="1" t="s">
        <v>1524</v>
      </c>
      <c r="C467" s="1" t="s">
        <v>664</v>
      </c>
      <c r="D467" s="1" t="s">
        <v>1525</v>
      </c>
      <c r="E467" s="1" t="s">
        <v>169</v>
      </c>
      <c r="F467" s="1" t="s">
        <v>143</v>
      </c>
      <c r="G467" s="1" t="s">
        <v>229</v>
      </c>
      <c r="H467" s="1"/>
      <c r="I467" s="1" t="s">
        <v>49</v>
      </c>
      <c r="J467" s="1" t="s">
        <v>210</v>
      </c>
      <c r="K467" s="1">
        <v>10070</v>
      </c>
      <c r="L467" s="1">
        <v>14</v>
      </c>
      <c r="M467" s="1">
        <v>1</v>
      </c>
      <c r="N467" s="1" t="s">
        <v>23</v>
      </c>
    </row>
    <row r="468" spans="1:14">
      <c r="A468" s="1" t="s">
        <v>1526</v>
      </c>
      <c r="B468" s="1" t="s">
        <v>887</v>
      </c>
      <c r="C468" s="1" t="s">
        <v>1527</v>
      </c>
      <c r="D468" s="1" t="s">
        <v>1108</v>
      </c>
      <c r="E468" s="1" t="s">
        <v>82</v>
      </c>
      <c r="F468" s="1" t="s">
        <v>132</v>
      </c>
      <c r="G468" s="1">
        <v>86</v>
      </c>
      <c r="H468" s="1" t="s">
        <v>20</v>
      </c>
      <c r="I468" s="1" t="s">
        <v>21</v>
      </c>
      <c r="J468" s="1" t="s">
        <v>230</v>
      </c>
      <c r="K468" s="1">
        <v>6189</v>
      </c>
      <c r="L468" s="1">
        <v>10</v>
      </c>
      <c r="M468" s="1">
        <v>0</v>
      </c>
      <c r="N468" s="1" t="s">
        <v>186</v>
      </c>
    </row>
    <row r="469" spans="1:14">
      <c r="A469" s="1" t="s">
        <v>1528</v>
      </c>
      <c r="B469" s="1" t="s">
        <v>1529</v>
      </c>
      <c r="C469" s="1" t="s">
        <v>1530</v>
      </c>
      <c r="D469" s="1" t="s">
        <v>979</v>
      </c>
      <c r="E469" s="1" t="s">
        <v>29</v>
      </c>
      <c r="F469" s="1" t="s">
        <v>77</v>
      </c>
      <c r="G469" s="1">
        <v>93</v>
      </c>
      <c r="H469" s="1" t="s">
        <v>84</v>
      </c>
      <c r="I469" s="1" t="s">
        <v>127</v>
      </c>
      <c r="J469" s="1" t="s">
        <v>40</v>
      </c>
      <c r="K469" s="1">
        <v>10131</v>
      </c>
      <c r="L469" s="1">
        <v>11</v>
      </c>
      <c r="M469" s="1" t="s">
        <v>52</v>
      </c>
      <c r="N469" s="1" t="s">
        <v>23</v>
      </c>
    </row>
    <row r="470" spans="1:14">
      <c r="A470" s="1" t="s">
        <v>1531</v>
      </c>
      <c r="B470" s="1" t="s">
        <v>1025</v>
      </c>
      <c r="C470" s="1" t="s">
        <v>705</v>
      </c>
      <c r="D470" s="1" t="s">
        <v>562</v>
      </c>
      <c r="E470" s="1" t="s">
        <v>120</v>
      </c>
      <c r="F470" s="1" t="s">
        <v>39</v>
      </c>
      <c r="G470" s="1">
        <v>20</v>
      </c>
      <c r="H470" s="1" t="s">
        <v>58</v>
      </c>
      <c r="I470" s="1" t="s">
        <v>49</v>
      </c>
      <c r="J470" s="1" t="s">
        <v>40</v>
      </c>
      <c r="K470" s="1" t="s">
        <v>1532</v>
      </c>
      <c r="L470" s="1">
        <v>4</v>
      </c>
      <c r="M470" s="1">
        <v>0</v>
      </c>
      <c r="N470" s="1" t="s">
        <v>52</v>
      </c>
    </row>
    <row r="471" spans="1:14">
      <c r="A471" s="1" t="s">
        <v>1533</v>
      </c>
      <c r="B471" s="1" t="s">
        <v>1070</v>
      </c>
      <c r="C471" s="1" t="s">
        <v>1534</v>
      </c>
      <c r="D471" s="1" t="s">
        <v>347</v>
      </c>
      <c r="E471" s="1" t="s">
        <v>149</v>
      </c>
      <c r="F471" s="1" t="s">
        <v>199</v>
      </c>
      <c r="G471" s="1">
        <v>23</v>
      </c>
      <c r="H471" s="1" t="s">
        <v>70</v>
      </c>
      <c r="I471" s="1" t="s">
        <v>49</v>
      </c>
      <c r="J471" s="1" t="s">
        <v>71</v>
      </c>
      <c r="K471" s="1">
        <v>11097</v>
      </c>
      <c r="L471" s="1" t="s">
        <v>303</v>
      </c>
      <c r="M471" s="1" t="s">
        <v>24</v>
      </c>
      <c r="N471" s="1" t="s">
        <v>41</v>
      </c>
    </row>
    <row r="472" spans="1:14">
      <c r="A472" s="1" t="s">
        <v>1535</v>
      </c>
      <c r="B472" s="1" t="s">
        <v>1350</v>
      </c>
      <c r="C472" s="1" t="s">
        <v>28</v>
      </c>
      <c r="D472" s="1" t="s">
        <v>1536</v>
      </c>
      <c r="E472" s="1" t="s">
        <v>120</v>
      </c>
      <c r="F472" s="1" t="s">
        <v>164</v>
      </c>
      <c r="G472" s="1">
        <v>61</v>
      </c>
      <c r="H472" s="1" t="s">
        <v>84</v>
      </c>
      <c r="I472" s="1" t="s">
        <v>110</v>
      </c>
      <c r="J472" s="1" t="s">
        <v>32</v>
      </c>
      <c r="K472" s="1" t="s">
        <v>1537</v>
      </c>
      <c r="L472" s="1">
        <v>10</v>
      </c>
      <c r="M472" s="1" t="s">
        <v>24</v>
      </c>
      <c r="N472" s="1" t="s">
        <v>52</v>
      </c>
    </row>
    <row r="473" spans="1:14">
      <c r="A473" s="1" t="s">
        <v>1538</v>
      </c>
      <c r="B473" s="1" t="s">
        <v>79</v>
      </c>
      <c r="C473" s="1" t="s">
        <v>1539</v>
      </c>
      <c r="D473" s="1" t="s">
        <v>813</v>
      </c>
      <c r="E473" s="1" t="s">
        <v>175</v>
      </c>
      <c r="F473" s="1" t="s">
        <v>209</v>
      </c>
      <c r="G473" s="1">
        <v>12</v>
      </c>
      <c r="H473" s="1" t="s">
        <v>70</v>
      </c>
      <c r="I473" s="1" t="s">
        <v>31</v>
      </c>
      <c r="J473" s="1" t="s">
        <v>89</v>
      </c>
      <c r="K473" s="1">
        <v>5378</v>
      </c>
      <c r="L473" s="1">
        <v>16</v>
      </c>
      <c r="M473" s="1" t="s">
        <v>24</v>
      </c>
      <c r="N473" s="1" t="s">
        <v>41</v>
      </c>
    </row>
    <row r="474" spans="1:14">
      <c r="A474" s="1" t="s">
        <v>1540</v>
      </c>
      <c r="B474" s="1" t="s">
        <v>161</v>
      </c>
      <c r="C474" s="1" t="s">
        <v>1541</v>
      </c>
      <c r="D474" s="1"/>
      <c r="E474" s="1" t="s">
        <v>68</v>
      </c>
      <c r="F474" s="1" t="s">
        <v>126</v>
      </c>
      <c r="G474" s="1">
        <v>74</v>
      </c>
      <c r="H474" s="1" t="s">
        <v>84</v>
      </c>
      <c r="I474" s="1" t="s">
        <v>31</v>
      </c>
      <c r="J474" s="1" t="s">
        <v>50</v>
      </c>
      <c r="K474" s="1">
        <v>5143</v>
      </c>
      <c r="L474" s="1">
        <v>20</v>
      </c>
      <c r="M474" s="1">
        <v>0</v>
      </c>
      <c r="N474" s="1" t="s">
        <v>52</v>
      </c>
    </row>
    <row r="475" spans="1:14">
      <c r="A475" s="1" t="s">
        <v>1542</v>
      </c>
      <c r="B475" s="1" t="s">
        <v>172</v>
      </c>
      <c r="C475" s="1" t="s">
        <v>1543</v>
      </c>
      <c r="D475" s="1" t="s">
        <v>1536</v>
      </c>
      <c r="E475" s="1" t="s">
        <v>357</v>
      </c>
      <c r="F475" s="1" t="s">
        <v>183</v>
      </c>
      <c r="G475" s="1">
        <v>59</v>
      </c>
      <c r="H475" s="1"/>
      <c r="I475" s="1" t="s">
        <v>21</v>
      </c>
      <c r="J475" s="1" t="s">
        <v>22</v>
      </c>
      <c r="K475" s="1">
        <v>13040</v>
      </c>
      <c r="L475" s="1">
        <v>2</v>
      </c>
      <c r="M475" s="1" t="s">
        <v>51</v>
      </c>
      <c r="N475" s="1" t="s">
        <v>23</v>
      </c>
    </row>
    <row r="476" spans="1:14">
      <c r="A476" s="1" t="s">
        <v>1544</v>
      </c>
      <c r="B476" s="1" t="s">
        <v>1430</v>
      </c>
      <c r="C476" s="1" t="s">
        <v>1545</v>
      </c>
      <c r="D476" s="1" t="s">
        <v>1230</v>
      </c>
      <c r="E476" s="1" t="s">
        <v>415</v>
      </c>
      <c r="F476" s="1" t="s">
        <v>96</v>
      </c>
      <c r="G476" s="1">
        <v>6</v>
      </c>
      <c r="H476" s="1" t="s">
        <v>144</v>
      </c>
      <c r="I476" s="1" t="s">
        <v>65</v>
      </c>
      <c r="J476" s="1" t="s">
        <v>89</v>
      </c>
      <c r="K476" s="1">
        <v>7579</v>
      </c>
      <c r="L476" s="1"/>
      <c r="M476" s="1" t="s">
        <v>41</v>
      </c>
      <c r="N476" s="1" t="s">
        <v>24</v>
      </c>
    </row>
    <row r="477" spans="1:14">
      <c r="A477" s="1" t="s">
        <v>1546</v>
      </c>
      <c r="B477" s="1" t="s">
        <v>612</v>
      </c>
      <c r="C477" s="1" t="s">
        <v>1547</v>
      </c>
      <c r="D477" s="1" t="s">
        <v>315</v>
      </c>
      <c r="E477" s="1" t="s">
        <v>82</v>
      </c>
      <c r="F477" s="1" t="s">
        <v>19</v>
      </c>
      <c r="G477" s="1">
        <v>39</v>
      </c>
      <c r="H477" s="1" t="s">
        <v>104</v>
      </c>
      <c r="I477" s="1" t="s">
        <v>49</v>
      </c>
      <c r="J477" s="1" t="s">
        <v>50</v>
      </c>
      <c r="K477" s="1">
        <v>5390</v>
      </c>
      <c r="L477" s="1">
        <v>1</v>
      </c>
      <c r="M477" s="1" t="s">
        <v>23</v>
      </c>
      <c r="N477" s="1" t="s">
        <v>24</v>
      </c>
    </row>
    <row r="478" spans="1:14">
      <c r="A478" s="1" t="s">
        <v>1548</v>
      </c>
      <c r="B478" s="1" t="s">
        <v>1549</v>
      </c>
      <c r="C478" s="1" t="s">
        <v>1187</v>
      </c>
      <c r="D478" s="1" t="s">
        <v>1277</v>
      </c>
      <c r="E478" s="1" t="s">
        <v>68</v>
      </c>
      <c r="F478" s="1" t="s">
        <v>126</v>
      </c>
      <c r="G478" s="1">
        <v>54</v>
      </c>
      <c r="H478" s="1" t="s">
        <v>144</v>
      </c>
      <c r="I478" s="1" t="s">
        <v>110</v>
      </c>
      <c r="J478" s="1" t="s">
        <v>71</v>
      </c>
      <c r="K478" s="1">
        <v>5489</v>
      </c>
      <c r="L478" s="1">
        <v>2</v>
      </c>
      <c r="M478" s="1" t="s">
        <v>41</v>
      </c>
      <c r="N478" s="1" t="s">
        <v>186</v>
      </c>
    </row>
    <row r="479" spans="1:14">
      <c r="A479" s="1" t="s">
        <v>1550</v>
      </c>
      <c r="B479" s="1" t="s">
        <v>376</v>
      </c>
      <c r="C479" s="1" t="s">
        <v>56</v>
      </c>
      <c r="D479" s="1" t="s">
        <v>1551</v>
      </c>
      <c r="E479" s="1" t="s">
        <v>64</v>
      </c>
      <c r="F479" s="1" t="s">
        <v>102</v>
      </c>
      <c r="G479" s="1">
        <v>27</v>
      </c>
      <c r="H479" s="1" t="s">
        <v>84</v>
      </c>
      <c r="I479" s="1" t="s">
        <v>21</v>
      </c>
      <c r="J479" s="1" t="s">
        <v>71</v>
      </c>
      <c r="K479" s="1">
        <v>8589</v>
      </c>
      <c r="L479" s="1">
        <v>1</v>
      </c>
      <c r="M479" s="1" t="s">
        <v>23</v>
      </c>
      <c r="N479" s="1"/>
    </row>
    <row r="480" spans="1:14">
      <c r="A480" s="1" t="s">
        <v>1552</v>
      </c>
      <c r="B480" s="1" t="s">
        <v>266</v>
      </c>
      <c r="C480" s="1" t="s">
        <v>1553</v>
      </c>
      <c r="D480" s="1" t="s">
        <v>1343</v>
      </c>
      <c r="E480" s="1" t="s">
        <v>149</v>
      </c>
      <c r="F480" s="1" t="s">
        <v>47</v>
      </c>
      <c r="G480" s="1">
        <v>93</v>
      </c>
      <c r="H480" s="1" t="s">
        <v>20</v>
      </c>
      <c r="I480" s="1" t="s">
        <v>49</v>
      </c>
      <c r="J480" s="1" t="s">
        <v>71</v>
      </c>
      <c r="K480" s="1">
        <v>9892</v>
      </c>
      <c r="L480" s="1">
        <v>10</v>
      </c>
      <c r="M480" s="1" t="s">
        <v>41</v>
      </c>
      <c r="N480" s="1" t="s">
        <v>24</v>
      </c>
    </row>
    <row r="481" spans="1:14">
      <c r="A481" s="1" t="s">
        <v>1554</v>
      </c>
      <c r="B481" s="1" t="s">
        <v>569</v>
      </c>
      <c r="C481" s="1" t="s">
        <v>1464</v>
      </c>
      <c r="D481" s="1" t="s">
        <v>796</v>
      </c>
      <c r="E481" s="1" t="s">
        <v>38</v>
      </c>
      <c r="F481" s="1" t="s">
        <v>143</v>
      </c>
      <c r="G481" s="1">
        <v>150</v>
      </c>
      <c r="H481" s="1" t="s">
        <v>20</v>
      </c>
      <c r="I481" s="1" t="s">
        <v>49</v>
      </c>
      <c r="J481" s="1" t="s">
        <v>22</v>
      </c>
      <c r="K481" s="1" t="s">
        <v>1555</v>
      </c>
      <c r="L481" s="1">
        <v>10</v>
      </c>
      <c r="M481" s="1" t="s">
        <v>33</v>
      </c>
      <c r="N481" s="1" t="s">
        <v>186</v>
      </c>
    </row>
    <row r="482" spans="1:14">
      <c r="A482" s="1" t="s">
        <v>1556</v>
      </c>
      <c r="B482" s="1" t="s">
        <v>129</v>
      </c>
      <c r="C482" s="1" t="s">
        <v>884</v>
      </c>
      <c r="D482" s="1" t="s">
        <v>492</v>
      </c>
      <c r="E482" s="1" t="s">
        <v>120</v>
      </c>
      <c r="F482" s="1" t="s">
        <v>39</v>
      </c>
      <c r="G482" s="1">
        <v>53</v>
      </c>
      <c r="H482" s="1" t="s">
        <v>58</v>
      </c>
      <c r="I482" s="1" t="s">
        <v>21</v>
      </c>
      <c r="J482" s="1" t="s">
        <v>40</v>
      </c>
      <c r="K482" s="1" t="s">
        <v>270</v>
      </c>
      <c r="L482" s="1">
        <v>18</v>
      </c>
      <c r="M482" s="1" t="s">
        <v>24</v>
      </c>
      <c r="N482" s="1" t="s">
        <v>23</v>
      </c>
    </row>
    <row r="483" spans="1:14">
      <c r="A483" s="1" t="s">
        <v>1557</v>
      </c>
      <c r="B483" s="1" t="s">
        <v>232</v>
      </c>
      <c r="C483" s="1" t="s">
        <v>440</v>
      </c>
      <c r="D483" s="1" t="s">
        <v>492</v>
      </c>
      <c r="E483" s="1" t="s">
        <v>38</v>
      </c>
      <c r="F483" s="1" t="s">
        <v>164</v>
      </c>
      <c r="G483" s="1">
        <v>35</v>
      </c>
      <c r="H483" s="1" t="s">
        <v>144</v>
      </c>
      <c r="I483" s="1" t="s">
        <v>115</v>
      </c>
      <c r="J483" s="1" t="s">
        <v>50</v>
      </c>
      <c r="K483" s="1">
        <v>5337</v>
      </c>
      <c r="L483" s="1">
        <v>12</v>
      </c>
      <c r="M483" s="1" t="s">
        <v>41</v>
      </c>
      <c r="N483" s="1" t="s">
        <v>186</v>
      </c>
    </row>
    <row r="484" spans="1:14">
      <c r="A484" s="1" t="s">
        <v>1558</v>
      </c>
      <c r="B484" s="1" t="s">
        <v>1559</v>
      </c>
      <c r="C484" s="1" t="s">
        <v>1560</v>
      </c>
      <c r="D484" s="1" t="s">
        <v>293</v>
      </c>
      <c r="E484" s="1" t="s">
        <v>175</v>
      </c>
      <c r="F484" s="1" t="s">
        <v>96</v>
      </c>
      <c r="G484" s="1" t="s">
        <v>1561</v>
      </c>
      <c r="H484" s="1" t="s">
        <v>84</v>
      </c>
      <c r="I484" s="1" t="s">
        <v>115</v>
      </c>
      <c r="J484" s="1" t="s">
        <v>22</v>
      </c>
      <c r="K484" s="1" t="s">
        <v>1562</v>
      </c>
      <c r="L484" s="1">
        <v>20</v>
      </c>
      <c r="M484" s="1" t="s">
        <v>52</v>
      </c>
      <c r="N484" s="1" t="s">
        <v>41</v>
      </c>
    </row>
    <row r="485" spans="1:14">
      <c r="A485" s="1" t="s">
        <v>1563</v>
      </c>
      <c r="B485" s="1" t="s">
        <v>1564</v>
      </c>
      <c r="C485" s="1" t="s">
        <v>1089</v>
      </c>
      <c r="D485" s="1" t="s">
        <v>28</v>
      </c>
      <c r="E485" s="1" t="s">
        <v>125</v>
      </c>
      <c r="F485" s="1" t="s">
        <v>126</v>
      </c>
      <c r="G485" s="1">
        <v>83</v>
      </c>
      <c r="H485" s="1" t="s">
        <v>84</v>
      </c>
      <c r="I485" s="1" t="s">
        <v>31</v>
      </c>
      <c r="J485" s="1" t="s">
        <v>230</v>
      </c>
      <c r="K485" s="1" t="s">
        <v>1565</v>
      </c>
      <c r="L485" s="1">
        <v>3</v>
      </c>
      <c r="M485" s="1" t="s">
        <v>52</v>
      </c>
      <c r="N485" s="1" t="s">
        <v>52</v>
      </c>
    </row>
    <row r="486" spans="1:14">
      <c r="A486" s="1" t="s">
        <v>1566</v>
      </c>
      <c r="B486" s="1" t="s">
        <v>1567</v>
      </c>
      <c r="C486" s="1" t="s">
        <v>852</v>
      </c>
      <c r="D486" s="1" t="s">
        <v>1568</v>
      </c>
      <c r="E486" s="1" t="s">
        <v>64</v>
      </c>
      <c r="F486" s="1" t="s">
        <v>77</v>
      </c>
      <c r="G486" s="1">
        <v>75</v>
      </c>
      <c r="H486" s="1" t="s">
        <v>58</v>
      </c>
      <c r="I486" s="1" t="s">
        <v>59</v>
      </c>
      <c r="J486" s="1" t="s">
        <v>50</v>
      </c>
      <c r="K486" s="1">
        <v>1475</v>
      </c>
      <c r="L486" s="1" t="s">
        <v>303</v>
      </c>
      <c r="M486" s="1" t="s">
        <v>24</v>
      </c>
      <c r="N486" s="1" t="s">
        <v>186</v>
      </c>
    </row>
    <row r="487" spans="1:14">
      <c r="A487" s="1" t="s">
        <v>1569</v>
      </c>
      <c r="B487" s="1" t="s">
        <v>337</v>
      </c>
      <c r="C487" s="1" t="s">
        <v>1570</v>
      </c>
      <c r="D487" s="1" t="s">
        <v>294</v>
      </c>
      <c r="E487" s="1" t="s">
        <v>29</v>
      </c>
      <c r="F487" s="1" t="s">
        <v>77</v>
      </c>
      <c r="G487" s="1">
        <v>38</v>
      </c>
      <c r="H487" s="1" t="s">
        <v>20</v>
      </c>
      <c r="I487" s="1" t="s">
        <v>59</v>
      </c>
      <c r="J487" s="1" t="s">
        <v>40</v>
      </c>
      <c r="K487" s="1">
        <v>1900</v>
      </c>
      <c r="L487" s="1">
        <v>15</v>
      </c>
      <c r="M487" s="1">
        <v>0</v>
      </c>
      <c r="N487" s="1" t="s">
        <v>23</v>
      </c>
    </row>
    <row r="488" spans="1:14">
      <c r="A488" s="1" t="s">
        <v>1571</v>
      </c>
      <c r="B488" s="1" t="s">
        <v>43</v>
      </c>
      <c r="C488" s="1" t="s">
        <v>1572</v>
      </c>
      <c r="D488" s="1" t="s">
        <v>1573</v>
      </c>
      <c r="E488" s="1" t="s">
        <v>29</v>
      </c>
      <c r="F488" s="1" t="s">
        <v>30</v>
      </c>
      <c r="G488" s="1" t="s">
        <v>1574</v>
      </c>
      <c r="H488" s="1" t="s">
        <v>58</v>
      </c>
      <c r="I488" s="1" t="s">
        <v>21</v>
      </c>
      <c r="J488" s="1" t="s">
        <v>230</v>
      </c>
      <c r="K488" s="1">
        <v>12137</v>
      </c>
      <c r="L488" s="1">
        <v>8</v>
      </c>
      <c r="M488" s="1" t="s">
        <v>51</v>
      </c>
      <c r="N488" s="1" t="s">
        <v>52</v>
      </c>
    </row>
    <row r="489" spans="1:14">
      <c r="A489" s="1" t="s">
        <v>1575</v>
      </c>
      <c r="B489" s="1" t="s">
        <v>1576</v>
      </c>
      <c r="C489" s="1" t="s">
        <v>740</v>
      </c>
      <c r="D489" s="1" t="s">
        <v>1462</v>
      </c>
      <c r="E489" s="1" t="s">
        <v>108</v>
      </c>
      <c r="F489" s="1" t="s">
        <v>47</v>
      </c>
      <c r="G489" s="1" t="s">
        <v>563</v>
      </c>
      <c r="H489" s="1" t="s">
        <v>20</v>
      </c>
      <c r="I489" s="1" t="s">
        <v>59</v>
      </c>
      <c r="J489" s="1" t="s">
        <v>22</v>
      </c>
      <c r="K489" s="1">
        <v>5481</v>
      </c>
      <c r="L489" s="1">
        <v>8</v>
      </c>
      <c r="M489" s="1" t="s">
        <v>52</v>
      </c>
      <c r="N489" s="1" t="s">
        <v>186</v>
      </c>
    </row>
    <row r="490" spans="1:14">
      <c r="A490" s="1" t="s">
        <v>1577</v>
      </c>
      <c r="B490" s="1" t="s">
        <v>1578</v>
      </c>
      <c r="C490" s="1" t="s">
        <v>1579</v>
      </c>
      <c r="D490" s="1" t="s">
        <v>1580</v>
      </c>
      <c r="E490" s="1" t="s">
        <v>64</v>
      </c>
      <c r="F490" s="1" t="s">
        <v>77</v>
      </c>
      <c r="G490" s="1">
        <v>23</v>
      </c>
      <c r="H490" s="1" t="s">
        <v>144</v>
      </c>
      <c r="I490" s="1"/>
      <c r="J490" s="1" t="s">
        <v>32</v>
      </c>
      <c r="K490" s="1">
        <v>1971</v>
      </c>
      <c r="L490" s="1">
        <v>17</v>
      </c>
      <c r="M490" s="1" t="s">
        <v>52</v>
      </c>
      <c r="N490" s="1" t="s">
        <v>41</v>
      </c>
    </row>
    <row r="491" spans="1:14">
      <c r="A491" s="1" t="s">
        <v>1581</v>
      </c>
      <c r="B491" s="1" t="s">
        <v>1582</v>
      </c>
      <c r="C491" s="1" t="s">
        <v>1583</v>
      </c>
      <c r="D491" s="1" t="s">
        <v>1584</v>
      </c>
      <c r="E491" s="1" t="s">
        <v>149</v>
      </c>
      <c r="F491" s="1" t="s">
        <v>47</v>
      </c>
      <c r="G491" s="1">
        <v>34</v>
      </c>
      <c r="H491" s="1" t="s">
        <v>144</v>
      </c>
      <c r="I491" s="1" t="s">
        <v>49</v>
      </c>
      <c r="J491" s="1" t="s">
        <v>40</v>
      </c>
      <c r="K491" s="1">
        <v>3851</v>
      </c>
      <c r="L491" s="1">
        <v>17</v>
      </c>
      <c r="M491" s="1" t="s">
        <v>33</v>
      </c>
      <c r="N491" s="1" t="s">
        <v>186</v>
      </c>
    </row>
    <row r="492" spans="1:14">
      <c r="A492" s="1" t="s">
        <v>1585</v>
      </c>
      <c r="B492" s="1" t="s">
        <v>232</v>
      </c>
      <c r="C492" s="1" t="s">
        <v>550</v>
      </c>
      <c r="D492" s="1" t="s">
        <v>1586</v>
      </c>
      <c r="E492" s="1" t="s">
        <v>149</v>
      </c>
      <c r="F492" s="1" t="s">
        <v>109</v>
      </c>
      <c r="G492" s="1">
        <v>150</v>
      </c>
      <c r="H492" s="1" t="s">
        <v>104</v>
      </c>
      <c r="I492" s="1" t="s">
        <v>31</v>
      </c>
      <c r="J492" s="1" t="s">
        <v>40</v>
      </c>
      <c r="K492" s="1" t="s">
        <v>1587</v>
      </c>
      <c r="L492" s="1">
        <v>14</v>
      </c>
      <c r="M492" s="1" t="s">
        <v>33</v>
      </c>
      <c r="N492" s="1" t="s">
        <v>23</v>
      </c>
    </row>
    <row r="493" spans="1:14">
      <c r="A493" s="1" t="s">
        <v>1588</v>
      </c>
      <c r="B493" s="1" t="s">
        <v>1589</v>
      </c>
      <c r="C493" s="1" t="s">
        <v>410</v>
      </c>
      <c r="D493" s="1" t="s">
        <v>1590</v>
      </c>
      <c r="E493" s="1" t="s">
        <v>95</v>
      </c>
      <c r="F493" s="1" t="s">
        <v>114</v>
      </c>
      <c r="G493" s="1">
        <v>1</v>
      </c>
      <c r="H493" s="1" t="s">
        <v>58</v>
      </c>
      <c r="I493" s="1" t="s">
        <v>115</v>
      </c>
      <c r="J493" s="1" t="s">
        <v>32</v>
      </c>
      <c r="K493" s="1" t="s">
        <v>270</v>
      </c>
      <c r="L493" s="1">
        <v>16</v>
      </c>
      <c r="M493" s="1" t="s">
        <v>24</v>
      </c>
      <c r="N493" s="1" t="s">
        <v>186</v>
      </c>
    </row>
    <row r="494" spans="1:14">
      <c r="A494" s="1" t="s">
        <v>1591</v>
      </c>
      <c r="B494" s="1" t="s">
        <v>1592</v>
      </c>
      <c r="C494" s="1" t="s">
        <v>1593</v>
      </c>
      <c r="D494" s="1" t="s">
        <v>748</v>
      </c>
      <c r="E494" s="1" t="s">
        <v>18</v>
      </c>
      <c r="F494" s="1" t="s">
        <v>19</v>
      </c>
      <c r="G494" s="1">
        <v>63</v>
      </c>
      <c r="H494" s="1" t="s">
        <v>104</v>
      </c>
      <c r="I494" s="1" t="s">
        <v>110</v>
      </c>
      <c r="J494" s="1" t="s">
        <v>50</v>
      </c>
      <c r="K494" s="1">
        <v>-250</v>
      </c>
      <c r="L494" s="1">
        <v>2</v>
      </c>
      <c r="M494" s="1" t="s">
        <v>24</v>
      </c>
      <c r="N494" s="1" t="s">
        <v>186</v>
      </c>
    </row>
    <row r="495" spans="1:14">
      <c r="A495" s="1" t="s">
        <v>1594</v>
      </c>
      <c r="B495" s="1" t="s">
        <v>1595</v>
      </c>
      <c r="C495" s="1" t="s">
        <v>1596</v>
      </c>
      <c r="D495" s="1" t="s">
        <v>1597</v>
      </c>
      <c r="E495" s="1" t="s">
        <v>29</v>
      </c>
      <c r="F495" s="1" t="s">
        <v>102</v>
      </c>
      <c r="G495" s="1">
        <v>32</v>
      </c>
      <c r="H495" s="1" t="s">
        <v>48</v>
      </c>
      <c r="I495" s="1" t="s">
        <v>65</v>
      </c>
      <c r="J495" s="1" t="s">
        <v>230</v>
      </c>
      <c r="K495" s="1">
        <v>4197</v>
      </c>
      <c r="L495" s="1">
        <v>13</v>
      </c>
      <c r="M495" s="1" t="s">
        <v>24</v>
      </c>
      <c r="N495" s="1" t="s">
        <v>24</v>
      </c>
    </row>
    <row r="496" spans="1:14">
      <c r="A496" s="1" t="s">
        <v>1598</v>
      </c>
      <c r="B496" s="1" t="s">
        <v>1559</v>
      </c>
      <c r="C496" s="1" t="s">
        <v>1599</v>
      </c>
      <c r="D496" s="1" t="s">
        <v>88</v>
      </c>
      <c r="E496" s="1" t="s">
        <v>357</v>
      </c>
      <c r="F496" s="1" t="s">
        <v>69</v>
      </c>
      <c r="G496" s="1">
        <v>22</v>
      </c>
      <c r="H496" s="1" t="s">
        <v>58</v>
      </c>
      <c r="I496" s="1" t="s">
        <v>115</v>
      </c>
      <c r="J496" s="1" t="s">
        <v>32</v>
      </c>
      <c r="K496" s="1" t="s">
        <v>1600</v>
      </c>
      <c r="L496" s="1">
        <v>5</v>
      </c>
      <c r="M496" s="1" t="s">
        <v>52</v>
      </c>
      <c r="N496" s="1" t="s">
        <v>41</v>
      </c>
    </row>
    <row r="497" spans="1:14">
      <c r="A497" s="1" t="s">
        <v>1601</v>
      </c>
      <c r="B497" s="1" t="s">
        <v>1004</v>
      </c>
      <c r="C497" s="1" t="s">
        <v>1476</v>
      </c>
      <c r="D497" s="1" t="s">
        <v>62</v>
      </c>
      <c r="E497" s="1" t="s">
        <v>64</v>
      </c>
      <c r="F497" s="1" t="s">
        <v>102</v>
      </c>
      <c r="G497" s="1">
        <v>52</v>
      </c>
      <c r="H497" s="1" t="s">
        <v>70</v>
      </c>
      <c r="I497" s="1" t="s">
        <v>59</v>
      </c>
      <c r="J497" s="1" t="s">
        <v>22</v>
      </c>
      <c r="K497" s="1" t="s">
        <v>1602</v>
      </c>
      <c r="L497" s="1">
        <v>2</v>
      </c>
      <c r="M497" s="1" t="s">
        <v>51</v>
      </c>
      <c r="N497" s="1" t="s">
        <v>23</v>
      </c>
    </row>
    <row r="498" spans="1:14">
      <c r="A498" s="1" t="s">
        <v>1603</v>
      </c>
      <c r="B498" s="1" t="s">
        <v>333</v>
      </c>
      <c r="C498" s="1" t="s">
        <v>822</v>
      </c>
      <c r="D498" s="1" t="s">
        <v>1604</v>
      </c>
      <c r="E498" s="1" t="s">
        <v>120</v>
      </c>
      <c r="F498" s="1" t="s">
        <v>143</v>
      </c>
      <c r="G498" s="1">
        <v>66</v>
      </c>
      <c r="H498" s="1" t="s">
        <v>20</v>
      </c>
      <c r="I498" s="1" t="s">
        <v>65</v>
      </c>
      <c r="J498" s="1" t="s">
        <v>210</v>
      </c>
      <c r="K498" s="1" t="s">
        <v>1605</v>
      </c>
      <c r="L498" s="1">
        <v>14</v>
      </c>
      <c r="M498" s="1" t="s">
        <v>51</v>
      </c>
      <c r="N498" s="1" t="s">
        <v>24</v>
      </c>
    </row>
    <row r="499" spans="1:14">
      <c r="A499" s="1" t="s">
        <v>1606</v>
      </c>
      <c r="B499" s="1" t="s">
        <v>1607</v>
      </c>
      <c r="C499" s="1"/>
      <c r="D499" s="1" t="s">
        <v>1608</v>
      </c>
      <c r="E499" s="1" t="s">
        <v>108</v>
      </c>
      <c r="F499" s="1" t="s">
        <v>199</v>
      </c>
      <c r="G499" s="1" t="s">
        <v>194</v>
      </c>
      <c r="H499" s="1" t="s">
        <v>58</v>
      </c>
      <c r="I499" s="1" t="s">
        <v>127</v>
      </c>
      <c r="J499" s="1" t="s">
        <v>71</v>
      </c>
      <c r="K499" s="1">
        <v>4379</v>
      </c>
      <c r="L499" s="1">
        <v>9</v>
      </c>
      <c r="M499" s="1" t="s">
        <v>51</v>
      </c>
      <c r="N499" s="1" t="s">
        <v>186</v>
      </c>
    </row>
    <row r="500" spans="1:14">
      <c r="A500" s="1" t="s">
        <v>1609</v>
      </c>
      <c r="B500" s="1" t="s">
        <v>1610</v>
      </c>
      <c r="C500" s="1" t="s">
        <v>1193</v>
      </c>
      <c r="D500" s="1" t="s">
        <v>1611</v>
      </c>
      <c r="E500" s="1" t="s">
        <v>64</v>
      </c>
      <c r="F500" s="1" t="s">
        <v>102</v>
      </c>
      <c r="G500" s="1">
        <v>88</v>
      </c>
      <c r="H500" s="1" t="s">
        <v>84</v>
      </c>
      <c r="I500" s="1" t="s">
        <v>65</v>
      </c>
      <c r="J500" s="1" t="s">
        <v>89</v>
      </c>
      <c r="K500" s="1">
        <v>4601</v>
      </c>
      <c r="L500" s="1">
        <v>19</v>
      </c>
      <c r="M500" s="1" t="s">
        <v>23</v>
      </c>
      <c r="N500" s="1" t="s">
        <v>52</v>
      </c>
    </row>
    <row r="501" spans="1:14">
      <c r="A501" s="1" t="s">
        <v>1433</v>
      </c>
      <c r="B501" s="1" t="s">
        <v>469</v>
      </c>
      <c r="C501" s="1" t="s">
        <v>649</v>
      </c>
      <c r="D501" s="1" t="s">
        <v>1434</v>
      </c>
      <c r="E501" s="1" t="s">
        <v>415</v>
      </c>
      <c r="F501" s="1" t="s">
        <v>96</v>
      </c>
      <c r="G501" s="1">
        <v>16</v>
      </c>
      <c r="H501" s="1" t="s">
        <v>104</v>
      </c>
      <c r="I501" s="1" t="s">
        <v>110</v>
      </c>
      <c r="J501" s="1" t="s">
        <v>89</v>
      </c>
      <c r="K501" s="1">
        <v>4224</v>
      </c>
      <c r="L501" s="1">
        <v>15</v>
      </c>
      <c r="M501" s="1" t="s">
        <v>51</v>
      </c>
      <c r="N501" s="1" t="s">
        <v>23</v>
      </c>
    </row>
    <row r="502" spans="1:14">
      <c r="A502" s="1" t="s">
        <v>1612</v>
      </c>
      <c r="B502" s="1" t="s">
        <v>442</v>
      </c>
      <c r="C502" s="1" t="s">
        <v>1089</v>
      </c>
      <c r="D502" s="1" t="s">
        <v>1613</v>
      </c>
      <c r="E502" s="1" t="s">
        <v>29</v>
      </c>
      <c r="F502" s="1" t="s">
        <v>77</v>
      </c>
      <c r="G502" s="1">
        <v>29</v>
      </c>
      <c r="H502" s="1" t="s">
        <v>20</v>
      </c>
      <c r="I502" s="1" t="s">
        <v>59</v>
      </c>
      <c r="J502" s="1" t="s">
        <v>40</v>
      </c>
      <c r="K502" s="1">
        <v>9856</v>
      </c>
      <c r="L502" s="1">
        <v>1</v>
      </c>
      <c r="M502" s="1">
        <v>0</v>
      </c>
      <c r="N502" s="1" t="s">
        <v>186</v>
      </c>
    </row>
    <row r="503" spans="1:14">
      <c r="A503" s="1" t="s">
        <v>116</v>
      </c>
      <c r="B503" s="1" t="s">
        <v>117</v>
      </c>
      <c r="C503" s="1" t="s">
        <v>118</v>
      </c>
      <c r="D503" s="1" t="s">
        <v>119</v>
      </c>
      <c r="E503" s="1" t="s">
        <v>169</v>
      </c>
      <c r="F503" s="1" t="s">
        <v>39</v>
      </c>
      <c r="G503" s="1">
        <v>49</v>
      </c>
      <c r="H503" s="1" t="s">
        <v>20</v>
      </c>
      <c r="I503" s="1" t="s">
        <v>115</v>
      </c>
      <c r="J503" s="1" t="s">
        <v>22</v>
      </c>
      <c r="K503" s="1"/>
      <c r="L503" s="1">
        <v>9</v>
      </c>
      <c r="M503" s="1" t="s">
        <v>23</v>
      </c>
      <c r="N503" s="1" t="s">
        <v>33</v>
      </c>
    </row>
    <row r="504" spans="1:14">
      <c r="A504" s="1" t="s">
        <v>1614</v>
      </c>
      <c r="B504" s="1" t="s">
        <v>1404</v>
      </c>
      <c r="C504" s="1" t="s">
        <v>1615</v>
      </c>
      <c r="D504" s="1" t="s">
        <v>816</v>
      </c>
      <c r="E504" s="1" t="s">
        <v>68</v>
      </c>
      <c r="F504" s="1" t="s">
        <v>183</v>
      </c>
      <c r="G504" s="1">
        <v>29</v>
      </c>
      <c r="H504" s="1" t="s">
        <v>58</v>
      </c>
      <c r="I504" s="1" t="s">
        <v>110</v>
      </c>
      <c r="J504" s="1" t="s">
        <v>89</v>
      </c>
      <c r="K504" s="1" t="s">
        <v>1616</v>
      </c>
      <c r="L504" s="1">
        <v>8</v>
      </c>
      <c r="M504" s="1" t="s">
        <v>52</v>
      </c>
      <c r="N504" s="1" t="s">
        <v>33</v>
      </c>
    </row>
    <row r="505" spans="1:14">
      <c r="A505" s="1" t="s">
        <v>1617</v>
      </c>
      <c r="B505" s="1" t="s">
        <v>1618</v>
      </c>
      <c r="C505" s="1" t="s">
        <v>1619</v>
      </c>
      <c r="D505" s="1" t="s">
        <v>1620</v>
      </c>
      <c r="E505" s="1" t="s">
        <v>82</v>
      </c>
      <c r="F505" s="1" t="s">
        <v>83</v>
      </c>
      <c r="G505" s="1" t="s">
        <v>1621</v>
      </c>
      <c r="H505" s="1" t="s">
        <v>144</v>
      </c>
      <c r="I505" s="1" t="s">
        <v>127</v>
      </c>
      <c r="J505" s="1" t="s">
        <v>210</v>
      </c>
      <c r="K505" s="1">
        <v>10384</v>
      </c>
      <c r="L505" s="1">
        <v>15</v>
      </c>
      <c r="M505" s="1" t="s">
        <v>52</v>
      </c>
      <c r="N505" s="1" t="s">
        <v>33</v>
      </c>
    </row>
    <row r="506" spans="1:14">
      <c r="A506" s="1" t="s">
        <v>1622</v>
      </c>
      <c r="B506" s="1" t="s">
        <v>722</v>
      </c>
      <c r="C506" s="1" t="s">
        <v>390</v>
      </c>
      <c r="D506" s="1" t="s">
        <v>1623</v>
      </c>
      <c r="E506" s="1" t="s">
        <v>249</v>
      </c>
      <c r="F506" s="1" t="s">
        <v>209</v>
      </c>
      <c r="G506" s="1">
        <v>8</v>
      </c>
      <c r="H506" s="1" t="s">
        <v>84</v>
      </c>
      <c r="I506" s="1" t="s">
        <v>153</v>
      </c>
      <c r="J506" s="1" t="s">
        <v>22</v>
      </c>
      <c r="K506" s="1">
        <v>12270</v>
      </c>
      <c r="L506" s="1"/>
      <c r="M506" s="1">
        <v>0</v>
      </c>
      <c r="N506" s="1" t="s">
        <v>52</v>
      </c>
    </row>
    <row r="507" spans="1:14">
      <c r="A507" s="1" t="s">
        <v>1624</v>
      </c>
      <c r="B507" s="1" t="s">
        <v>378</v>
      </c>
      <c r="C507" s="1" t="s">
        <v>1130</v>
      </c>
      <c r="D507" s="1" t="s">
        <v>1625</v>
      </c>
      <c r="E507" s="1" t="s">
        <v>249</v>
      </c>
      <c r="F507" s="1" t="s">
        <v>114</v>
      </c>
      <c r="G507" s="1" t="s">
        <v>1626</v>
      </c>
      <c r="H507" s="1" t="s">
        <v>20</v>
      </c>
      <c r="I507" s="1" t="s">
        <v>110</v>
      </c>
      <c r="J507" s="1" t="s">
        <v>210</v>
      </c>
      <c r="K507" s="1">
        <v>3984</v>
      </c>
      <c r="L507" s="1">
        <v>10</v>
      </c>
      <c r="M507" s="1" t="s">
        <v>41</v>
      </c>
      <c r="N507" s="1" t="s">
        <v>24</v>
      </c>
    </row>
    <row r="508" spans="1:14">
      <c r="A508" s="1" t="s">
        <v>1627</v>
      </c>
      <c r="B508" s="1" t="s">
        <v>217</v>
      </c>
      <c r="C508" s="1"/>
      <c r="D508" s="1" t="s">
        <v>203</v>
      </c>
      <c r="E508" s="1" t="s">
        <v>29</v>
      </c>
      <c r="F508" s="1" t="s">
        <v>102</v>
      </c>
      <c r="G508" s="1">
        <v>54</v>
      </c>
      <c r="H508" s="1" t="s">
        <v>70</v>
      </c>
      <c r="I508" s="1" t="s">
        <v>153</v>
      </c>
      <c r="J508" s="1" t="s">
        <v>71</v>
      </c>
      <c r="K508" s="1">
        <v>6766</v>
      </c>
      <c r="L508" s="1">
        <v>2</v>
      </c>
      <c r="M508" s="1" t="s">
        <v>33</v>
      </c>
      <c r="N508" s="1" t="s">
        <v>186</v>
      </c>
    </row>
    <row r="509" spans="1:14">
      <c r="A509" s="1" t="s">
        <v>1628</v>
      </c>
      <c r="B509" s="1" t="s">
        <v>254</v>
      </c>
      <c r="C509" s="1" t="s">
        <v>1629</v>
      </c>
      <c r="D509" s="1" t="s">
        <v>1509</v>
      </c>
      <c r="E509" s="1" t="s">
        <v>149</v>
      </c>
      <c r="F509" s="1" t="s">
        <v>109</v>
      </c>
      <c r="G509" s="1" t="s">
        <v>688</v>
      </c>
      <c r="H509" s="1" t="s">
        <v>84</v>
      </c>
      <c r="I509" s="1" t="s">
        <v>31</v>
      </c>
      <c r="J509" s="1" t="s">
        <v>89</v>
      </c>
      <c r="K509" s="1">
        <v>-250</v>
      </c>
      <c r="L509" s="1">
        <v>6</v>
      </c>
      <c r="M509" s="1" t="s">
        <v>23</v>
      </c>
      <c r="N509" s="1" t="s">
        <v>24</v>
      </c>
    </row>
    <row r="510" spans="1:14">
      <c r="A510" s="1" t="s">
        <v>1630</v>
      </c>
      <c r="B510" s="1" t="s">
        <v>272</v>
      </c>
      <c r="C510" s="1" t="s">
        <v>520</v>
      </c>
      <c r="D510" s="1" t="s">
        <v>1631</v>
      </c>
      <c r="E510" s="1" t="s">
        <v>125</v>
      </c>
      <c r="F510" s="1" t="s">
        <v>183</v>
      </c>
      <c r="G510" s="1">
        <v>66</v>
      </c>
      <c r="H510" s="1" t="s">
        <v>144</v>
      </c>
      <c r="I510" s="1" t="s">
        <v>110</v>
      </c>
      <c r="J510" s="1" t="s">
        <v>230</v>
      </c>
      <c r="K510" s="1">
        <v>14181</v>
      </c>
      <c r="L510" s="1">
        <v>7</v>
      </c>
      <c r="M510" s="1">
        <v>1</v>
      </c>
      <c r="N510" s="1" t="s">
        <v>186</v>
      </c>
    </row>
    <row r="511" spans="1:14">
      <c r="A511" s="1" t="s">
        <v>1632</v>
      </c>
      <c r="B511" s="1" t="s">
        <v>1633</v>
      </c>
      <c r="C511" s="1" t="s">
        <v>904</v>
      </c>
      <c r="D511" s="1" t="s">
        <v>1634</v>
      </c>
      <c r="E511" s="1" t="s">
        <v>64</v>
      </c>
      <c r="F511" s="1" t="s">
        <v>77</v>
      </c>
      <c r="G511" s="1">
        <v>60</v>
      </c>
      <c r="H511" s="1" t="s">
        <v>20</v>
      </c>
      <c r="I511" s="1"/>
      <c r="J511" s="1" t="s">
        <v>40</v>
      </c>
      <c r="K511" s="1" t="s">
        <v>1635</v>
      </c>
      <c r="L511" s="1">
        <v>10</v>
      </c>
      <c r="M511" s="1" t="s">
        <v>51</v>
      </c>
      <c r="N511" s="1" t="s">
        <v>41</v>
      </c>
    </row>
    <row r="512" spans="1:14">
      <c r="A512" s="1" t="s">
        <v>1636</v>
      </c>
      <c r="B512" s="1" t="s">
        <v>337</v>
      </c>
      <c r="C512" s="1" t="s">
        <v>521</v>
      </c>
      <c r="D512" s="1" t="s">
        <v>1247</v>
      </c>
      <c r="E512" s="1" t="s">
        <v>142</v>
      </c>
      <c r="F512" s="1" t="s">
        <v>164</v>
      </c>
      <c r="G512" s="1">
        <v>79</v>
      </c>
      <c r="H512" s="1" t="s">
        <v>70</v>
      </c>
      <c r="I512" s="1" t="s">
        <v>110</v>
      </c>
      <c r="J512" s="1" t="s">
        <v>40</v>
      </c>
      <c r="K512" s="1">
        <v>883</v>
      </c>
      <c r="L512" s="1">
        <v>18</v>
      </c>
      <c r="M512" s="1" t="s">
        <v>23</v>
      </c>
      <c r="N512" s="1" t="s">
        <v>24</v>
      </c>
    </row>
    <row r="513" spans="1:14">
      <c r="A513" s="1" t="s">
        <v>1637</v>
      </c>
      <c r="B513" s="1" t="s">
        <v>1243</v>
      </c>
      <c r="C513" s="1" t="s">
        <v>1638</v>
      </c>
      <c r="D513" s="1" t="s">
        <v>984</v>
      </c>
      <c r="E513" s="1" t="s">
        <v>46</v>
      </c>
      <c r="F513" s="1" t="s">
        <v>199</v>
      </c>
      <c r="G513" s="1">
        <v>83</v>
      </c>
      <c r="H513" s="1" t="s">
        <v>70</v>
      </c>
      <c r="I513" s="1" t="s">
        <v>65</v>
      </c>
      <c r="J513" s="1" t="s">
        <v>32</v>
      </c>
      <c r="K513" s="1">
        <v>8097</v>
      </c>
      <c r="L513" s="1">
        <v>14</v>
      </c>
      <c r="M513" s="1" t="s">
        <v>33</v>
      </c>
      <c r="N513" s="1" t="s">
        <v>33</v>
      </c>
    </row>
    <row r="514" spans="1:14">
      <c r="A514" s="1" t="s">
        <v>1639</v>
      </c>
      <c r="B514" s="1" t="s">
        <v>878</v>
      </c>
      <c r="C514" s="1" t="s">
        <v>1640</v>
      </c>
      <c r="D514" s="1" t="s">
        <v>1641</v>
      </c>
      <c r="E514" s="1" t="s">
        <v>46</v>
      </c>
      <c r="F514" s="1" t="s">
        <v>47</v>
      </c>
      <c r="G514" s="1">
        <v>39</v>
      </c>
      <c r="H514" s="1" t="s">
        <v>84</v>
      </c>
      <c r="I514" s="1" t="s">
        <v>21</v>
      </c>
      <c r="J514" s="1" t="s">
        <v>32</v>
      </c>
      <c r="K514" s="1" t="s">
        <v>358</v>
      </c>
      <c r="L514" s="1">
        <v>10</v>
      </c>
      <c r="M514" s="1" t="s">
        <v>24</v>
      </c>
      <c r="N514" s="1" t="s">
        <v>186</v>
      </c>
    </row>
    <row r="515" spans="1:14">
      <c r="A515" s="1" t="s">
        <v>1642</v>
      </c>
      <c r="B515" s="1" t="s">
        <v>604</v>
      </c>
      <c r="C515" s="1" t="s">
        <v>280</v>
      </c>
      <c r="D515" s="1" t="s">
        <v>1643</v>
      </c>
      <c r="E515" s="1" t="s">
        <v>357</v>
      </c>
      <c r="F515" s="1" t="s">
        <v>183</v>
      </c>
      <c r="G515" s="1">
        <v>39</v>
      </c>
      <c r="H515" s="1" t="s">
        <v>70</v>
      </c>
      <c r="I515" s="1" t="s">
        <v>59</v>
      </c>
      <c r="J515" s="1" t="s">
        <v>50</v>
      </c>
      <c r="K515" s="1">
        <v>721</v>
      </c>
      <c r="L515" s="1">
        <v>10</v>
      </c>
      <c r="M515" s="1" t="s">
        <v>24</v>
      </c>
      <c r="N515" s="1" t="s">
        <v>33</v>
      </c>
    </row>
    <row r="516" spans="1:14">
      <c r="A516" s="1" t="s">
        <v>1644</v>
      </c>
      <c r="B516" s="1" t="s">
        <v>1153</v>
      </c>
      <c r="C516" s="1" t="s">
        <v>1129</v>
      </c>
      <c r="D516" s="1" t="s">
        <v>1645</v>
      </c>
      <c r="E516" s="1" t="s">
        <v>68</v>
      </c>
      <c r="F516" s="1" t="s">
        <v>183</v>
      </c>
      <c r="G516" s="1">
        <v>82</v>
      </c>
      <c r="H516" s="1" t="s">
        <v>20</v>
      </c>
      <c r="I516" s="1" t="s">
        <v>153</v>
      </c>
      <c r="J516" s="1" t="s">
        <v>210</v>
      </c>
      <c r="K516" s="1" t="s">
        <v>1646</v>
      </c>
      <c r="L516" s="1">
        <v>10</v>
      </c>
      <c r="M516" s="1" t="s">
        <v>52</v>
      </c>
      <c r="N516" s="1" t="s">
        <v>41</v>
      </c>
    </row>
    <row r="517" spans="1:14">
      <c r="A517" s="1" t="s">
        <v>1647</v>
      </c>
      <c r="B517" s="1" t="s">
        <v>1648</v>
      </c>
      <c r="C517" s="1" t="s">
        <v>975</v>
      </c>
      <c r="D517" s="1" t="s">
        <v>1498</v>
      </c>
      <c r="E517" s="1" t="s">
        <v>57</v>
      </c>
      <c r="F517" s="1" t="s">
        <v>132</v>
      </c>
      <c r="G517" s="1">
        <v>29</v>
      </c>
      <c r="H517" s="1" t="s">
        <v>84</v>
      </c>
      <c r="I517" s="1" t="s">
        <v>110</v>
      </c>
      <c r="J517" s="1" t="s">
        <v>210</v>
      </c>
      <c r="K517" s="1">
        <v>4733</v>
      </c>
      <c r="L517" s="1">
        <v>8</v>
      </c>
      <c r="M517" s="1" t="s">
        <v>24</v>
      </c>
      <c r="N517" s="1" t="s">
        <v>186</v>
      </c>
    </row>
    <row r="518" spans="1:14">
      <c r="A518" s="1" t="s">
        <v>1649</v>
      </c>
      <c r="B518" s="1" t="s">
        <v>918</v>
      </c>
      <c r="C518" s="1" t="s">
        <v>1300</v>
      </c>
      <c r="D518" s="1" t="s">
        <v>1096</v>
      </c>
      <c r="E518" s="1" t="s">
        <v>82</v>
      </c>
      <c r="F518" s="1" t="s">
        <v>19</v>
      </c>
      <c r="G518" s="1">
        <v>47</v>
      </c>
      <c r="H518" s="1" t="s">
        <v>70</v>
      </c>
      <c r="I518" s="1" t="s">
        <v>31</v>
      </c>
      <c r="J518" s="1" t="s">
        <v>50</v>
      </c>
      <c r="K518" s="1">
        <v>10794</v>
      </c>
      <c r="L518" s="1">
        <v>16</v>
      </c>
      <c r="M518" s="1" t="s">
        <v>23</v>
      </c>
      <c r="N518" s="1" t="s">
        <v>41</v>
      </c>
    </row>
    <row r="519" spans="1:14">
      <c r="A519" s="1" t="s">
        <v>1650</v>
      </c>
      <c r="B519" s="1" t="s">
        <v>507</v>
      </c>
      <c r="C519" s="1"/>
      <c r="D519" s="1" t="s">
        <v>1651</v>
      </c>
      <c r="E519" s="1" t="s">
        <v>95</v>
      </c>
      <c r="F519" s="1" t="s">
        <v>209</v>
      </c>
      <c r="G519" s="1">
        <v>3</v>
      </c>
      <c r="H519" s="1" t="s">
        <v>144</v>
      </c>
      <c r="I519" s="1" t="s">
        <v>21</v>
      </c>
      <c r="J519" s="1" t="s">
        <v>71</v>
      </c>
      <c r="K519" s="1">
        <v>714</v>
      </c>
      <c r="L519" s="1">
        <v>1</v>
      </c>
      <c r="M519" s="1" t="s">
        <v>41</v>
      </c>
      <c r="N519" s="1" t="s">
        <v>186</v>
      </c>
    </row>
    <row r="520" spans="1:14">
      <c r="A520" s="1" t="s">
        <v>1652</v>
      </c>
      <c r="B520" s="1" t="s">
        <v>1653</v>
      </c>
      <c r="C520" s="1" t="s">
        <v>543</v>
      </c>
      <c r="D520" s="1"/>
      <c r="E520" s="1" t="s">
        <v>108</v>
      </c>
      <c r="F520" s="1" t="s">
        <v>47</v>
      </c>
      <c r="G520" s="1">
        <v>73</v>
      </c>
      <c r="H520" s="1" t="s">
        <v>20</v>
      </c>
      <c r="I520" s="1" t="s">
        <v>110</v>
      </c>
      <c r="J520" s="1" t="s">
        <v>71</v>
      </c>
      <c r="K520" s="1">
        <v>13245</v>
      </c>
      <c r="L520" s="1">
        <v>18</v>
      </c>
      <c r="M520" s="1" t="s">
        <v>23</v>
      </c>
      <c r="N520" s="1" t="s">
        <v>186</v>
      </c>
    </row>
    <row r="521" spans="1:14">
      <c r="A521" s="1" t="s">
        <v>1654</v>
      </c>
      <c r="B521" s="1" t="s">
        <v>1655</v>
      </c>
      <c r="C521" s="1" t="s">
        <v>1656</v>
      </c>
      <c r="D521" s="1" t="s">
        <v>955</v>
      </c>
      <c r="E521" s="1" t="s">
        <v>169</v>
      </c>
      <c r="F521" s="1" t="s">
        <v>143</v>
      </c>
      <c r="G521" s="1" t="s">
        <v>307</v>
      </c>
      <c r="H521" s="1" t="s">
        <v>84</v>
      </c>
      <c r="I521" s="1" t="s">
        <v>127</v>
      </c>
      <c r="J521" s="1" t="s">
        <v>40</v>
      </c>
      <c r="K521" s="1" t="s">
        <v>1657</v>
      </c>
      <c r="L521" s="1">
        <v>10</v>
      </c>
      <c r="M521" s="1" t="s">
        <v>33</v>
      </c>
      <c r="N521" s="1" t="s">
        <v>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showGridLines="0" topLeftCell="A2" workbookViewId="0"/>
  </sheetViews>
  <sheetFormatPr defaultRowHeight="14.25"/>
  <cols>
    <col min="1" max="1" width="24" customWidth="1"/>
    <col min="2" max="2" width="100" customWidth="1"/>
  </cols>
  <sheetData>
    <row r="1" spans="1:2" ht="36" customHeight="1">
      <c r="A1" s="3" t="s">
        <v>1658</v>
      </c>
      <c r="B1" s="3"/>
    </row>
    <row r="2" spans="1:2" ht="15" customHeight="1">
      <c r="A2" s="4" t="s">
        <v>1659</v>
      </c>
      <c r="B2" s="4" t="s">
        <v>1660</v>
      </c>
    </row>
    <row r="3" spans="1:2" ht="15" customHeight="1">
      <c r="A3" s="4" t="s">
        <v>1661</v>
      </c>
      <c r="B3" s="4" t="s">
        <v>1662</v>
      </c>
    </row>
    <row r="4" spans="1:2" ht="15" customHeight="1">
      <c r="A4" s="4" t="s">
        <v>1663</v>
      </c>
      <c r="B4" s="4" t="s">
        <v>1664</v>
      </c>
    </row>
    <row r="5" spans="1:2" ht="15" customHeight="1">
      <c r="A5" s="4" t="s">
        <v>1665</v>
      </c>
      <c r="B5" s="4" t="s">
        <v>1666</v>
      </c>
    </row>
    <row r="6" spans="1:2" ht="15" customHeight="1">
      <c r="A6" s="4" t="s">
        <v>1667</v>
      </c>
      <c r="B6" s="4" t="s">
        <v>1668</v>
      </c>
    </row>
    <row r="7" spans="1:2" ht="15" customHeight="1">
      <c r="A7" s="4" t="s">
        <v>1669</v>
      </c>
      <c r="B7" s="4" t="s">
        <v>1670</v>
      </c>
    </row>
    <row r="8" spans="1:2" ht="15" customHeight="1">
      <c r="A8" s="4" t="s">
        <v>1671</v>
      </c>
      <c r="B8" s="4" t="s">
        <v>1672</v>
      </c>
    </row>
    <row r="9" spans="1:2" ht="15" customHeight="1">
      <c r="A9" s="4" t="s">
        <v>1673</v>
      </c>
      <c r="B9" s="4" t="s">
        <v>1674</v>
      </c>
    </row>
    <row r="10" spans="1:2" ht="15" customHeight="1">
      <c r="A10" s="4" t="s">
        <v>1675</v>
      </c>
      <c r="B10" s="4" t="s">
        <v>1676</v>
      </c>
    </row>
    <row r="11" spans="1:2" ht="15" customHeight="1">
      <c r="A11" s="4" t="s">
        <v>1677</v>
      </c>
      <c r="B11" s="4" t="s">
        <v>1678</v>
      </c>
    </row>
    <row r="12" spans="1:2" ht="15" customHeight="1">
      <c r="A12" s="4" t="s">
        <v>1679</v>
      </c>
      <c r="B12" s="4" t="s">
        <v>1680</v>
      </c>
    </row>
    <row r="13" spans="1:2" ht="15" customHeight="1">
      <c r="A13" s="4" t="s">
        <v>1681</v>
      </c>
      <c r="B13" s="4" t="s">
        <v>1682</v>
      </c>
    </row>
    <row r="14" spans="1:2" ht="15" customHeight="1">
      <c r="A14" s="4" t="s">
        <v>1683</v>
      </c>
      <c r="B14" s="4" t="s">
        <v>1684</v>
      </c>
    </row>
    <row r="15" spans="1:2" ht="15" customHeight="1">
      <c r="A15" s="4" t="s">
        <v>1685</v>
      </c>
      <c r="B15" s="4" t="s">
        <v>1686</v>
      </c>
    </row>
    <row r="16" spans="1:2" ht="15" customHeight="1">
      <c r="A16" s="4" t="s">
        <v>1687</v>
      </c>
      <c r="B16" s="4" t="s">
        <v>1688</v>
      </c>
    </row>
    <row r="17" spans="1:2" ht="15" customHeight="1">
      <c r="A17" s="4" t="s">
        <v>1689</v>
      </c>
      <c r="B17" s="4" t="s">
        <v>1690</v>
      </c>
    </row>
    <row r="18" spans="1:2" ht="15" customHeight="1">
      <c r="A18" s="4" t="s">
        <v>1691</v>
      </c>
      <c r="B18" s="4" t="s">
        <v>1692</v>
      </c>
    </row>
    <row r="19" spans="1:2" ht="15" customHeight="1">
      <c r="A19" s="4" t="s">
        <v>1693</v>
      </c>
      <c r="B19" s="4" t="s">
        <v>1694</v>
      </c>
    </row>
    <row r="20" spans="1:2" ht="15" customHeight="1">
      <c r="A20" s="4" t="s">
        <v>1695</v>
      </c>
      <c r="B20" s="4" t="s">
        <v>1696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31E1-FB02-4BEC-AD1E-5DABD07C0293}">
  <dimension ref="A1:G5"/>
  <sheetViews>
    <sheetView workbookViewId="0">
      <selection activeCell="C3" sqref="C3"/>
    </sheetView>
  </sheetViews>
  <sheetFormatPr defaultRowHeight="14.25"/>
  <cols>
    <col min="1" max="1" width="20.375" customWidth="1"/>
    <col min="2" max="2" width="17.375" customWidth="1"/>
    <col min="3" max="3" width="28.125" customWidth="1"/>
    <col min="5" max="5" width="32.125" customWidth="1"/>
    <col min="6" max="6" width="20.375" customWidth="1"/>
    <col min="7" max="7" width="28.625" customWidth="1"/>
  </cols>
  <sheetData>
    <row r="1" spans="1:7">
      <c r="A1" t="s">
        <v>1705</v>
      </c>
      <c r="C1" t="s">
        <v>1708</v>
      </c>
      <c r="E1" t="s">
        <v>1706</v>
      </c>
      <c r="G1" t="s">
        <v>1707</v>
      </c>
    </row>
    <row r="2" spans="1:7">
      <c r="A2">
        <f>GETPIVOTDATA("Admission_ID",'Admissions by dept'!$A$3)</f>
        <v>505</v>
      </c>
      <c r="C2" s="9">
        <f>GETPIVOTDATA("Calculated_stay_Days",'Average stay'!$A$3)</f>
        <v>10.738927738927739</v>
      </c>
      <c r="E2" s="10">
        <f>GETPIVOTDATA("Treatment_Cost_GBP",'Cost by Department'!$A$3)</f>
        <v>7060206</v>
      </c>
      <c r="G2">
        <f>COUNT(Cleaned_Data!Q:Q)</f>
        <v>429</v>
      </c>
    </row>
    <row r="3" spans="1:7">
      <c r="A3" t="str">
        <f>"Total Admissions: "&amp;A2</f>
        <v>Total Admissions: 505</v>
      </c>
      <c r="C3" t="str">
        <f>"Average Valid Stay: "&amp;TEXT(C2,"0.0")&amp;" days"</f>
        <v>Average Valid Stay: 10.7 days</v>
      </c>
      <c r="E3" t="str">
        <f>"Recorded Cost: "&amp;TEXT(E2,"£#,##0")</f>
        <v>Recorded Cost: £7,060,206</v>
      </c>
      <c r="G3" t="str">
        <f>"Admissions with Valid Stay: "&amp;TEXT(G2,"0")</f>
        <v>Admissions with Valid Stay: 429</v>
      </c>
    </row>
    <row r="5" spans="1:7">
      <c r="A5" t="s">
        <v>1709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Cost by Department</vt:lpstr>
      <vt:lpstr>Average stay</vt:lpstr>
      <vt:lpstr>Cleaned_Data</vt:lpstr>
      <vt:lpstr>Admissions by dept</vt:lpstr>
      <vt:lpstr>DASHBOARD</vt:lpstr>
      <vt:lpstr>Raw_Data</vt:lpstr>
      <vt:lpstr>Practice_Guide</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tolulope Samuel</dc:creator>
  <cp:lastModifiedBy>tolulope Samuel</cp:lastModifiedBy>
  <dcterms:created xsi:type="dcterms:W3CDTF">2026-10-13T23:36:08Z</dcterms:created>
  <dcterms:modified xsi:type="dcterms:W3CDTF">2026-10-25T10:49:18Z</dcterms:modified>
</cp:coreProperties>
</file>