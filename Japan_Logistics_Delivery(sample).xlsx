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C:\Users\bukol\Downloads\"/>
    </mc:Choice>
  </mc:AlternateContent>
  <xr:revisionPtr revIDLastSave="0" documentId="8_{82230AD5-914F-4A8D-A6D1-DEDE637F00FE}" xr6:coauthVersionLast="47" xr6:coauthVersionMax="47" xr10:uidLastSave="{00000000-0000-0000-0000-000000000000}"/>
  <bookViews>
    <workbookView xWindow="-120" yWindow="-120" windowWidth="29040" windowHeight="15840" firstSheet="3" activeTab="6" xr2:uid="{00000000-000D-0000-FFFF-FFFF00000000}"/>
  </bookViews>
  <sheets>
    <sheet name="Tasks" sheetId="1" r:id="rId1"/>
    <sheet name="Shipments by destination" sheetId="4" r:id="rId2"/>
    <sheet name="Average Delivery Days" sheetId="5" r:id="rId3"/>
    <sheet name="Delivery Status by Region" sheetId="6" r:id="rId4"/>
    <sheet name="Shipping Cost &amp; Revenue" sheetId="7" r:id="rId5"/>
    <sheet name="Average Customer Rating" sheetId="8" r:id="rId6"/>
    <sheet name="Dashboard" sheetId="9" r:id="rId7"/>
    <sheet name="METRICS" sheetId="10" r:id="rId8"/>
    <sheet name="Data" sheetId="2" r:id="rId9"/>
  </sheets>
  <definedNames>
    <definedName name="Slicer_Carrier">#N/A</definedName>
    <definedName name="Slicer_Destination_Region">#N/A</definedName>
  </definedNames>
  <calcPr calcId="191028"/>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0" l="1"/>
  <c r="G8" i="10"/>
  <c r="G7" i="10"/>
  <c r="G6" i="10"/>
  <c r="G4" i="10"/>
  <c r="G10" i="10" l="1"/>
</calcChain>
</file>

<file path=xl/sharedStrings.xml><?xml version="1.0" encoding="utf-8"?>
<sst xmlns="http://schemas.openxmlformats.org/spreadsheetml/2006/main" count="7603" uniqueCount="934">
  <si>
    <t>Japan Logistics Delivery</t>
  </si>
  <si>
    <t>Fictional practice dataset • 500 shipments • Costs and revenue in JPY</t>
  </si>
  <si>
    <t>Task 1 — Shipment activity</t>
  </si>
  <si>
    <t>Rows: Destination Region; Columns: Shipping Mode; Values: Count of Shipment ID. Which region received the most shipments?</t>
  </si>
  <si>
    <t>Task 2 — Delivery time</t>
  </si>
  <si>
    <t>Rows: Carrier; Columns: Shipping Mode; Values: Average of Delivery Days. Which combination has the longest delivery time?</t>
  </si>
  <si>
    <t>Task 3 — Delays</t>
  </si>
  <si>
    <t>Rows: Destination Region; Columns: Delivery Status; Values: Count of Shipment ID. Which region has the most late deliveries?</t>
  </si>
  <si>
    <t>Task 4 — Shipping cost and revenue</t>
  </si>
  <si>
    <t>Rows: Carrier; Values: Sum of Shipping Cost and Sum of Revenue. Which carrier has the largest total revenue?</t>
  </si>
  <si>
    <t>Task 5 — Customer ratings</t>
  </si>
  <si>
    <t>Rows: Product Category; Columns: Shipping Mode; Values: Average of Customer Rating (1-5). Which category and mode has the highest average rating?</t>
  </si>
  <si>
    <t>Dashboard</t>
  </si>
  <si>
    <t>Create one Dashboard sheet with at least three PivotCharts and two slicers (for example Carrier and Destination Region).</t>
  </si>
  <si>
    <t>Shipment ID</t>
  </si>
  <si>
    <t>Order Date</t>
  </si>
  <si>
    <t>Dispatch Date</t>
  </si>
  <si>
    <t>Promised Delivery Date</t>
  </si>
  <si>
    <t>Actual Delivery Date</t>
  </si>
  <si>
    <t>Origin Region</t>
  </si>
  <si>
    <t>Origin City</t>
  </si>
  <si>
    <t>Destination Region</t>
  </si>
  <si>
    <t>Destination City</t>
  </si>
  <si>
    <t>Carrier</t>
  </si>
  <si>
    <t>Shipping Mode</t>
  </si>
  <si>
    <t>Product Category</t>
  </si>
  <si>
    <t>Package Weight (kg)</t>
  </si>
  <si>
    <t>Distance (km)</t>
  </si>
  <si>
    <t>Shipping Cost</t>
  </si>
  <si>
    <t>Revenue</t>
  </si>
  <si>
    <t>Delivery Days</t>
  </si>
  <si>
    <t>Delay Days</t>
  </si>
  <si>
    <t>Delivery Status</t>
  </si>
  <si>
    <t>Customer Rating (1-5)</t>
  </si>
  <si>
    <t>Returned</t>
  </si>
  <si>
    <t>Currency</t>
  </si>
  <si>
    <t>JP-00001</t>
  </si>
  <si>
    <t>2025-10-25</t>
  </si>
  <si>
    <t>2025-10-30</t>
  </si>
  <si>
    <t>2025-10-29</t>
  </si>
  <si>
    <t>Tokyo</t>
  </si>
  <si>
    <t>Sagawa Express</t>
  </si>
  <si>
    <t>Standard</t>
  </si>
  <si>
    <t>Healthcare</t>
  </si>
  <si>
    <t>On Time</t>
  </si>
  <si>
    <t>No</t>
  </si>
  <si>
    <t>JPY</t>
  </si>
  <si>
    <t>JP-00002</t>
  </si>
  <si>
    <t>2025-09-22</t>
  </si>
  <si>
    <t>2025-09-24</t>
  </si>
  <si>
    <t>2025-09-29</t>
  </si>
  <si>
    <t>2025-09-30</t>
  </si>
  <si>
    <t>Kanagawa</t>
  </si>
  <si>
    <t>Yokohama</t>
  </si>
  <si>
    <t>Fukuoka</t>
  </si>
  <si>
    <t>Yamato Transport</t>
  </si>
  <si>
    <t>Late</t>
  </si>
  <si>
    <t>JP-00003</t>
  </si>
  <si>
    <t>2025-06-09</t>
  </si>
  <si>
    <t>2025-06-14</t>
  </si>
  <si>
    <t>2025-06-15</t>
  </si>
  <si>
    <t>Electronics</t>
  </si>
  <si>
    <t>JP-00004</t>
  </si>
  <si>
    <t>2025-09-21</t>
  </si>
  <si>
    <t>2025-09-27</t>
  </si>
  <si>
    <t>Economy</t>
  </si>
  <si>
    <t>JP-00005</t>
  </si>
  <si>
    <t>2025-02-22</t>
  </si>
  <si>
    <t>2025-02-24</t>
  </si>
  <si>
    <t>2025-02-23</t>
  </si>
  <si>
    <t>Aichi</t>
  </si>
  <si>
    <t>Nagoya</t>
  </si>
  <si>
    <t>Express</t>
  </si>
  <si>
    <t>JP-00006</t>
  </si>
  <si>
    <t>2025-02-26</t>
  </si>
  <si>
    <t>2025-02-25</t>
  </si>
  <si>
    <t>Japan Post</t>
  </si>
  <si>
    <t>Clothing</t>
  </si>
  <si>
    <t>JP-00007</t>
  </si>
  <si>
    <t>2025-10-01</t>
  </si>
  <si>
    <t>2025-10-06</t>
  </si>
  <si>
    <t>2025-10-07</t>
  </si>
  <si>
    <t>Osaka</t>
  </si>
  <si>
    <t>JP-00008</t>
  </si>
  <si>
    <t>2025-08-03</t>
  </si>
  <si>
    <t>2025-08-11</t>
  </si>
  <si>
    <t>2025-08-09</t>
  </si>
  <si>
    <t>Home Goods</t>
  </si>
  <si>
    <t>JP-00009</t>
  </si>
  <si>
    <t>2025-07-09</t>
  </si>
  <si>
    <t>2025-07-10</t>
  </si>
  <si>
    <t>2025-07-15</t>
  </si>
  <si>
    <t>JP-00010</t>
  </si>
  <si>
    <t>2025-01-08</t>
  </si>
  <si>
    <t>2025-01-13</t>
  </si>
  <si>
    <t>JP-00011</t>
  </si>
  <si>
    <t>2025-04-30</t>
  </si>
  <si>
    <t>2025-05-01</t>
  </si>
  <si>
    <t>2025-05-09</t>
  </si>
  <si>
    <t>2025-05-10</t>
  </si>
  <si>
    <t>JP-00012</t>
  </si>
  <si>
    <t>2025-08-12</t>
  </si>
  <si>
    <t>2025-08-14</t>
  </si>
  <si>
    <t>2025-08-15</t>
  </si>
  <si>
    <t>JP-00013</t>
  </si>
  <si>
    <t>2025-01-03</t>
  </si>
  <si>
    <t>2025-01-11</t>
  </si>
  <si>
    <t>2025-01-10</t>
  </si>
  <si>
    <t>JP-00014</t>
  </si>
  <si>
    <t>2025-04-12</t>
  </si>
  <si>
    <t>2025-04-14</t>
  </si>
  <si>
    <t>2025-04-16</t>
  </si>
  <si>
    <t>2025-04-18</t>
  </si>
  <si>
    <t>JP-00015</t>
  </si>
  <si>
    <t>2025-04-04</t>
  </si>
  <si>
    <t>2025-04-05</t>
  </si>
  <si>
    <t>2025-04-07</t>
  </si>
  <si>
    <t>2025-04-09</t>
  </si>
  <si>
    <t>Books</t>
  </si>
  <si>
    <t>JP-00016</t>
  </si>
  <si>
    <t>2025-03-10</t>
  </si>
  <si>
    <t>2025-03-12</t>
  </si>
  <si>
    <t>2025-03-20</t>
  </si>
  <si>
    <t>2025-03-17</t>
  </si>
  <si>
    <t>JP-00017</t>
  </si>
  <si>
    <t>2025-11-01</t>
  </si>
  <si>
    <t>2025-11-06</t>
  </si>
  <si>
    <t>2025-11-02</t>
  </si>
  <si>
    <t>JP-00018</t>
  </si>
  <si>
    <t>2025-03-26</t>
  </si>
  <si>
    <t>2025-04-03</t>
  </si>
  <si>
    <t>2025-04-02</t>
  </si>
  <si>
    <t>JP-00019</t>
  </si>
  <si>
    <t>2025-11-18</t>
  </si>
  <si>
    <t>2025-11-19</t>
  </si>
  <si>
    <t>2025-11-21</t>
  </si>
  <si>
    <t>2025-11-20</t>
  </si>
  <si>
    <t>JP-00020</t>
  </si>
  <si>
    <t>2025-08-21</t>
  </si>
  <si>
    <t>2025-08-29</t>
  </si>
  <si>
    <t>2025-09-01</t>
  </si>
  <si>
    <t>Nippon Express</t>
  </si>
  <si>
    <t>JP-00021</t>
  </si>
  <si>
    <t>2025-02-27</t>
  </si>
  <si>
    <t>2025-03-07</t>
  </si>
  <si>
    <t>2025-03-06</t>
  </si>
  <si>
    <t>JP-00022</t>
  </si>
  <si>
    <t>2025-04-15</t>
  </si>
  <si>
    <t>JP-00023</t>
  </si>
  <si>
    <t>2025-07-03</t>
  </si>
  <si>
    <t>2025-07-08</t>
  </si>
  <si>
    <t>2025-07-07</t>
  </si>
  <si>
    <t>JP-00024</t>
  </si>
  <si>
    <t>2025-10-14</t>
  </si>
  <si>
    <t>2025-10-19</t>
  </si>
  <si>
    <t>2025-10-18</t>
  </si>
  <si>
    <t>JP-00025</t>
  </si>
  <si>
    <t>2025-08-20</t>
  </si>
  <si>
    <t>2025-08-23</t>
  </si>
  <si>
    <t>JP-00026</t>
  </si>
  <si>
    <t>2025-06-16</t>
  </si>
  <si>
    <t>2025-06-17</t>
  </si>
  <si>
    <t>2025-06-25</t>
  </si>
  <si>
    <t>JP-00027</t>
  </si>
  <si>
    <t>2025-08-17</t>
  </si>
  <si>
    <t>2025-08-19</t>
  </si>
  <si>
    <t>2025-08-18</t>
  </si>
  <si>
    <t>JP-00028</t>
  </si>
  <si>
    <t>2025-09-19</t>
  </si>
  <si>
    <t>JP-00029</t>
  </si>
  <si>
    <t>2025-05-17</t>
  </si>
  <si>
    <t>2025-05-19</t>
  </si>
  <si>
    <t>2025-05-18</t>
  </si>
  <si>
    <t>JP-00030</t>
  </si>
  <si>
    <t>2025-03-11</t>
  </si>
  <si>
    <t>2025-03-16</t>
  </si>
  <si>
    <t>2025-03-13</t>
  </si>
  <si>
    <t>JP-00031</t>
  </si>
  <si>
    <t>2025-04-20</t>
  </si>
  <si>
    <t>2025-04-22</t>
  </si>
  <si>
    <t>2025-04-21</t>
  </si>
  <si>
    <t>JP-00032</t>
  </si>
  <si>
    <t>2025-04-26</t>
  </si>
  <si>
    <t>2025-04-27</t>
  </si>
  <si>
    <t>2025-05-02</t>
  </si>
  <si>
    <t>2025-04-28</t>
  </si>
  <si>
    <t>JP-00033</t>
  </si>
  <si>
    <t>2025-11-12</t>
  </si>
  <si>
    <t>2025-11-14</t>
  </si>
  <si>
    <t>2025-11-22</t>
  </si>
  <si>
    <t>JP-00034</t>
  </si>
  <si>
    <t>2025-04-06</t>
  </si>
  <si>
    <t>JP-00035</t>
  </si>
  <si>
    <t>2025-04-13</t>
  </si>
  <si>
    <t>JP-00036</t>
  </si>
  <si>
    <t>2025-06-19</t>
  </si>
  <si>
    <t>2025-06-20</t>
  </si>
  <si>
    <t>JP-00037</t>
  </si>
  <si>
    <t>2025-06-22</t>
  </si>
  <si>
    <t>2025-06-24</t>
  </si>
  <si>
    <t>2025-07-02</t>
  </si>
  <si>
    <t>JP-00038</t>
  </si>
  <si>
    <t>2025-10-05</t>
  </si>
  <si>
    <t>JP-00039</t>
  </si>
  <si>
    <t>2025-10-23</t>
  </si>
  <si>
    <t>2025-10-27</t>
  </si>
  <si>
    <t>2025-10-26</t>
  </si>
  <si>
    <t>JP-00040</t>
  </si>
  <si>
    <t>2025-01-07</t>
  </si>
  <si>
    <t>2025-01-16</t>
  </si>
  <si>
    <t>2025-01-18</t>
  </si>
  <si>
    <t>JP-00041</t>
  </si>
  <si>
    <t>2025-10-08</t>
  </si>
  <si>
    <t>2025-10-10</t>
  </si>
  <si>
    <t>2025-10-12</t>
  </si>
  <si>
    <t>JP-00042</t>
  </si>
  <si>
    <t>2025-06-01</t>
  </si>
  <si>
    <t>2025-06-02</t>
  </si>
  <si>
    <t>2025-06-04</t>
  </si>
  <si>
    <t>JP-00043</t>
  </si>
  <si>
    <t>Yes</t>
  </si>
  <si>
    <t>JP-00044</t>
  </si>
  <si>
    <t>2025-03-01</t>
  </si>
  <si>
    <t>2025-03-03</t>
  </si>
  <si>
    <t>2025-03-08</t>
  </si>
  <si>
    <t>JP-00045</t>
  </si>
  <si>
    <t>2025-02-21</t>
  </si>
  <si>
    <t>2025-03-04</t>
  </si>
  <si>
    <t>JP-00046</t>
  </si>
  <si>
    <t>2025-11-23</t>
  </si>
  <si>
    <t>2025-11-24</t>
  </si>
  <si>
    <t>2025-11-29</t>
  </si>
  <si>
    <t>2025-11-27</t>
  </si>
  <si>
    <t>JP-00047</t>
  </si>
  <si>
    <t>2025-03-18</t>
  </si>
  <si>
    <t>2025-03-25</t>
  </si>
  <si>
    <t>2025-03-22</t>
  </si>
  <si>
    <t>JP-00048</t>
  </si>
  <si>
    <t>2025-05-15</t>
  </si>
  <si>
    <t>2025-05-22</t>
  </si>
  <si>
    <t>2025-05-23</t>
  </si>
  <si>
    <t>JP-00049</t>
  </si>
  <si>
    <t>2025-11-04</t>
  </si>
  <si>
    <t>2025-11-09</t>
  </si>
  <si>
    <t>JP-00050</t>
  </si>
  <si>
    <t>2025-07-22</t>
  </si>
  <si>
    <t>2025-07-30</t>
  </si>
  <si>
    <t>2025-08-01</t>
  </si>
  <si>
    <t>JP-00051</t>
  </si>
  <si>
    <t>2025-10-21</t>
  </si>
  <si>
    <t>JP-00052</t>
  </si>
  <si>
    <t>2025-04-08</t>
  </si>
  <si>
    <t>2025-04-10</t>
  </si>
  <si>
    <t>JP-00053</t>
  </si>
  <si>
    <t>2025-11-10</t>
  </si>
  <si>
    <t>2025-11-11</t>
  </si>
  <si>
    <t>JP-00054</t>
  </si>
  <si>
    <t>2025-01-02</t>
  </si>
  <si>
    <t>JP-00055</t>
  </si>
  <si>
    <t>2025-12-11</t>
  </si>
  <si>
    <t>2025-12-16</t>
  </si>
  <si>
    <t>2025-12-19</t>
  </si>
  <si>
    <t>JP-00056</t>
  </si>
  <si>
    <t>2025-05-11</t>
  </si>
  <si>
    <t>2025-05-12</t>
  </si>
  <si>
    <t>2025-05-20</t>
  </si>
  <si>
    <t>2025-05-21</t>
  </si>
  <si>
    <t>JP-00057</t>
  </si>
  <si>
    <t>2025-02-13</t>
  </si>
  <si>
    <t>2025-02-14</t>
  </si>
  <si>
    <t>2025-02-19</t>
  </si>
  <si>
    <t>2025-02-20</t>
  </si>
  <si>
    <t>JP-00058</t>
  </si>
  <si>
    <t>2025-07-13</t>
  </si>
  <si>
    <t>2025-07-14</t>
  </si>
  <si>
    <t>2025-07-19</t>
  </si>
  <si>
    <t>2025-07-17</t>
  </si>
  <si>
    <t>JP-00059</t>
  </si>
  <si>
    <t>2025-11-13</t>
  </si>
  <si>
    <t>2025-11-15</t>
  </si>
  <si>
    <t>JP-00060</t>
  </si>
  <si>
    <t>2025-12-12</t>
  </si>
  <si>
    <t>2025-12-14</t>
  </si>
  <si>
    <t>2025-12-17</t>
  </si>
  <si>
    <t>JP-00061</t>
  </si>
  <si>
    <t>2025-12-01</t>
  </si>
  <si>
    <t>JP-00062</t>
  </si>
  <si>
    <t>2025-12-13</t>
  </si>
  <si>
    <t>JP-00063</t>
  </si>
  <si>
    <t>2025-07-16</t>
  </si>
  <si>
    <t>2025-07-24</t>
  </si>
  <si>
    <t>2025-07-25</t>
  </si>
  <si>
    <t>JP-00064</t>
  </si>
  <si>
    <t>2025-01-25</t>
  </si>
  <si>
    <t>2025-01-27</t>
  </si>
  <si>
    <t>2025-01-26</t>
  </si>
  <si>
    <t>JP-00065</t>
  </si>
  <si>
    <t>2025-06-07</t>
  </si>
  <si>
    <t>JP-00066</t>
  </si>
  <si>
    <t>2025-08-28</t>
  </si>
  <si>
    <t>2025-08-31</t>
  </si>
  <si>
    <t>2025-08-30</t>
  </si>
  <si>
    <t>JP-00067</t>
  </si>
  <si>
    <t>2025-04-29</t>
  </si>
  <si>
    <t>2025-05-04</t>
  </si>
  <si>
    <t>2025-05-06</t>
  </si>
  <si>
    <t>JP-00068</t>
  </si>
  <si>
    <t>2025-02-17</t>
  </si>
  <si>
    <t>JP-00069</t>
  </si>
  <si>
    <t>2025-04-11</t>
  </si>
  <si>
    <t>JP-00070</t>
  </si>
  <si>
    <t>2025-12-22</t>
  </si>
  <si>
    <t>JP-00071</t>
  </si>
  <si>
    <t>JP-00072</t>
  </si>
  <si>
    <t>2025-07-27</t>
  </si>
  <si>
    <t>JP-00073</t>
  </si>
  <si>
    <t>2025-09-07</t>
  </si>
  <si>
    <t>2025-09-09</t>
  </si>
  <si>
    <t>2025-09-14</t>
  </si>
  <si>
    <t>2025-09-13</t>
  </si>
  <si>
    <t>JP-00074</t>
  </si>
  <si>
    <t>2025-09-28</t>
  </si>
  <si>
    <t>2025-10-02</t>
  </si>
  <si>
    <t>JP-00075</t>
  </si>
  <si>
    <t>2025-12-29</t>
  </si>
  <si>
    <t>2025-12-31</t>
  </si>
  <si>
    <t>2026-01-01</t>
  </si>
  <si>
    <t>JP-00076</t>
  </si>
  <si>
    <t>2025-10-16</t>
  </si>
  <si>
    <t>JP-00077</t>
  </si>
  <si>
    <t>2025-01-09</t>
  </si>
  <si>
    <t>2025-01-12</t>
  </si>
  <si>
    <t>JP-00078</t>
  </si>
  <si>
    <t>2025-05-05</t>
  </si>
  <si>
    <t>JP-00079</t>
  </si>
  <si>
    <t>2025-07-05</t>
  </si>
  <si>
    <t>2025-07-18</t>
  </si>
  <si>
    <t>JP-00080</t>
  </si>
  <si>
    <t>2025-02-12</t>
  </si>
  <si>
    <t>JP-00081</t>
  </si>
  <si>
    <t>2025-05-08</t>
  </si>
  <si>
    <t>JP-00082</t>
  </si>
  <si>
    <t>2025-12-04</t>
  </si>
  <si>
    <t>2025-12-06</t>
  </si>
  <si>
    <t>2025-12-08</t>
  </si>
  <si>
    <t>JP-00083</t>
  </si>
  <si>
    <t>2025-03-19</t>
  </si>
  <si>
    <t>2025-03-27</t>
  </si>
  <si>
    <t>JP-00084</t>
  </si>
  <si>
    <t>2025-07-28</t>
  </si>
  <si>
    <t>2025-08-05</t>
  </si>
  <si>
    <t>2025-08-04</t>
  </si>
  <si>
    <t>JP-00085</t>
  </si>
  <si>
    <t>2025-03-15</t>
  </si>
  <si>
    <t>JP-00086</t>
  </si>
  <si>
    <t>2025-12-15</t>
  </si>
  <si>
    <t>JP-00087</t>
  </si>
  <si>
    <t>2025-06-08</t>
  </si>
  <si>
    <t>2025-06-10</t>
  </si>
  <si>
    <t>JP-00088</t>
  </si>
  <si>
    <t>2025-09-06</t>
  </si>
  <si>
    <t>2025-09-12</t>
  </si>
  <si>
    <t>JP-00089</t>
  </si>
  <si>
    <t>2025-09-15</t>
  </si>
  <si>
    <t>2025-09-16</t>
  </si>
  <si>
    <t>2025-09-20</t>
  </si>
  <si>
    <t>JP-00090</t>
  </si>
  <si>
    <t>2025-05-07</t>
  </si>
  <si>
    <t>2025-05-14</t>
  </si>
  <si>
    <t>JP-00091</t>
  </si>
  <si>
    <t>2025-11-26</t>
  </si>
  <si>
    <t>2025-11-28</t>
  </si>
  <si>
    <t>JP-00092</t>
  </si>
  <si>
    <t>2025-09-08</t>
  </si>
  <si>
    <t>2025-09-11</t>
  </si>
  <si>
    <t>JP-00093</t>
  </si>
  <si>
    <t>JP-00094</t>
  </si>
  <si>
    <t>2025-07-20</t>
  </si>
  <si>
    <t>2025-07-26</t>
  </si>
  <si>
    <t>JP-00095</t>
  </si>
  <si>
    <t>2025-11-17</t>
  </si>
  <si>
    <t>JP-00096</t>
  </si>
  <si>
    <t>2025-10-09</t>
  </si>
  <si>
    <t>JP-00097</t>
  </si>
  <si>
    <t>2025-08-22</t>
  </si>
  <si>
    <t>JP-00098</t>
  </si>
  <si>
    <t>2025-08-13</t>
  </si>
  <si>
    <t>JP-00099</t>
  </si>
  <si>
    <t>JP-00100</t>
  </si>
  <si>
    <t>2025-03-09</t>
  </si>
  <si>
    <t>JP-00101</t>
  </si>
  <si>
    <t>JP-00102</t>
  </si>
  <si>
    <t>JP-00103</t>
  </si>
  <si>
    <t>2025-06-06</t>
  </si>
  <si>
    <t>JP-00104</t>
  </si>
  <si>
    <t>2025-07-21</t>
  </si>
  <si>
    <t>2025-07-23</t>
  </si>
  <si>
    <t>JP-00105</t>
  </si>
  <si>
    <t>2025-12-18</t>
  </si>
  <si>
    <t>JP-00106</t>
  </si>
  <si>
    <t>2025-01-30</t>
  </si>
  <si>
    <t>2025-02-01</t>
  </si>
  <si>
    <t>2025-02-09</t>
  </si>
  <si>
    <t>JP-00107</t>
  </si>
  <si>
    <t>JP-00108</t>
  </si>
  <si>
    <t>2025-06-23</t>
  </si>
  <si>
    <t>2025-07-01</t>
  </si>
  <si>
    <t>JP-00109</t>
  </si>
  <si>
    <t>JP-00110</t>
  </si>
  <si>
    <t>2025-09-05</t>
  </si>
  <si>
    <t>JP-00111</t>
  </si>
  <si>
    <t>2025-07-31</t>
  </si>
  <si>
    <t>2025-07-29</t>
  </si>
  <si>
    <t>JP-00112</t>
  </si>
  <si>
    <t>2025-05-13</t>
  </si>
  <si>
    <t>2025-05-16</t>
  </si>
  <si>
    <t>JP-00113</t>
  </si>
  <si>
    <t>JP-00114</t>
  </si>
  <si>
    <t>JP-00115</t>
  </si>
  <si>
    <t>2025-12-03</t>
  </si>
  <si>
    <t>2025-12-09</t>
  </si>
  <si>
    <t>JP-00116</t>
  </si>
  <si>
    <t>2025-03-14</t>
  </si>
  <si>
    <t>JP-00117</t>
  </si>
  <si>
    <t>2025-10-31</t>
  </si>
  <si>
    <t>JP-00118</t>
  </si>
  <si>
    <t>JP-00119</t>
  </si>
  <si>
    <t>JP-00120</t>
  </si>
  <si>
    <t>2025-06-11</t>
  </si>
  <si>
    <t>JP-00121</t>
  </si>
  <si>
    <t>2025-01-01</t>
  </si>
  <si>
    <t>2025-01-14</t>
  </si>
  <si>
    <t>JP-00122</t>
  </si>
  <si>
    <t>2025-03-05</t>
  </si>
  <si>
    <t>JP-00123</t>
  </si>
  <si>
    <t>JP-00124</t>
  </si>
  <si>
    <t>2025-05-24</t>
  </si>
  <si>
    <t>2025-05-26</t>
  </si>
  <si>
    <t>2025-06-03</t>
  </si>
  <si>
    <t>JP-00125</t>
  </si>
  <si>
    <t>2025-06-13</t>
  </si>
  <si>
    <t>JP-00126</t>
  </si>
  <si>
    <t>JP-00127</t>
  </si>
  <si>
    <t>2025-10-03</t>
  </si>
  <si>
    <t>JP-00128</t>
  </si>
  <si>
    <t>2025-12-10</t>
  </si>
  <si>
    <t>JP-00129</t>
  </si>
  <si>
    <t>JP-00130</t>
  </si>
  <si>
    <t>2025-03-02</t>
  </si>
  <si>
    <t>JP-00131</t>
  </si>
  <si>
    <t>JP-00132</t>
  </si>
  <si>
    <t>JP-00133</t>
  </si>
  <si>
    <t>2025-10-20</t>
  </si>
  <si>
    <t>2025-10-22</t>
  </si>
  <si>
    <t>JP-00134</t>
  </si>
  <si>
    <t>2025-03-29</t>
  </si>
  <si>
    <t>2025-03-31</t>
  </si>
  <si>
    <t>2025-03-30</t>
  </si>
  <si>
    <t>JP-00135</t>
  </si>
  <si>
    <t>2025-10-11</t>
  </si>
  <si>
    <t>JP-00136</t>
  </si>
  <si>
    <t>2025-06-27</t>
  </si>
  <si>
    <t>2025-06-30</t>
  </si>
  <si>
    <t>JP-00137</t>
  </si>
  <si>
    <t>2025-08-16</t>
  </si>
  <si>
    <t>JP-00138</t>
  </si>
  <si>
    <t>JP-00139</t>
  </si>
  <si>
    <t>2025-05-28</t>
  </si>
  <si>
    <t>JP-00140</t>
  </si>
  <si>
    <t>2025-08-25</t>
  </si>
  <si>
    <t>2025-08-27</t>
  </si>
  <si>
    <t>JP-00141</t>
  </si>
  <si>
    <t>JP-00142</t>
  </si>
  <si>
    <t>2025-01-17</t>
  </si>
  <si>
    <t>JP-00143</t>
  </si>
  <si>
    <t>2025-07-04</t>
  </si>
  <si>
    <t>2025-07-12</t>
  </si>
  <si>
    <t>JP-00144</t>
  </si>
  <si>
    <t>JP-00145</t>
  </si>
  <si>
    <t>2025-12-20</t>
  </si>
  <si>
    <t>2025-12-21</t>
  </si>
  <si>
    <t>JP-00146</t>
  </si>
  <si>
    <t>JP-00147</t>
  </si>
  <si>
    <t>2025-10-13</t>
  </si>
  <si>
    <t>2025-10-15</t>
  </si>
  <si>
    <t>JP-00148</t>
  </si>
  <si>
    <t>2025-10-04</t>
  </si>
  <si>
    <t>JP-00149</t>
  </si>
  <si>
    <t>JP-00150</t>
  </si>
  <si>
    <t>2025-09-17</t>
  </si>
  <si>
    <t>JP-00151</t>
  </si>
  <si>
    <t>JP-00152</t>
  </si>
  <si>
    <t>JP-00153</t>
  </si>
  <si>
    <t>2025-01-19</t>
  </si>
  <si>
    <t>JP-00154</t>
  </si>
  <si>
    <t>JP-00155</t>
  </si>
  <si>
    <t>JP-00156</t>
  </si>
  <si>
    <t>2025-12-23</t>
  </si>
  <si>
    <t>JP-00157</t>
  </si>
  <si>
    <t>JP-00158</t>
  </si>
  <si>
    <t>JP-00159</t>
  </si>
  <si>
    <t>2025-08-07</t>
  </si>
  <si>
    <t>JP-00160</t>
  </si>
  <si>
    <t>JP-00161</t>
  </si>
  <si>
    <t>2025-01-23</t>
  </si>
  <si>
    <t>2025-01-28</t>
  </si>
  <si>
    <t>JP-00162</t>
  </si>
  <si>
    <t>JP-00163</t>
  </si>
  <si>
    <t>JP-00164</t>
  </si>
  <si>
    <t>JP-00165</t>
  </si>
  <si>
    <t>JP-00166</t>
  </si>
  <si>
    <t>2025-04-23</t>
  </si>
  <si>
    <t>JP-00167</t>
  </si>
  <si>
    <t>JP-00168</t>
  </si>
  <si>
    <t>2025-02-05</t>
  </si>
  <si>
    <t>2025-02-07</t>
  </si>
  <si>
    <t>JP-00169</t>
  </si>
  <si>
    <t>JP-00170</t>
  </si>
  <si>
    <t>JP-00171</t>
  </si>
  <si>
    <t>JP-00172</t>
  </si>
  <si>
    <t>JP-00173</t>
  </si>
  <si>
    <t>2025-03-24</t>
  </si>
  <si>
    <t>JP-00174</t>
  </si>
  <si>
    <t>JP-00175</t>
  </si>
  <si>
    <t>JP-00176</t>
  </si>
  <si>
    <t>JP-00177</t>
  </si>
  <si>
    <t>JP-00178</t>
  </si>
  <si>
    <t>2025-12-28</t>
  </si>
  <si>
    <t>2025-12-26</t>
  </si>
  <si>
    <t>JP-00179</t>
  </si>
  <si>
    <t>JP-00180</t>
  </si>
  <si>
    <t>JP-00181</t>
  </si>
  <si>
    <t>JP-00182</t>
  </si>
  <si>
    <t>JP-00183</t>
  </si>
  <si>
    <t>2025-01-15</t>
  </si>
  <si>
    <t>JP-00184</t>
  </si>
  <si>
    <t>2025-11-03</t>
  </si>
  <si>
    <t>2025-11-08</t>
  </si>
  <si>
    <t>2025-11-05</t>
  </si>
  <si>
    <t>JP-00185</t>
  </si>
  <si>
    <t>JP-00186</t>
  </si>
  <si>
    <t>JP-00187</t>
  </si>
  <si>
    <t>JP-00188</t>
  </si>
  <si>
    <t>JP-00189</t>
  </si>
  <si>
    <t>JP-00190</t>
  </si>
  <si>
    <t>2025-06-18</t>
  </si>
  <si>
    <t>JP-00191</t>
  </si>
  <si>
    <t>JP-00192</t>
  </si>
  <si>
    <t>JP-00193</t>
  </si>
  <si>
    <t>JP-00194</t>
  </si>
  <si>
    <t>2025-08-26</t>
  </si>
  <si>
    <t>JP-00195</t>
  </si>
  <si>
    <t>2025-01-31</t>
  </si>
  <si>
    <t>2025-02-02</t>
  </si>
  <si>
    <t>JP-00196</t>
  </si>
  <si>
    <t>2025-03-21</t>
  </si>
  <si>
    <t>JP-00197</t>
  </si>
  <si>
    <t>2025-01-29</t>
  </si>
  <si>
    <t>JP-00198</t>
  </si>
  <si>
    <t>JP-00199</t>
  </si>
  <si>
    <t>JP-00200</t>
  </si>
  <si>
    <t>2025-04-25</t>
  </si>
  <si>
    <t>2025-04-24</t>
  </si>
  <si>
    <t>JP-00201</t>
  </si>
  <si>
    <t>JP-00202</t>
  </si>
  <si>
    <t>JP-00203</t>
  </si>
  <si>
    <t>JP-00204</t>
  </si>
  <si>
    <t>2025-06-26</t>
  </si>
  <si>
    <t>JP-00205</t>
  </si>
  <si>
    <t>2025-05-03</t>
  </si>
  <si>
    <t>JP-00206</t>
  </si>
  <si>
    <t>JP-00207</t>
  </si>
  <si>
    <t>2025-08-24</t>
  </si>
  <si>
    <t>JP-00208</t>
  </si>
  <si>
    <t>2025-12-02</t>
  </si>
  <si>
    <t>2025-12-07</t>
  </si>
  <si>
    <t>JP-00209</t>
  </si>
  <si>
    <t>JP-00210</t>
  </si>
  <si>
    <t>JP-00211</t>
  </si>
  <si>
    <t>JP-00212</t>
  </si>
  <si>
    <t>JP-00213</t>
  </si>
  <si>
    <t>2025-01-04</t>
  </si>
  <si>
    <t>JP-00214</t>
  </si>
  <si>
    <t>2025-09-18</t>
  </si>
  <si>
    <t>JP-00215</t>
  </si>
  <si>
    <t>2025-11-16</t>
  </si>
  <si>
    <t>JP-00216</t>
  </si>
  <si>
    <t>JP-00217</t>
  </si>
  <si>
    <t>JP-00218</t>
  </si>
  <si>
    <t>2025-05-29</t>
  </si>
  <si>
    <t>JP-00219</t>
  </si>
  <si>
    <t>JP-00220</t>
  </si>
  <si>
    <t>JP-00221</t>
  </si>
  <si>
    <t>JP-00222</t>
  </si>
  <si>
    <t>JP-00223</t>
  </si>
  <si>
    <t>JP-00224</t>
  </si>
  <si>
    <t>JP-00225</t>
  </si>
  <si>
    <t>2025-02-15</t>
  </si>
  <si>
    <t>JP-00226</t>
  </si>
  <si>
    <t>JP-00227</t>
  </si>
  <si>
    <t>JP-00228</t>
  </si>
  <si>
    <t>JP-00229</t>
  </si>
  <si>
    <t>2025-02-08</t>
  </si>
  <si>
    <t>2025-02-11</t>
  </si>
  <si>
    <t>2025-02-10</t>
  </si>
  <si>
    <t>JP-00230</t>
  </si>
  <si>
    <t>JP-00231</t>
  </si>
  <si>
    <t>2025-05-31</t>
  </si>
  <si>
    <t>JP-00232</t>
  </si>
  <si>
    <t>2025-03-28</t>
  </si>
  <si>
    <t>JP-00233</t>
  </si>
  <si>
    <t>JP-00234</t>
  </si>
  <si>
    <t>JP-00235</t>
  </si>
  <si>
    <t>JP-00236</t>
  </si>
  <si>
    <t>2025-04-01</t>
  </si>
  <si>
    <t>JP-00237</t>
  </si>
  <si>
    <t>JP-00238</t>
  </si>
  <si>
    <t>2025-02-28</t>
  </si>
  <si>
    <t>JP-00239</t>
  </si>
  <si>
    <t>JP-00240</t>
  </si>
  <si>
    <t>2025-07-11</t>
  </si>
  <si>
    <t>JP-00241</t>
  </si>
  <si>
    <t>JP-00242</t>
  </si>
  <si>
    <t>2025-12-30</t>
  </si>
  <si>
    <t>JP-00243</t>
  </si>
  <si>
    <t>2025-11-07</t>
  </si>
  <si>
    <t>JP-00244</t>
  </si>
  <si>
    <t>2025-06-12</t>
  </si>
  <si>
    <t>JP-00245</t>
  </si>
  <si>
    <t>JP-00246</t>
  </si>
  <si>
    <t>2025-09-03</t>
  </si>
  <si>
    <t>2025-09-04</t>
  </si>
  <si>
    <t>JP-00247</t>
  </si>
  <si>
    <t>JP-00248</t>
  </si>
  <si>
    <t>2025-01-06</t>
  </si>
  <si>
    <t>JP-00249</t>
  </si>
  <si>
    <t>2025-06-21</t>
  </si>
  <si>
    <t>2025-06-29</t>
  </si>
  <si>
    <t>JP-00250</t>
  </si>
  <si>
    <t>JP-00251</t>
  </si>
  <si>
    <t>JP-00252</t>
  </si>
  <si>
    <t>JP-00253</t>
  </si>
  <si>
    <t>JP-00254</t>
  </si>
  <si>
    <t>JP-00255</t>
  </si>
  <si>
    <t>JP-00256</t>
  </si>
  <si>
    <t>2025-08-02</t>
  </si>
  <si>
    <t>JP-00257</t>
  </si>
  <si>
    <t>JP-00258</t>
  </si>
  <si>
    <t>JP-00259</t>
  </si>
  <si>
    <t>JP-00260</t>
  </si>
  <si>
    <t>2025-11-25</t>
  </si>
  <si>
    <t>2025-12-05</t>
  </si>
  <si>
    <t>JP-00261</t>
  </si>
  <si>
    <t>2025-09-26</t>
  </si>
  <si>
    <t>JP-00262</t>
  </si>
  <si>
    <t>2025-01-20</t>
  </si>
  <si>
    <t>JP-00263</t>
  </si>
  <si>
    <t>JP-00264</t>
  </si>
  <si>
    <t>2025-03-23</t>
  </si>
  <si>
    <t>JP-00265</t>
  </si>
  <si>
    <t>JP-00266</t>
  </si>
  <si>
    <t>JP-00267</t>
  </si>
  <si>
    <t>2025-08-06</t>
  </si>
  <si>
    <t>JP-00268</t>
  </si>
  <si>
    <t>JP-00269</t>
  </si>
  <si>
    <t>JP-00270</t>
  </si>
  <si>
    <t>JP-00271</t>
  </si>
  <si>
    <t>JP-00272</t>
  </si>
  <si>
    <t>JP-00273</t>
  </si>
  <si>
    <t>JP-00274</t>
  </si>
  <si>
    <t>JP-00275</t>
  </si>
  <si>
    <t>2026-01-02</t>
  </si>
  <si>
    <t>JP-00276</t>
  </si>
  <si>
    <t>2025-11-30</t>
  </si>
  <si>
    <t>JP-00277</t>
  </si>
  <si>
    <t>JP-00278</t>
  </si>
  <si>
    <t>JP-00279</t>
  </si>
  <si>
    <t>JP-00280</t>
  </si>
  <si>
    <t>JP-00281</t>
  </si>
  <si>
    <t>JP-00282</t>
  </si>
  <si>
    <t>JP-00283</t>
  </si>
  <si>
    <t>JP-00284</t>
  </si>
  <si>
    <t>JP-00285</t>
  </si>
  <si>
    <t>JP-00286</t>
  </si>
  <si>
    <t>JP-00287</t>
  </si>
  <si>
    <t>JP-00288</t>
  </si>
  <si>
    <t>JP-00289</t>
  </si>
  <si>
    <t>2025-01-22</t>
  </si>
  <si>
    <t>JP-00290</t>
  </si>
  <si>
    <t>JP-00291</t>
  </si>
  <si>
    <t>2025-10-24</t>
  </si>
  <si>
    <t>JP-00292</t>
  </si>
  <si>
    <t>JP-00293</t>
  </si>
  <si>
    <t>JP-00294</t>
  </si>
  <si>
    <t>JP-00295</t>
  </si>
  <si>
    <t>2025-12-25</t>
  </si>
  <si>
    <t>JP-00296</t>
  </si>
  <si>
    <t>JP-00297</t>
  </si>
  <si>
    <t>JP-00298</t>
  </si>
  <si>
    <t>JP-00299</t>
  </si>
  <si>
    <t>JP-00300</t>
  </si>
  <si>
    <t>JP-00301</t>
  </si>
  <si>
    <t>JP-00302</t>
  </si>
  <si>
    <t>JP-00303</t>
  </si>
  <si>
    <t>JP-00304</t>
  </si>
  <si>
    <t>JP-00305</t>
  </si>
  <si>
    <t>JP-00306</t>
  </si>
  <si>
    <t>JP-00307</t>
  </si>
  <si>
    <t>JP-00308</t>
  </si>
  <si>
    <t>JP-00309</t>
  </si>
  <si>
    <t>JP-00310</t>
  </si>
  <si>
    <t>JP-00311</t>
  </si>
  <si>
    <t>JP-00312</t>
  </si>
  <si>
    <t>JP-00313</t>
  </si>
  <si>
    <t>JP-00314</t>
  </si>
  <si>
    <t>JP-00315</t>
  </si>
  <si>
    <t>JP-00316</t>
  </si>
  <si>
    <t>JP-00317</t>
  </si>
  <si>
    <t>JP-00318</t>
  </si>
  <si>
    <t>JP-00319</t>
  </si>
  <si>
    <t>JP-00320</t>
  </si>
  <si>
    <t>JP-00321</t>
  </si>
  <si>
    <t>JP-00322</t>
  </si>
  <si>
    <t>2025-06-28</t>
  </si>
  <si>
    <t>2025-07-06</t>
  </si>
  <si>
    <t>JP-00323</t>
  </si>
  <si>
    <t>2025-02-16</t>
  </si>
  <si>
    <t>JP-00324</t>
  </si>
  <si>
    <t>JP-00325</t>
  </si>
  <si>
    <t>JP-00326</t>
  </si>
  <si>
    <t>2025-02-04</t>
  </si>
  <si>
    <t>JP-00327</t>
  </si>
  <si>
    <t>JP-00328</t>
  </si>
  <si>
    <t>JP-00329</t>
  </si>
  <si>
    <t>2025-09-23</t>
  </si>
  <si>
    <t>JP-00330</t>
  </si>
  <si>
    <t>JP-00331</t>
  </si>
  <si>
    <t>JP-00332</t>
  </si>
  <si>
    <t>JP-00333</t>
  </si>
  <si>
    <t>2025-08-10</t>
  </si>
  <si>
    <t>JP-00334</t>
  </si>
  <si>
    <t>JP-00335</t>
  </si>
  <si>
    <t>2026-01-06</t>
  </si>
  <si>
    <t>JP-00336</t>
  </si>
  <si>
    <t>JP-00337</t>
  </si>
  <si>
    <t>JP-00338</t>
  </si>
  <si>
    <t>JP-00339</t>
  </si>
  <si>
    <t>JP-00340</t>
  </si>
  <si>
    <t>2025-12-27</t>
  </si>
  <si>
    <t>2026-01-04</t>
  </si>
  <si>
    <t>JP-00341</t>
  </si>
  <si>
    <t>JP-00342</t>
  </si>
  <si>
    <t>JP-00343</t>
  </si>
  <si>
    <t>2025-02-03</t>
  </si>
  <si>
    <t>JP-00344</t>
  </si>
  <si>
    <t>JP-00345</t>
  </si>
  <si>
    <t>JP-00346</t>
  </si>
  <si>
    <t>JP-00347</t>
  </si>
  <si>
    <t>JP-00348</t>
  </si>
  <si>
    <t>JP-00349</t>
  </si>
  <si>
    <t>JP-00350</t>
  </si>
  <si>
    <t>JP-00351</t>
  </si>
  <si>
    <t>JP-00352</t>
  </si>
  <si>
    <t>JP-00353</t>
  </si>
  <si>
    <t>JP-00354</t>
  </si>
  <si>
    <t>2026-01-08</t>
  </si>
  <si>
    <t>JP-00355</t>
  </si>
  <si>
    <t>JP-00356</t>
  </si>
  <si>
    <t>JP-00357</t>
  </si>
  <si>
    <t>JP-00358</t>
  </si>
  <si>
    <t>JP-00359</t>
  </si>
  <si>
    <t>JP-00360</t>
  </si>
  <si>
    <t>JP-00361</t>
  </si>
  <si>
    <t>JP-00362</t>
  </si>
  <si>
    <t>JP-00363</t>
  </si>
  <si>
    <t>JP-00364</t>
  </si>
  <si>
    <t>JP-00365</t>
  </si>
  <si>
    <t>JP-00366</t>
  </si>
  <si>
    <t>JP-00367</t>
  </si>
  <si>
    <t>JP-00368</t>
  </si>
  <si>
    <t>JP-00369</t>
  </si>
  <si>
    <t>JP-00370</t>
  </si>
  <si>
    <t>JP-00371</t>
  </si>
  <si>
    <t>JP-00372</t>
  </si>
  <si>
    <t>JP-00373</t>
  </si>
  <si>
    <t>JP-00374</t>
  </si>
  <si>
    <t>JP-00375</t>
  </si>
  <si>
    <t>JP-00376</t>
  </si>
  <si>
    <t>JP-00377</t>
  </si>
  <si>
    <t>JP-00378</t>
  </si>
  <si>
    <t>JP-00379</t>
  </si>
  <si>
    <t>JP-00380</t>
  </si>
  <si>
    <t>JP-00381</t>
  </si>
  <si>
    <t>JP-00382</t>
  </si>
  <si>
    <t>JP-00383</t>
  </si>
  <si>
    <t>JP-00384</t>
  </si>
  <si>
    <t>JP-00385</t>
  </si>
  <si>
    <t>JP-00386</t>
  </si>
  <si>
    <t>JP-00387</t>
  </si>
  <si>
    <t>JP-00388</t>
  </si>
  <si>
    <t>2025-06-05</t>
  </si>
  <si>
    <t>JP-00389</t>
  </si>
  <si>
    <t>JP-00390</t>
  </si>
  <si>
    <t>JP-00391</t>
  </si>
  <si>
    <t>2025-12-24</t>
  </si>
  <si>
    <t>JP-00392</t>
  </si>
  <si>
    <t>JP-00393</t>
  </si>
  <si>
    <t>JP-00394</t>
  </si>
  <si>
    <t>JP-00395</t>
  </si>
  <si>
    <t>JP-00396</t>
  </si>
  <si>
    <t>JP-00397</t>
  </si>
  <si>
    <t>JP-00398</t>
  </si>
  <si>
    <t>JP-00399</t>
  </si>
  <si>
    <t>JP-00400</t>
  </si>
  <si>
    <t>JP-00401</t>
  </si>
  <si>
    <t>2026-01-05</t>
  </si>
  <si>
    <t>JP-00402</t>
  </si>
  <si>
    <t>JP-00403</t>
  </si>
  <si>
    <t>JP-00404</t>
  </si>
  <si>
    <t>JP-00405</t>
  </si>
  <si>
    <t>JP-00406</t>
  </si>
  <si>
    <t>JP-00407</t>
  </si>
  <si>
    <t>JP-00408</t>
  </si>
  <si>
    <t>JP-00409</t>
  </si>
  <si>
    <t>2025-04-17</t>
  </si>
  <si>
    <t>JP-00410</t>
  </si>
  <si>
    <t>JP-00411</t>
  </si>
  <si>
    <t>JP-00412</t>
  </si>
  <si>
    <t>JP-00413</t>
  </si>
  <si>
    <t>JP-00414</t>
  </si>
  <si>
    <t>JP-00415</t>
  </si>
  <si>
    <t>2026-01-03</t>
  </si>
  <si>
    <t>JP-00416</t>
  </si>
  <si>
    <t>JP-00417</t>
  </si>
  <si>
    <t>JP-00418</t>
  </si>
  <si>
    <t>JP-00419</t>
  </si>
  <si>
    <t>JP-00420</t>
  </si>
  <si>
    <t>JP-00421</t>
  </si>
  <si>
    <t>JP-00422</t>
  </si>
  <si>
    <t>JP-00423</t>
  </si>
  <si>
    <t>JP-00424</t>
  </si>
  <si>
    <t>2025-09-25</t>
  </si>
  <si>
    <t>JP-00425</t>
  </si>
  <si>
    <t>JP-00426</t>
  </si>
  <si>
    <t>JP-00427</t>
  </si>
  <si>
    <t>JP-00428</t>
  </si>
  <si>
    <t>JP-00429</t>
  </si>
  <si>
    <t>JP-00430</t>
  </si>
  <si>
    <t>JP-00431</t>
  </si>
  <si>
    <t>JP-00432</t>
  </si>
  <si>
    <t>JP-00433</t>
  </si>
  <si>
    <t>2025-02-18</t>
  </si>
  <si>
    <t>JP-00434</t>
  </si>
  <si>
    <t>JP-00435</t>
  </si>
  <si>
    <t>JP-00436</t>
  </si>
  <si>
    <t>JP-00437</t>
  </si>
  <si>
    <t>JP-00438</t>
  </si>
  <si>
    <t>JP-00439</t>
  </si>
  <si>
    <t>JP-00440</t>
  </si>
  <si>
    <t>JP-00441</t>
  </si>
  <si>
    <t>2025-01-21</t>
  </si>
  <si>
    <t>JP-00442</t>
  </si>
  <si>
    <t>JP-00443</t>
  </si>
  <si>
    <t>JP-00444</t>
  </si>
  <si>
    <t>JP-00445</t>
  </si>
  <si>
    <t>JP-00446</t>
  </si>
  <si>
    <t>2025-01-05</t>
  </si>
  <si>
    <t>JP-00447</t>
  </si>
  <si>
    <t>JP-00448</t>
  </si>
  <si>
    <t>JP-00449</t>
  </si>
  <si>
    <t>JP-00450</t>
  </si>
  <si>
    <t>JP-00451</t>
  </si>
  <si>
    <t>JP-00452</t>
  </si>
  <si>
    <t>JP-00453</t>
  </si>
  <si>
    <t>JP-00454</t>
  </si>
  <si>
    <t>JP-00455</t>
  </si>
  <si>
    <t>JP-00456</t>
  </si>
  <si>
    <t>JP-00457</t>
  </si>
  <si>
    <t>JP-00458</t>
  </si>
  <si>
    <t>JP-00459</t>
  </si>
  <si>
    <t>JP-00460</t>
  </si>
  <si>
    <t>JP-00461</t>
  </si>
  <si>
    <t>JP-00462</t>
  </si>
  <si>
    <t>JP-00463</t>
  </si>
  <si>
    <t>JP-00464</t>
  </si>
  <si>
    <t>JP-00465</t>
  </si>
  <si>
    <t>2025-08-08</t>
  </si>
  <si>
    <t>JP-00466</t>
  </si>
  <si>
    <t>JP-00467</t>
  </si>
  <si>
    <t>JP-00468</t>
  </si>
  <si>
    <t>JP-00469</t>
  </si>
  <si>
    <t>JP-00470</t>
  </si>
  <si>
    <t>JP-00471</t>
  </si>
  <si>
    <t>JP-00472</t>
  </si>
  <si>
    <t>JP-00473</t>
  </si>
  <si>
    <t>JP-00474</t>
  </si>
  <si>
    <t>JP-00475</t>
  </si>
  <si>
    <t>JP-00476</t>
  </si>
  <si>
    <t>JP-00477</t>
  </si>
  <si>
    <t>JP-00478</t>
  </si>
  <si>
    <t>JP-00479</t>
  </si>
  <si>
    <t>JP-00480</t>
  </si>
  <si>
    <t>JP-00481</t>
  </si>
  <si>
    <t>JP-00482</t>
  </si>
  <si>
    <t>JP-00483</t>
  </si>
  <si>
    <t>JP-00484</t>
  </si>
  <si>
    <t>JP-00485</t>
  </si>
  <si>
    <t>JP-00486</t>
  </si>
  <si>
    <t>JP-00487</t>
  </si>
  <si>
    <t>2025-05-30</t>
  </si>
  <si>
    <t>JP-00488</t>
  </si>
  <si>
    <t>JP-00489</t>
  </si>
  <si>
    <t>JP-00490</t>
  </si>
  <si>
    <t>JP-00491</t>
  </si>
  <si>
    <t>2025-10-28</t>
  </si>
  <si>
    <t>JP-00492</t>
  </si>
  <si>
    <t>JP-00493</t>
  </si>
  <si>
    <t>JP-00494</t>
  </si>
  <si>
    <t>JP-00495</t>
  </si>
  <si>
    <t>JP-00496</t>
  </si>
  <si>
    <t>JP-00497</t>
  </si>
  <si>
    <t>JP-00498</t>
  </si>
  <si>
    <t>JP-00499</t>
  </si>
  <si>
    <t>JP-00500</t>
  </si>
  <si>
    <t>Column Labels</t>
  </si>
  <si>
    <t>Grand Total</t>
  </si>
  <si>
    <t>Row Labels</t>
  </si>
  <si>
    <t>Count of Shipment ID</t>
  </si>
  <si>
    <t>Average of Delivery Days</t>
  </si>
  <si>
    <t>Sum of Shipping Cost</t>
  </si>
  <si>
    <t>Sum of Revenue</t>
  </si>
  <si>
    <t>Average of Customer Rating (1-5)</t>
  </si>
  <si>
    <t>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</si>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</sst>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4">
    <font>
      <sz val="11"/>
      <name val="Carlito"/>
    </font>
    <font>
      <b/>
      <sz val="11"/>
      <color rgb="FFFFFFFF"/>
      <name val="Carlito"/>
    </font>
    <font>
      <b/>
      <sz val="11"/>
      <name val="Carlito"/>
    </font>
    <font>
      <sz val="11"/>
      <name val="Carlito"/>
    </font>
  </fonts>
  <fills count="3">
    <fill>
      <patternFill patternType="none"/>
    </fill>
    <fill>
      <patternFill patternType="gray125"/>
    </fill>
    <fill>
      <patternFill patternType="solid">
        <fgColor rgb="FF174B68"/>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2" borderId="0" xfId="0" applyFont="1" applyFill="1"/>
    <xf numFmtId="0" fontId="2" fillId="0" borderId="0" xfId="0" applyFont="1"/>
    <xf numFmtId="0" fontId="0" fillId="0" borderId="0" xfId="0" applyAlignment="1">
      <alignment wrapText="1"/>
    </xf>
    <xf numFmtId="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9" fontId="0" fillId="0" borderId="0" xfId="1" applyFont="1"/>
    <xf numFmtId="166" fontId="0" fillId="0" borderId="0" xfId="1" applyNumberFormat="1" applyFont="1"/>
    <xf numFmtId="10" fontId="0" fillId="0" borderId="0" xfId="1" applyNumberFormat="1"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[Japan_Logistics_Delivery(sample).xlsx]Shipments by destination!PivotTable2</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'Shipments by destination'!$B$3:$B$4</c:f>
              <c:strCache>
                <c:ptCount val="1"/>
                <c:pt idx="0">
                  <c:v>Economy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'Shipments by destination'!$A$5:$A$10</c:f>
              <c:strCache>
                <c:ptCount val="5"/>
                <c:pt idx="0">
                  <c:v>Kanagawa</c:v>
                </c:pt>
                <c:pt idx="1">
                  <c:v>Osaka</c:v>
                </c:pt>
                <c:pt idx="2">
                  <c:v>Aichi</c:v>
                </c:pt>
                <c:pt idx="3">
                  <c:v>Tokyo</c:v>
                </c:pt>
                <c:pt idx="4">
                  <c:v>Fukuoka</c:v>
                </c:pt>
              </c:strCache>
            </c:strRef>
          </c:cat>
          <c:val>
            <c:numRef>
              <c:f>'Shipments by destination'!$B$5:$B$10</c:f>
              <c:numCache>
                <c:formatCode>General</c:formatCode>
                <c:ptCount val="5"/>
                <c:pt idx="0">
                  <c:v>36</c:v>
                </c:pt>
                <c:pt idx="1">
                  <c:v>32</c:v>
                </c:pt>
                <c:pt idx="2">
                  <c:v>36</c:v>
                </c:pt>
                <c:pt idx="3">
                  <c:v>31</c:v>
                </c:pt>
                <c:pt idx="4">
                  <c:v>37</c:v>
                </c:pt>
              </c:numCache>
            </c:numRef>
          </c:val>
          <c:smooth val="0"/>
          <c:extLst>
            <c:ext xmlns:c16="http://schemas.microsoft.com/office/drawing/2014/chart" uri="{C3380CC4-5D6E-409C-BE32-E72D297353CC}">
              <c16:uniqueId val="{00000000-76CA-45AE-9E94-4DF337DE4D3C}"/>
            </c:ext>
          </c:extLst>
        </c:ser>
        <c:ser>
          <c:idx val="1"/>
          <c:order val="1"/>
          <c:tx>
            <c:strRef>
              <c:f>'Shipments by destination'!$C$3:$C$4</c:f>
              <c:strCache>
                <c:ptCount val="1"/>
                <c:pt idx="0">
                  <c:v>Express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'Shipments by destination'!$A$5:$A$10</c:f>
              <c:strCache>
                <c:ptCount val="5"/>
                <c:pt idx="0">
                  <c:v>Kanagawa</c:v>
                </c:pt>
                <c:pt idx="1">
                  <c:v>Osaka</c:v>
                </c:pt>
                <c:pt idx="2">
                  <c:v>Aichi</c:v>
                </c:pt>
                <c:pt idx="3">
                  <c:v>Tokyo</c:v>
                </c:pt>
                <c:pt idx="4">
                  <c:v>Fukuoka</c:v>
                </c:pt>
              </c:strCache>
            </c:strRef>
          </c:cat>
          <c:val>
            <c:numRef>
              <c:f>'Shipments by destination'!$C$5:$C$10</c:f>
              <c:numCache>
                <c:formatCode>General</c:formatCode>
                <c:ptCount val="5"/>
                <c:pt idx="0">
                  <c:v>39</c:v>
                </c:pt>
                <c:pt idx="1">
                  <c:v>39</c:v>
                </c:pt>
                <c:pt idx="2">
                  <c:v>25</c:v>
                </c:pt>
                <c:pt idx="3">
                  <c:v>26</c:v>
                </c:pt>
                <c:pt idx="4">
                  <c:v>34</c:v>
                </c:pt>
              </c:numCache>
            </c:numRef>
          </c:val>
          <c:smooth val="0"/>
          <c:extLst>
            <c:ext xmlns:c16="http://schemas.microsoft.com/office/drawing/2014/chart" uri="{C3380CC4-5D6E-409C-BE32-E72D297353CC}">
              <c16:uniqueId val="{00000001-76CA-45AE-9E94-4DF337DE4D3C}"/>
            </c:ext>
          </c:extLst>
        </c:ser>
        <c:ser>
          <c:idx val="2"/>
          <c:order val="2"/>
          <c:tx>
            <c:strRef>
              <c:f>'Shipments by destination'!$D$3:$D$4</c:f>
              <c:strCache>
                <c:ptCount val="1"/>
                <c:pt idx="0">
                  <c:v>Standard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'Shipments by destination'!$A$5:$A$10</c:f>
              <c:strCache>
                <c:ptCount val="5"/>
                <c:pt idx="0">
                  <c:v>Kanagawa</c:v>
                </c:pt>
                <c:pt idx="1">
                  <c:v>Osaka</c:v>
                </c:pt>
                <c:pt idx="2">
                  <c:v>Aichi</c:v>
                </c:pt>
                <c:pt idx="3">
                  <c:v>Tokyo</c:v>
                </c:pt>
                <c:pt idx="4">
                  <c:v>Fukuoka</c:v>
                </c:pt>
              </c:strCache>
            </c:strRef>
          </c:cat>
          <c:val>
            <c:numRef>
              <c:f>'Shipments by destination'!$D$5:$D$10</c:f>
              <c:numCache>
                <c:formatCode>General</c:formatCode>
                <c:ptCount val="5"/>
                <c:pt idx="0">
                  <c:v>34</c:v>
                </c:pt>
                <c:pt idx="1">
                  <c:v>31</c:v>
                </c:pt>
                <c:pt idx="2">
                  <c:v>41</c:v>
                </c:pt>
                <c:pt idx="3">
                  <c:v>37</c:v>
                </c:pt>
                <c:pt idx="4">
                  <c:v>22</c:v>
                </c:pt>
              </c:numCache>
            </c:numRef>
          </c:val>
          <c:smooth val="0"/>
          <c:extLst>
            <c:ext xmlns:c16="http://schemas.microsoft.com/office/drawing/2014/chart" uri="{C3380CC4-5D6E-409C-BE32-E72D297353CC}">
              <c16:uniqueId val="{00000002-76CA-45AE-9E94-4DF337DE4D3C}"/>
            </c:ext>
          </c:extLst>
        </c:ser>
        <c:dLbls>
          <c:showLegendKey val="0"/>
          <c:showVal val="0"/>
          <c:showCatName val="0"/>
          <c:showSerName val="0"/>
          <c:showPercent val="0"/>
          <c:showBubbleSize val="0"/>
        </c:dLbls>
        <c:marker val="1"/>
        <c:smooth val="0"/>
        <c:axId val="864853104"/>
        <c:axId val="864855624"/>
      </c:lineChart>
      <c:catAx>
        <c:axId val="8648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55624"/>
        <c:crosses val="autoZero"/>
        <c:auto val="1"/>
        <c:lblAlgn val="ctr"/>
        <c:lblOffset val="100"/>
        <c:noMultiLvlLbl val="0"/>
      </c:catAx>
      <c:valAx>
        <c:axId val="86485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[Japan_Logistics_Delivery(sample).xlsx]Average Delivery Days!PivotTable3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Delivery Days'!$B$3:$B$4</c:f>
              <c:strCache>
                <c:ptCount val="1"/>
                <c:pt idx="0">
                  <c:v>Economy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Delivery Days'!$A$5:$A$9</c:f>
              <c:strCache>
                <c:ptCount val="4"/>
                <c:pt idx="0">
                  <c:v>Sagawa Express</c:v>
                </c:pt>
                <c:pt idx="1">
                  <c:v>Yamato Transport</c:v>
                </c:pt>
                <c:pt idx="2">
                  <c:v>Nippon Express</c:v>
                </c:pt>
                <c:pt idx="3">
                  <c:v>Japan Post</c:v>
                </c:pt>
              </c:strCache>
            </c:strRef>
          </c:cat>
          <c:val>
            <c:numRef>
              <c:f>'Average Delivery Days'!$B$5:$B$9</c:f>
              <c:numCache>
                <c:formatCode>0.000</c:formatCode>
                <c:ptCount val="4"/>
                <c:pt idx="0">
                  <c:v>8.0277777777777786</c:v>
                </c:pt>
                <c:pt idx="1">
                  <c:v>8.0217391304347831</c:v>
                </c:pt>
                <c:pt idx="2">
                  <c:v>7.9807692307692308</c:v>
                </c:pt>
                <c:pt idx="3">
                  <c:v>7.1842105263157894</c:v>
                </c:pt>
              </c:numCache>
            </c:numRef>
          </c:val>
          <c:smooth val="0"/>
          <c:extLst>
            <c:ext xmlns:c16="http://schemas.microsoft.com/office/drawing/2014/chart" uri="{C3380CC4-5D6E-409C-BE32-E72D297353CC}">
              <c16:uniqueId val="{00000000-87A9-4164-8051-9AE7DEA206F0}"/>
            </c:ext>
          </c:extLst>
        </c:ser>
        <c:ser>
          <c:idx val="1"/>
          <c:order val="1"/>
          <c:tx>
            <c:strRef>
              <c:f>'Average Delivery Days'!$C$3:$C$4</c:f>
              <c:strCache>
                <c:ptCount val="1"/>
                <c:pt idx="0">
                  <c:v>Express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'Average Delivery Days'!$A$5:$A$9</c:f>
              <c:strCache>
                <c:ptCount val="4"/>
                <c:pt idx="0">
                  <c:v>Sagawa Express</c:v>
                </c:pt>
                <c:pt idx="1">
                  <c:v>Yamato Transport</c:v>
                </c:pt>
                <c:pt idx="2">
                  <c:v>Nippon Express</c:v>
                </c:pt>
                <c:pt idx="3">
                  <c:v>Japan Post</c:v>
                </c:pt>
              </c:strCache>
            </c:strRef>
          </c:cat>
          <c:val>
            <c:numRef>
              <c:f>'Average Delivery Days'!$C$5:$C$9</c:f>
              <c:numCache>
                <c:formatCode>0.000</c:formatCode>
                <c:ptCount val="4"/>
                <c:pt idx="0">
                  <c:v>2.5</c:v>
                </c:pt>
                <c:pt idx="1">
                  <c:v>2.3076923076923075</c:v>
                </c:pt>
                <c:pt idx="2">
                  <c:v>2.3333333333333335</c:v>
                </c:pt>
                <c:pt idx="3">
                  <c:v>2.3055555555555554</c:v>
                </c:pt>
              </c:numCache>
            </c:numRef>
          </c:val>
          <c:smooth val="0"/>
          <c:extLst>
            <c:ext xmlns:c16="http://schemas.microsoft.com/office/drawing/2014/chart" uri="{C3380CC4-5D6E-409C-BE32-E72D297353CC}">
              <c16:uniqueId val="{00000001-87A9-4164-8051-9AE7DEA206F0}"/>
            </c:ext>
          </c:extLst>
        </c:ser>
        <c:ser>
          <c:idx val="2"/>
          <c:order val="2"/>
          <c:tx>
            <c:strRef>
              <c:f>'Average Delivery Days'!$D$3:$D$4</c:f>
              <c:strCache>
                <c:ptCount val="1"/>
                <c:pt idx="0">
                  <c:v>Standard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'Average Delivery Days'!$A$5:$A$9</c:f>
              <c:strCache>
                <c:ptCount val="4"/>
                <c:pt idx="0">
                  <c:v>Sagawa Express</c:v>
                </c:pt>
                <c:pt idx="1">
                  <c:v>Yamato Transport</c:v>
                </c:pt>
                <c:pt idx="2">
                  <c:v>Nippon Express</c:v>
                </c:pt>
                <c:pt idx="3">
                  <c:v>Japan Post</c:v>
                </c:pt>
              </c:strCache>
            </c:strRef>
          </c:cat>
          <c:val>
            <c:numRef>
              <c:f>'Average Delivery Days'!$D$5:$D$9</c:f>
              <c:numCache>
                <c:formatCode>0.000</c:formatCode>
                <c:ptCount val="4"/>
                <c:pt idx="0">
                  <c:v>4.8139534883720927</c:v>
                </c:pt>
                <c:pt idx="1">
                  <c:v>4.6956521739130439</c:v>
                </c:pt>
                <c:pt idx="2">
                  <c:v>4.2</c:v>
                </c:pt>
                <c:pt idx="3">
                  <c:v>4.4390243902439028</c:v>
                </c:pt>
              </c:numCache>
            </c:numRef>
          </c:val>
          <c:smooth val="0"/>
          <c:extLst>
            <c:ext xmlns:c16="http://schemas.microsoft.com/office/drawing/2014/chart" uri="{C3380CC4-5D6E-409C-BE32-E72D297353CC}">
              <c16:uniqueId val="{00000002-87A9-4164-8051-9AE7DEA206F0}"/>
            </c:ext>
          </c:extLst>
        </c:ser>
        <c:dLbls>
          <c:showLegendKey val="0"/>
          <c:showVal val="0"/>
          <c:showCatName val="0"/>
          <c:showSerName val="0"/>
          <c:showPercent val="0"/>
          <c:showBubbleSize val="0"/>
        </c:dLbls>
        <c:marker val="1"/>
        <c:smooth val="0"/>
        <c:axId val="864863544"/>
        <c:axId val="864865704"/>
      </c:lineChart>
      <c:catAx>
        <c:axId val="864863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5704"/>
        <c:crosses val="autoZero"/>
        <c:auto val="1"/>
        <c:lblAlgn val="ctr"/>
        <c:lblOffset val="100"/>
        <c:noMultiLvlLbl val="0"/>
      </c:catAx>
      <c:valAx>
        <c:axId val="864865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3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[Japan_Logistics_Delivery(sample).xlsx]Delivery Status by Region!PivotTable4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Status by Region'!$B$3:$B$4</c:f>
              <c:strCache>
                <c:ptCount val="1"/>
                <c:pt idx="0">
                  <c:v>Late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'Delivery Status by Region'!$A$5:$A$10</c:f>
              <c:strCache>
                <c:ptCount val="5"/>
                <c:pt idx="0">
                  <c:v>Aichi</c:v>
                </c:pt>
                <c:pt idx="1">
                  <c:v>Fukuoka</c:v>
                </c:pt>
                <c:pt idx="2">
                  <c:v>Kanagawa</c:v>
                </c:pt>
                <c:pt idx="3">
                  <c:v>Osaka</c:v>
                </c:pt>
                <c:pt idx="4">
                  <c:v>Tokyo</c:v>
                </c:pt>
              </c:strCache>
            </c:strRef>
          </c:cat>
          <c:val>
            <c:numRef>
              <c:f>'Delivery Status by Region'!$B$5:$B$10</c:f>
              <c:numCache>
                <c:formatCode>General</c:formatCode>
                <c:ptCount val="5"/>
                <c:pt idx="0">
                  <c:v>46</c:v>
                </c:pt>
                <c:pt idx="1">
                  <c:v>41</c:v>
                </c:pt>
                <c:pt idx="2">
                  <c:v>40</c:v>
                </c:pt>
                <c:pt idx="3">
                  <c:v>33</c:v>
                </c:pt>
                <c:pt idx="4">
                  <c:v>32</c:v>
                </c:pt>
              </c:numCache>
            </c:numRef>
          </c:val>
          <c:smooth val="0"/>
          <c:extLst>
            <c:ext xmlns:c16="http://schemas.microsoft.com/office/drawing/2014/chart" uri="{C3380CC4-5D6E-409C-BE32-E72D297353CC}">
              <c16:uniqueId val="{00000000-3E01-4D6E-8217-0F46364A9859}"/>
            </c:ext>
          </c:extLst>
        </c:ser>
        <c:ser>
          <c:idx val="1"/>
          <c:order val="1"/>
          <c:tx>
            <c:strRef>
              <c:f>'Delivery Status by Region'!$C$3:$C$4</c:f>
              <c:strCache>
                <c:ptCount val="1"/>
                <c:pt idx="0">
                  <c:v>On 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'Delivery Status by Region'!$A$5:$A$10</c:f>
              <c:strCache>
                <c:ptCount val="5"/>
                <c:pt idx="0">
                  <c:v>Aichi</c:v>
                </c:pt>
                <c:pt idx="1">
                  <c:v>Fukuoka</c:v>
                </c:pt>
                <c:pt idx="2">
                  <c:v>Kanagawa</c:v>
                </c:pt>
                <c:pt idx="3">
                  <c:v>Osaka</c:v>
                </c:pt>
                <c:pt idx="4">
                  <c:v>Tokyo</c:v>
                </c:pt>
              </c:strCache>
            </c:strRef>
          </c:cat>
          <c:val>
            <c:numRef>
              <c:f>'Delivery Status by Region'!$C$5:$C$10</c:f>
              <c:numCache>
                <c:formatCode>General</c:formatCode>
                <c:ptCount val="5"/>
                <c:pt idx="0">
                  <c:v>56</c:v>
                </c:pt>
                <c:pt idx="1">
                  <c:v>52</c:v>
                </c:pt>
                <c:pt idx="2">
                  <c:v>69</c:v>
                </c:pt>
                <c:pt idx="3">
                  <c:v>69</c:v>
                </c:pt>
                <c:pt idx="4">
                  <c:v>62</c:v>
                </c:pt>
              </c:numCache>
            </c:numRef>
          </c:val>
          <c:smooth val="0"/>
          <c:extLst>
            <c:ext xmlns:c16="http://schemas.microsoft.com/office/drawing/2014/chart" uri="{C3380CC4-5D6E-409C-BE32-E72D297353CC}">
              <c16:uniqueId val="{00000001-3E01-4D6E-8217-0F46364A9859}"/>
            </c:ext>
          </c:extLst>
        </c:ser>
        <c:dLbls>
          <c:showLegendKey val="0"/>
          <c:showVal val="0"/>
          <c:showCatName val="0"/>
          <c:showSerName val="0"/>
          <c:showPercent val="0"/>
          <c:showBubbleSize val="0"/>
        </c:dLbls>
        <c:marker val="1"/>
        <c:smooth val="0"/>
        <c:axId val="959217272"/>
        <c:axId val="959217632"/>
      </c:lineChart>
      <c:catAx>
        <c:axId val="95921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7632"/>
        <c:crosses val="autoZero"/>
        <c:auto val="1"/>
        <c:lblAlgn val="ctr"/>
        <c:lblOffset val="100"/>
        <c:noMultiLvlLbl val="0"/>
      </c:catAx>
      <c:valAx>
        <c:axId val="9592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[Japan_Logistics_Delivery(sample).xlsx]Shipping Cost &amp; Revenue!PivotTable5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'Shipping Cost &amp; Revenue'!$B$3</c:f>
              <c:strCache>
                <c:ptCount val="1"/>
                <c:pt idx="0">
                  <c:v>Sum of Shipping Cost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'Shipping Cost &amp; Revenue'!$A$4:$A$8</c:f>
              <c:strCache>
                <c:ptCount val="4"/>
                <c:pt idx="0">
                  <c:v>Yamato Transport</c:v>
                </c:pt>
                <c:pt idx="1">
                  <c:v>Nippon Express</c:v>
                </c:pt>
                <c:pt idx="2">
                  <c:v>Japan Post</c:v>
                </c:pt>
                <c:pt idx="3">
                  <c:v>Sagawa Express</c:v>
                </c:pt>
              </c:strCache>
            </c:strRef>
          </c:cat>
          <c:val>
            <c:numRef>
              <c:f>'Shipping Cost &amp; Revenue'!$B$4:$B$8</c:f>
              <c:numCache>
                <c:formatCode>#,##0.00</c:formatCode>
                <c:ptCount val="4"/>
                <c:pt idx="0">
                  <c:v>825959.39999999979</c:v>
                </c:pt>
                <c:pt idx="1">
                  <c:v>680253.59999999963</c:v>
                </c:pt>
                <c:pt idx="2">
                  <c:v>639871.90000000026</c:v>
                </c:pt>
                <c:pt idx="3">
                  <c:v>629365.69999999972</c:v>
                </c:pt>
              </c:numCache>
            </c:numRef>
          </c:val>
          <c:smooth val="0"/>
          <c:extLst>
            <c:ext xmlns:c16="http://schemas.microsoft.com/office/drawing/2014/chart" uri="{C3380CC4-5D6E-409C-BE32-E72D297353CC}">
              <c16:uniqueId val="{00000000-D62D-4DB1-891E-551A1D139759}"/>
            </c:ext>
          </c:extLst>
        </c:ser>
        <c:ser>
          <c:idx val="1"/>
          <c:order val="1"/>
          <c:tx>
            <c:strRef>
              <c:f>'Shipping Cost &amp; Revenue'!$C$3</c:f>
              <c:strCache>
                <c:ptCount val="1"/>
                <c:pt idx="0">
                  <c:v>Sum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'Shipping Cost &amp; Revenue'!$A$4:$A$8</c:f>
              <c:strCache>
                <c:ptCount val="4"/>
                <c:pt idx="0">
                  <c:v>Yamato Transport</c:v>
                </c:pt>
                <c:pt idx="1">
                  <c:v>Nippon Express</c:v>
                </c:pt>
                <c:pt idx="2">
                  <c:v>Japan Post</c:v>
                </c:pt>
                <c:pt idx="3">
                  <c:v>Sagawa Express</c:v>
                </c:pt>
              </c:strCache>
            </c:strRef>
          </c:cat>
          <c:val>
            <c:numRef>
              <c:f>'Shipping Cost &amp; Revenue'!$C$4:$C$8</c:f>
              <c:numCache>
                <c:formatCode>#,##0.00</c:formatCode>
                <c:ptCount val="4"/>
                <c:pt idx="0">
                  <c:v>1376312.1499999997</c:v>
                </c:pt>
                <c:pt idx="1">
                  <c:v>1148666.3899999999</c:v>
                </c:pt>
                <c:pt idx="2">
                  <c:v>1065317.4599999995</c:v>
                </c:pt>
                <c:pt idx="3">
                  <c:v>1041206.9199999996</c:v>
                </c:pt>
              </c:numCache>
            </c:numRef>
          </c:val>
          <c:smooth val="0"/>
          <c:extLst>
            <c:ext xmlns:c16="http://schemas.microsoft.com/office/drawing/2014/chart" uri="{C3380CC4-5D6E-409C-BE32-E72D297353CC}">
              <c16:uniqueId val="{00000001-D62D-4DB1-891E-551A1D139759}"/>
            </c:ext>
          </c:extLst>
        </c:ser>
        <c:dLbls>
          <c:showLegendKey val="0"/>
          <c:showVal val="0"/>
          <c:showCatName val="0"/>
          <c:showSerName val="0"/>
          <c:showPercent val="0"/>
          <c:showBubbleSize val="0"/>
        </c:dLbls>
        <c:marker val="1"/>
        <c:smooth val="0"/>
        <c:axId val="861878016"/>
        <c:axId val="861878376"/>
      </c:lineChart>
      <c:catAx>
        <c:axId val="8618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78376"/>
        <c:crosses val="autoZero"/>
        <c:auto val="1"/>
        <c:lblAlgn val="ctr"/>
        <c:lblOffset val="100"/>
        <c:noMultiLvlLbl val="0"/>
      </c:catAx>
      <c:valAx>
        <c:axId val="861878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7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[Japan_Logistics_Delivery(sample).xlsx]Average Customer Rating!PivotTable6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Customer Rating'!$B$3:$B$4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Customer Rating'!$A$5:$A$8</c:f>
              <c:strCache>
                <c:ptCount val="3"/>
                <c:pt idx="0">
                  <c:v>Economy</c:v>
                </c:pt>
                <c:pt idx="1">
                  <c:v>Express</c:v>
                </c:pt>
                <c:pt idx="2">
                  <c:v>Standard</c:v>
                </c:pt>
              </c:strCache>
            </c:strRef>
          </c:cat>
          <c:val>
            <c:numRef>
              <c:f>'Average Customer Rating'!$B$5:$B$8</c:f>
              <c:numCache>
                <c:formatCode>0.000</c:formatCode>
                <c:ptCount val="3"/>
                <c:pt idx="0">
                  <c:v>4.741935483870968</c:v>
                </c:pt>
                <c:pt idx="1">
                  <c:v>4.7241379310344831</c:v>
                </c:pt>
                <c:pt idx="2">
                  <c:v>4.5769230769230766</c:v>
                </c:pt>
              </c:numCache>
            </c:numRef>
          </c:val>
          <c:smooth val="0"/>
          <c:extLst>
            <c:ext xmlns:c16="http://schemas.microsoft.com/office/drawing/2014/chart" uri="{C3380CC4-5D6E-409C-BE32-E72D297353CC}">
              <c16:uniqueId val="{00000000-BA41-46CA-8296-4CD5315D062E}"/>
            </c:ext>
          </c:extLst>
        </c:ser>
        <c:ser>
          <c:idx val="1"/>
          <c:order val="1"/>
          <c:tx>
            <c:strRef>
              <c:f>'Average Customer Rating'!$C$3:$C$4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'Average Customer Rating'!$A$5:$A$8</c:f>
              <c:strCache>
                <c:ptCount val="3"/>
                <c:pt idx="0">
                  <c:v>Economy</c:v>
                </c:pt>
                <c:pt idx="1">
                  <c:v>Express</c:v>
                </c:pt>
                <c:pt idx="2">
                  <c:v>Standard</c:v>
                </c:pt>
              </c:strCache>
            </c:strRef>
          </c:cat>
          <c:val>
            <c:numRef>
              <c:f>'Average Customer Rating'!$C$5:$C$8</c:f>
              <c:numCache>
                <c:formatCode>0.000</c:formatCode>
                <c:ptCount val="3"/>
                <c:pt idx="0">
                  <c:v>4.6190476190476186</c:v>
                </c:pt>
                <c:pt idx="1">
                  <c:v>4.5714285714285712</c:v>
                </c:pt>
                <c:pt idx="2">
                  <c:v>4.7407407407407405</c:v>
                </c:pt>
              </c:numCache>
            </c:numRef>
          </c:val>
          <c:smooth val="0"/>
          <c:extLst>
            <c:ext xmlns:c16="http://schemas.microsoft.com/office/drawing/2014/chart" uri="{C3380CC4-5D6E-409C-BE32-E72D297353CC}">
              <c16:uniqueId val="{00000001-BA41-46CA-8296-4CD5315D062E}"/>
            </c:ext>
          </c:extLst>
        </c:ser>
        <c:ser>
          <c:idx val="2"/>
          <c:order val="2"/>
          <c:tx>
            <c:strRef>
              <c:f>'Average Customer Rating'!$D$3:$D$4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'Average Customer Rating'!$A$5:$A$8</c:f>
              <c:strCache>
                <c:ptCount val="3"/>
                <c:pt idx="0">
                  <c:v>Economy</c:v>
                </c:pt>
                <c:pt idx="1">
                  <c:v>Express</c:v>
                </c:pt>
                <c:pt idx="2">
                  <c:v>Standard</c:v>
                </c:pt>
              </c:strCache>
            </c:strRef>
          </c:cat>
          <c:val>
            <c:numRef>
              <c:f>'Average Customer Rating'!$D$5:$D$8</c:f>
              <c:numCache>
                <c:formatCode>0.000</c:formatCode>
                <c:ptCount val="3"/>
                <c:pt idx="0">
                  <c:v>4.67741935483871</c:v>
                </c:pt>
                <c:pt idx="1">
                  <c:v>4.6857142857142859</c:v>
                </c:pt>
                <c:pt idx="2">
                  <c:v>4.666666666666667</c:v>
                </c:pt>
              </c:numCache>
            </c:numRef>
          </c:val>
          <c:smooth val="0"/>
          <c:extLst>
            <c:ext xmlns:c16="http://schemas.microsoft.com/office/drawing/2014/chart" uri="{C3380CC4-5D6E-409C-BE32-E72D297353CC}">
              <c16:uniqueId val="{00000002-BA41-46CA-8296-4CD5315D062E}"/>
            </c:ext>
          </c:extLst>
        </c:ser>
        <c:ser>
          <c:idx val="3"/>
          <c:order val="3"/>
          <c:tx>
            <c:strRef>
              <c:f>'Average Customer Rating'!$E$3:$E$4</c:f>
              <c:strCache>
                <c:ptCount val="1"/>
                <c:pt idx="0">
                  <c:v>Healthcare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'Average Customer Rating'!$A$5:$A$8</c:f>
              <c:strCache>
                <c:ptCount val="3"/>
                <c:pt idx="0">
                  <c:v>Economy</c:v>
                </c:pt>
                <c:pt idx="1">
                  <c:v>Express</c:v>
                </c:pt>
                <c:pt idx="2">
                  <c:v>Standard</c:v>
                </c:pt>
              </c:strCache>
            </c:strRef>
          </c:cat>
          <c:val>
            <c:numRef>
              <c:f>'Average Customer Rating'!$E$5:$E$8</c:f>
              <c:numCache>
                <c:formatCode>0.000</c:formatCode>
                <c:ptCount val="3"/>
                <c:pt idx="0">
                  <c:v>4.666666666666667</c:v>
                </c:pt>
                <c:pt idx="1">
                  <c:v>4.5999999999999996</c:v>
                </c:pt>
                <c:pt idx="2">
                  <c:v>4.65625</c:v>
                </c:pt>
              </c:numCache>
            </c:numRef>
          </c:val>
          <c:smooth val="0"/>
          <c:extLst>
            <c:ext xmlns:c16="http://schemas.microsoft.com/office/drawing/2014/chart" uri="{C3380CC4-5D6E-409C-BE32-E72D297353CC}">
              <c16:uniqueId val="{00000000-28FA-4E08-9D6C-B1C34D48B5CC}"/>
            </c:ext>
          </c:extLst>
        </c:ser>
        <c:ser>
          <c:idx val="4"/>
          <c:order val="4"/>
          <c:tx>
            <c:strRef>
              <c:f>'Average Customer Rating'!$F$3:$F$4</c:f>
              <c:strCache>
                <c:ptCount val="1"/>
                <c:pt idx="0">
                  <c:v>Home Goods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'Average Customer Rating'!$A$5:$A$8</c:f>
              <c:strCache>
                <c:ptCount val="3"/>
                <c:pt idx="0">
                  <c:v>Economy</c:v>
                </c:pt>
                <c:pt idx="1">
                  <c:v>Express</c:v>
                </c:pt>
                <c:pt idx="2">
                  <c:v>Standard</c:v>
                </c:pt>
              </c:strCache>
            </c:strRef>
          </c:cat>
          <c:val>
            <c:numRef>
              <c:f>'Average Customer Rating'!$F$5:$F$8</c:f>
              <c:numCache>
                <c:formatCode>0.000</c:formatCode>
                <c:ptCount val="3"/>
                <c:pt idx="0">
                  <c:v>4.4473684210526319</c:v>
                </c:pt>
                <c:pt idx="1">
                  <c:v>4.617647058823529</c:v>
                </c:pt>
                <c:pt idx="2">
                  <c:v>4.628571428571429</c:v>
                </c:pt>
              </c:numCache>
            </c:numRef>
          </c:val>
          <c:smooth val="0"/>
          <c:extLst>
            <c:ext xmlns:c16="http://schemas.microsoft.com/office/drawing/2014/chart" uri="{C3380CC4-5D6E-409C-BE32-E72D297353CC}">
              <c16:uniqueId val="{00000003-28FA-4E08-9D6C-B1C34D48B5CC}"/>
            </c:ext>
          </c:extLst>
        </c:ser>
        <c:dLbls>
          <c:showLegendKey val="0"/>
          <c:showVal val="0"/>
          <c:showCatName val="0"/>
          <c:showSerName val="0"/>
          <c:showPercent val="0"/>
          <c:showBubbleSize val="0"/>
        </c:dLbls>
        <c:marker val="1"/>
        <c:smooth val="0"/>
        <c:axId val="1143896000"/>
        <c:axId val="1143897440"/>
      </c:lineChart>
      <c:catAx>
        <c:axId val="114389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97440"/>
        <c:crosses val="autoZero"/>
        <c:auto val="1"/>
        <c:lblAlgn val="ctr"/>
        <c:lblOffset val="100"/>
        <c:noMultiLvlLbl val="0"/>
      </c:catAx>
      <c:valAx>
        <c:axId val="11438974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9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[Japan_Logistics_Delivery(sample).xlsx]Shipments by destination!PivotTable2</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'Shipments by destination'!$B$3:$B$4</c:f>
              <c:strCache>
                <c:ptCount val="1"/>
                <c:pt idx="0">
                  <c:v>Economy</c:v>
                </c:pt>
              </c:strCache>
            </c:strRef>
          </c:tx>
          <c:spPr>
            <a:ln w="28575" cap="rnd">
              <a:solidFill>
                <a:schemeClr val="accent1"/>
              </a:solidFill>
              <a:round/>
            </a:ln>
            <a:effectLst/>
          </c:spPr>
          <c:invertIfNegative val="0"/>
          <c:cat>
            <c:strRef>
              <c:f>'Shipments by destination'!$A$5:$A$10</c:f>
              <c:strCache>
                <c:ptCount val="5"/>
                <c:pt idx="0">
                  <c:v>Kanagawa</c:v>
                </c:pt>
                <c:pt idx="1">
                  <c:v>Osaka</c:v>
                </c:pt>
                <c:pt idx="2">
                  <c:v>Aichi</c:v>
                </c:pt>
                <c:pt idx="3">
                  <c:v>Tokyo</c:v>
                </c:pt>
                <c:pt idx="4">
                  <c:v>Fukuoka</c:v>
                </c:pt>
              </c:strCache>
            </c:strRef>
          </c:cat>
          <c:val>
            <c:numRef>
              <c:f>'Shipments by destination'!$B$5:$B$10</c:f>
              <c:numCache>
                <c:formatCode>General</c:formatCode>
                <c:ptCount val="5"/>
                <c:pt idx="0">
                  <c:v>36</c:v>
                </c:pt>
                <c:pt idx="1">
                  <c:v>32</c:v>
                </c:pt>
                <c:pt idx="2">
                  <c:v>36</c:v>
                </c:pt>
                <c:pt idx="3">
                  <c:v>31</c:v>
                </c:pt>
                <c:pt idx="4">
                  <c:v>37</c:v>
                </c:pt>
              </c:numCache>
            </c:numRef>
          </c:val>
          <c:extLst>
            <c:ext xmlns:c16="http://schemas.microsoft.com/office/drawing/2014/chart" uri="{C3380CC4-5D6E-409C-BE32-E72D297353CC}">
              <c16:uniqueId val="{0000000A-2A7D-44E0-B168-104BC42370A4}"/>
            </c:ext>
          </c:extLst>
        </c:ser>
        <c:ser>
          <c:idx val="1"/>
          <c:order val="1"/>
          <c:tx>
            <c:strRef>
              <c:f>'Shipments by destination'!$C$3:$C$4</c:f>
              <c:strCache>
                <c:ptCount val="1"/>
                <c:pt idx="0">
                  <c:v>Express</c:v>
                </c:pt>
              </c:strCache>
            </c:strRef>
          </c:tx>
          <c:spPr>
            <a:ln w="28575" cap="rnd">
              <a:solidFill>
                <a:schemeClr val="accent2"/>
              </a:solidFill>
              <a:round/>
            </a:ln>
            <a:effectLst/>
          </c:spPr>
          <c:invertIfNegative val="0"/>
          <c:cat>
            <c:strRef>
              <c:f>'Shipments by destination'!$A$5:$A$10</c:f>
              <c:strCache>
                <c:ptCount val="5"/>
                <c:pt idx="0">
                  <c:v>Kanagawa</c:v>
                </c:pt>
                <c:pt idx="1">
                  <c:v>Osaka</c:v>
                </c:pt>
                <c:pt idx="2">
                  <c:v>Aichi</c:v>
                </c:pt>
                <c:pt idx="3">
                  <c:v>Tokyo</c:v>
                </c:pt>
                <c:pt idx="4">
                  <c:v>Fukuoka</c:v>
                </c:pt>
              </c:strCache>
            </c:strRef>
          </c:cat>
          <c:val>
            <c:numRef>
              <c:f>'Shipments by destination'!$C$5:$C$10</c:f>
              <c:numCache>
                <c:formatCode>General</c:formatCode>
                <c:ptCount val="5"/>
                <c:pt idx="0">
                  <c:v>39</c:v>
                </c:pt>
                <c:pt idx="1">
                  <c:v>39</c:v>
                </c:pt>
                <c:pt idx="2">
                  <c:v>25</c:v>
                </c:pt>
                <c:pt idx="3">
                  <c:v>26</c:v>
                </c:pt>
                <c:pt idx="4">
                  <c:v>34</c:v>
                </c:pt>
              </c:numCache>
            </c:numRef>
          </c:val>
          <c:extLst>
            <c:ext xmlns:c16="http://schemas.microsoft.com/office/drawing/2014/chart" uri="{C3380CC4-5D6E-409C-BE32-E72D297353CC}">
              <c16:uniqueId val="{0000000C-2A7D-44E0-B168-104BC42370A4}"/>
            </c:ext>
          </c:extLst>
        </c:ser>
        <c:ser>
          <c:idx val="2"/>
          <c:order val="2"/>
          <c:tx>
            <c:strRef>
              <c:f>'Shipments by destination'!$D$3:$D$4</c:f>
              <c:strCache>
                <c:ptCount val="1"/>
                <c:pt idx="0">
                  <c:v>Standard</c:v>
                </c:pt>
              </c:strCache>
            </c:strRef>
          </c:tx>
          <c:spPr>
            <a:ln w="28575" cap="rnd">
              <a:solidFill>
                <a:schemeClr val="accent3"/>
              </a:solidFill>
              <a:round/>
            </a:ln>
            <a:effectLst/>
          </c:spPr>
          <c:invertIfNegative val="0"/>
          <c:cat>
            <c:strRef>
              <c:f>'Shipments by destination'!$A$5:$A$10</c:f>
              <c:strCache>
                <c:ptCount val="5"/>
                <c:pt idx="0">
                  <c:v>Kanagawa</c:v>
                </c:pt>
                <c:pt idx="1">
                  <c:v>Osaka</c:v>
                </c:pt>
                <c:pt idx="2">
                  <c:v>Aichi</c:v>
                </c:pt>
                <c:pt idx="3">
                  <c:v>Tokyo</c:v>
                </c:pt>
                <c:pt idx="4">
                  <c:v>Fukuoka</c:v>
                </c:pt>
              </c:strCache>
            </c:strRef>
          </c:cat>
          <c:val>
            <c:numRef>
              <c:f>'Shipments by destination'!$D$5:$D$10</c:f>
              <c:numCache>
                <c:formatCode>General</c:formatCode>
                <c:ptCount val="5"/>
                <c:pt idx="0">
                  <c:v>34</c:v>
                </c:pt>
                <c:pt idx="1">
                  <c:v>31</c:v>
                </c:pt>
                <c:pt idx="2">
                  <c:v>41</c:v>
                </c:pt>
                <c:pt idx="3">
                  <c:v>37</c:v>
                </c:pt>
                <c:pt idx="4">
                  <c:v>22</c:v>
                </c:pt>
              </c:numCache>
            </c:numRef>
          </c:val>
          <c:extLst>
            <c:ext xmlns:c16="http://schemas.microsoft.com/office/drawing/2014/chart" uri="{C3380CC4-5D6E-409C-BE32-E72D297353CC}">
              <c16:uniqueId val="{0000000E-2A7D-44E0-B168-104BC42370A4}"/>
            </c:ext>
          </c:extLst>
        </c:ser>
        <c:dLbls>
          <c:showLegendKey val="0"/>
          <c:showVal val="0"/>
          <c:showCatName val="0"/>
          <c:showSerName val="0"/>
          <c:showPercent val="0"/>
          <c:showBubbleSize val="0"/>
        </c:dLbls>
        <c:gapWidth val="150"/>
        <c:axId val="864863544"/>
        <c:axId val="864865704"/>
      </c:barChart>
      <c:catAx>
        <c:axId val="864863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5704"/>
        <c:crosses val="autoZero"/>
        <c:auto val="1"/>
        <c:lblAlgn val="ctr"/>
        <c:lblOffset val="100"/>
        <c:noMultiLvlLbl val="0"/>
      </c:catAx>
      <c:valAx>
        <c:axId val="86486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354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[Japan_Logistics_Delivery(sample).xlsx]Average Delivery Days!PivotTable3</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Delivery Days'!$B$3:$B$4</c:f>
              <c:strCache>
                <c:ptCount val="1"/>
                <c:pt idx="0">
                  <c:v>Economy</c:v>
                </c:pt>
              </c:strCache>
            </c:strRef>
          </c:tx>
          <c:spPr>
            <a:solidFill>
              <a:schemeClr val="accent1"/>
            </a:solidFill>
            <a:ln>
              <a:noFill/>
            </a:ln>
            <a:effectLst/>
          </c:spPr>
          <c:invertIfNegative val="0"/>
          <c:cat>
            <c:strRef>
              <c:f>'Average Delivery Days'!$A$5:$A$9</c:f>
              <c:strCache>
                <c:ptCount val="4"/>
                <c:pt idx="0">
                  <c:v>Sagawa Express</c:v>
                </c:pt>
                <c:pt idx="1">
                  <c:v>Yamato Transport</c:v>
                </c:pt>
                <c:pt idx="2">
                  <c:v>Nippon Express</c:v>
                </c:pt>
                <c:pt idx="3">
                  <c:v>Japan Post</c:v>
                </c:pt>
              </c:strCache>
            </c:strRef>
          </c:cat>
          <c:val>
            <c:numRef>
              <c:f>'Average Delivery Days'!$B$5:$B$9</c:f>
              <c:numCache>
                <c:formatCode>0.000</c:formatCode>
                <c:ptCount val="4"/>
                <c:pt idx="0">
                  <c:v>8.0277777777777786</c:v>
                </c:pt>
                <c:pt idx="1">
                  <c:v>8.0217391304347831</c:v>
                </c:pt>
                <c:pt idx="2">
                  <c:v>7.9807692307692308</c:v>
                </c:pt>
                <c:pt idx="3">
                  <c:v>7.1842105263157894</c:v>
                </c:pt>
              </c:numCache>
            </c:numRef>
          </c:val>
          <c:extLst>
            <c:ext xmlns:c16="http://schemas.microsoft.com/office/drawing/2014/chart" uri="{C3380CC4-5D6E-409C-BE32-E72D297353CC}">
              <c16:uniqueId val="{00000000-80FA-453D-815C-37DB0AE2908E}"/>
            </c:ext>
          </c:extLst>
        </c:ser>
        <c:ser>
          <c:idx val="1"/>
          <c:order val="1"/>
          <c:tx>
            <c:strRef>
              <c:f>'Average Delivery Days'!$C$3:$C$4</c:f>
              <c:strCache>
                <c:ptCount val="1"/>
                <c:pt idx="0">
                  <c:v>Express</c:v>
                </c:pt>
              </c:strCache>
            </c:strRef>
          </c:tx>
          <c:spPr>
            <a:solidFill>
              <a:schemeClr val="accent2"/>
            </a:solidFill>
            <a:ln>
              <a:noFill/>
            </a:ln>
            <a:effectLst/>
          </c:spPr>
          <c:invertIfNegative val="0"/>
          <c:cat>
            <c:strRef>
              <c:f>'Average Delivery Days'!$A$5:$A$9</c:f>
              <c:strCache>
                <c:ptCount val="4"/>
                <c:pt idx="0">
                  <c:v>Sagawa Express</c:v>
                </c:pt>
                <c:pt idx="1">
                  <c:v>Yamato Transport</c:v>
                </c:pt>
                <c:pt idx="2">
                  <c:v>Nippon Express</c:v>
                </c:pt>
                <c:pt idx="3">
                  <c:v>Japan Post</c:v>
                </c:pt>
              </c:strCache>
            </c:strRef>
          </c:cat>
          <c:val>
            <c:numRef>
              <c:f>'Average Delivery Days'!$C$5:$C$9</c:f>
              <c:numCache>
                <c:formatCode>0.000</c:formatCode>
                <c:ptCount val="4"/>
                <c:pt idx="0">
                  <c:v>2.5</c:v>
                </c:pt>
                <c:pt idx="1">
                  <c:v>2.3076923076923075</c:v>
                </c:pt>
                <c:pt idx="2">
                  <c:v>2.3333333333333335</c:v>
                </c:pt>
                <c:pt idx="3">
                  <c:v>2.3055555555555554</c:v>
                </c:pt>
              </c:numCache>
            </c:numRef>
          </c:val>
          <c:extLst>
            <c:ext xmlns:c16="http://schemas.microsoft.com/office/drawing/2014/chart" uri="{C3380CC4-5D6E-409C-BE32-E72D297353CC}">
              <c16:uniqueId val="{00000001-80FA-453D-815C-37DB0AE2908E}"/>
            </c:ext>
          </c:extLst>
        </c:ser>
        <c:ser>
          <c:idx val="2"/>
          <c:order val="2"/>
          <c:tx>
            <c:strRef>
              <c:f>'Average Delivery Days'!$D$3:$D$4</c:f>
              <c:strCache>
                <c:ptCount val="1"/>
                <c:pt idx="0">
                  <c:v>Standard</c:v>
                </c:pt>
              </c:strCache>
            </c:strRef>
          </c:tx>
          <c:spPr>
            <a:solidFill>
              <a:schemeClr val="accent3"/>
            </a:solidFill>
            <a:ln>
              <a:noFill/>
            </a:ln>
            <a:effectLst/>
          </c:spPr>
          <c:invertIfNegative val="0"/>
          <c:cat>
            <c:strRef>
              <c:f>'Average Delivery Days'!$A$5:$A$9</c:f>
              <c:strCache>
                <c:ptCount val="4"/>
                <c:pt idx="0">
                  <c:v>Sagawa Express</c:v>
                </c:pt>
                <c:pt idx="1">
                  <c:v>Yamato Transport</c:v>
                </c:pt>
                <c:pt idx="2">
                  <c:v>Nippon Express</c:v>
                </c:pt>
                <c:pt idx="3">
                  <c:v>Japan Post</c:v>
                </c:pt>
              </c:strCache>
            </c:strRef>
          </c:cat>
          <c:val>
            <c:numRef>
              <c:f>'Average Delivery Days'!$D$5:$D$9</c:f>
              <c:numCache>
                <c:formatCode>0.000</c:formatCode>
                <c:ptCount val="4"/>
                <c:pt idx="0">
                  <c:v>4.8139534883720927</c:v>
                </c:pt>
                <c:pt idx="1">
                  <c:v>4.6956521739130439</c:v>
                </c:pt>
                <c:pt idx="2">
                  <c:v>4.2</c:v>
                </c:pt>
                <c:pt idx="3">
                  <c:v>4.4390243902439028</c:v>
                </c:pt>
              </c:numCache>
            </c:numRef>
          </c:val>
          <c:extLst>
            <c:ext xmlns:c16="http://schemas.microsoft.com/office/drawing/2014/chart" uri="{C3380CC4-5D6E-409C-BE32-E72D297353CC}">
              <c16:uniqueId val="{00000002-80FA-453D-815C-37DB0AE2908E}"/>
            </c:ext>
          </c:extLst>
        </c:ser>
        <c:dLbls>
          <c:showLegendKey val="0"/>
          <c:showVal val="0"/>
          <c:showCatName val="0"/>
          <c:showSerName val="0"/>
          <c:showPercent val="0"/>
          <c:showBubbleSize val="0"/>
        </c:dLbls>
        <c:gapWidth val="150"/>
        <c:axId val="864863544"/>
        <c:axId val="864865704"/>
      </c:barChart>
      <c:catAx>
        <c:axId val="864863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5704"/>
        <c:crosses val="autoZero"/>
        <c:auto val="1"/>
        <c:lblAlgn val="ctr"/>
        <c:lblOffset val="100"/>
        <c:noMultiLvlLbl val="0"/>
      </c:catAx>
      <c:valAx>
        <c:axId val="864865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63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[Japan_Logistics_Delivery(sample).xlsx]Delivery Status by Region!PivotTable4</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Status by Region'!$B$3:$B$4</c:f>
              <c:strCache>
                <c:ptCount val="1"/>
                <c:pt idx="0">
                  <c:v>Late</c:v>
                </c:pt>
              </c:strCache>
            </c:strRef>
          </c:tx>
          <c:spPr>
            <a:solidFill>
              <a:schemeClr val="accent1"/>
            </a:solidFill>
            <a:ln>
              <a:noFill/>
            </a:ln>
            <a:effectLst/>
          </c:spPr>
          <c:invertIfNegative val="0"/>
          <c:cat>
            <c:strRef>
              <c:f>'Delivery Status by Region'!$A$5:$A$10</c:f>
              <c:strCache>
                <c:ptCount val="5"/>
                <c:pt idx="0">
                  <c:v>Aichi</c:v>
                </c:pt>
                <c:pt idx="1">
                  <c:v>Fukuoka</c:v>
                </c:pt>
                <c:pt idx="2">
                  <c:v>Kanagawa</c:v>
                </c:pt>
                <c:pt idx="3">
                  <c:v>Osaka</c:v>
                </c:pt>
                <c:pt idx="4">
                  <c:v>Tokyo</c:v>
                </c:pt>
              </c:strCache>
            </c:strRef>
          </c:cat>
          <c:val>
            <c:numRef>
              <c:f>'Delivery Status by Region'!$B$5:$B$10</c:f>
              <c:numCache>
                <c:formatCode>General</c:formatCode>
                <c:ptCount val="5"/>
                <c:pt idx="0">
                  <c:v>46</c:v>
                </c:pt>
                <c:pt idx="1">
                  <c:v>41</c:v>
                </c:pt>
                <c:pt idx="2">
                  <c:v>40</c:v>
                </c:pt>
                <c:pt idx="3">
                  <c:v>33</c:v>
                </c:pt>
                <c:pt idx="4">
                  <c:v>32</c:v>
                </c:pt>
              </c:numCache>
            </c:numRef>
          </c:val>
          <c:extLst>
            <c:ext xmlns:c16="http://schemas.microsoft.com/office/drawing/2014/chart" uri="{C3380CC4-5D6E-409C-BE32-E72D297353CC}">
              <c16:uniqueId val="{00000000-2F2A-490A-ACFF-C2BEC128BDFD}"/>
            </c:ext>
          </c:extLst>
        </c:ser>
        <c:ser>
          <c:idx val="1"/>
          <c:order val="1"/>
          <c:tx>
            <c:strRef>
              <c:f>'Delivery Status by Region'!$C$3:$C$4</c:f>
              <c:strCache>
                <c:ptCount val="1"/>
                <c:pt idx="0">
                  <c:v>On Time</c:v>
                </c:pt>
              </c:strCache>
            </c:strRef>
          </c:tx>
          <c:spPr>
            <a:solidFill>
              <a:schemeClr val="accent2"/>
            </a:solidFill>
            <a:ln>
              <a:noFill/>
            </a:ln>
            <a:effectLst/>
          </c:spPr>
          <c:invertIfNegative val="0"/>
          <c:cat>
            <c:strRef>
              <c:f>'Delivery Status by Region'!$A$5:$A$10</c:f>
              <c:strCache>
                <c:ptCount val="5"/>
                <c:pt idx="0">
                  <c:v>Aichi</c:v>
                </c:pt>
                <c:pt idx="1">
                  <c:v>Fukuoka</c:v>
                </c:pt>
                <c:pt idx="2">
                  <c:v>Kanagawa</c:v>
                </c:pt>
                <c:pt idx="3">
                  <c:v>Osaka</c:v>
                </c:pt>
                <c:pt idx="4">
                  <c:v>Tokyo</c:v>
                </c:pt>
              </c:strCache>
            </c:strRef>
          </c:cat>
          <c:val>
            <c:numRef>
              <c:f>'Delivery Status by Region'!$C$5:$C$10</c:f>
              <c:numCache>
                <c:formatCode>General</c:formatCode>
                <c:ptCount val="5"/>
                <c:pt idx="0">
                  <c:v>56</c:v>
                </c:pt>
                <c:pt idx="1">
                  <c:v>52</c:v>
                </c:pt>
                <c:pt idx="2">
                  <c:v>69</c:v>
                </c:pt>
                <c:pt idx="3">
                  <c:v>69</c:v>
                </c:pt>
                <c:pt idx="4">
                  <c:v>62</c:v>
                </c:pt>
              </c:numCache>
            </c:numRef>
          </c:val>
          <c:extLst>
            <c:ext xmlns:c16="http://schemas.microsoft.com/office/drawing/2014/chart" uri="{C3380CC4-5D6E-409C-BE32-E72D297353CC}">
              <c16:uniqueId val="{00000001-2F2A-490A-ACFF-C2BEC128BDFD}"/>
            </c:ext>
          </c:extLst>
        </c:ser>
        <c:dLbls>
          <c:showLegendKey val="0"/>
          <c:showVal val="0"/>
          <c:showCatName val="0"/>
          <c:showSerName val="0"/>
          <c:showPercent val="0"/>
          <c:showBubbleSize val="0"/>
        </c:dLbls>
        <c:gapWidth val="150"/>
        <c:axId val="959217272"/>
        <c:axId val="959217632"/>
      </c:barChart>
      <c:catAx>
        <c:axId val="95921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7632"/>
        <c:crosses val="autoZero"/>
        <c:auto val="1"/>
        <c:lblAlgn val="ctr"/>
        <c:lblOffset val="100"/>
        <c:noMultiLvlLbl val="0"/>
      </c:catAx>
      <c:valAx>
        <c:axId val="9592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1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[Japan_Logistics_Delivery(sample).xlsx]Shipping Cost &amp; Revenue!PivotTable5</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Cost &amp; Revenue'!$B$3</c:f>
              <c:strCache>
                <c:ptCount val="1"/>
                <c:pt idx="0">
                  <c:v>Sum of Shipping Cost</c:v>
                </c:pt>
              </c:strCache>
            </c:strRef>
          </c:tx>
          <c:spPr>
            <a:solidFill>
              <a:schemeClr val="accent1"/>
            </a:solidFill>
            <a:ln>
              <a:noFill/>
            </a:ln>
            <a:effectLst/>
          </c:spPr>
          <c:invertIfNegative val="0"/>
          <c:cat>
            <c:strRef>
              <c:f>'Shipping Cost &amp; Revenue'!$A$4:$A$8</c:f>
              <c:strCache>
                <c:ptCount val="4"/>
                <c:pt idx="0">
                  <c:v>Yamato Transport</c:v>
                </c:pt>
                <c:pt idx="1">
                  <c:v>Nippon Express</c:v>
                </c:pt>
                <c:pt idx="2">
                  <c:v>Japan Post</c:v>
                </c:pt>
                <c:pt idx="3">
                  <c:v>Sagawa Express</c:v>
                </c:pt>
              </c:strCache>
            </c:strRef>
          </c:cat>
          <c:val>
            <c:numRef>
              <c:f>'Shipping Cost &amp; Revenue'!$B$4:$B$8</c:f>
              <c:numCache>
                <c:formatCode>#,##0.00</c:formatCode>
                <c:ptCount val="4"/>
                <c:pt idx="0">
                  <c:v>825959.39999999979</c:v>
                </c:pt>
                <c:pt idx="1">
                  <c:v>680253.59999999963</c:v>
                </c:pt>
                <c:pt idx="2">
                  <c:v>639871.90000000026</c:v>
                </c:pt>
                <c:pt idx="3">
                  <c:v>629365.69999999972</c:v>
                </c:pt>
              </c:numCache>
            </c:numRef>
          </c:val>
          <c:extLst>
            <c:ext xmlns:c16="http://schemas.microsoft.com/office/drawing/2014/chart" uri="{C3380CC4-5D6E-409C-BE32-E72D297353CC}">
              <c16:uniqueId val="{00000000-ECB7-491A-8ACF-CEB0ED7B956A}"/>
            </c:ext>
          </c:extLst>
        </c:ser>
        <c:ser>
          <c:idx val="1"/>
          <c:order val="1"/>
          <c:tx>
            <c:strRef>
              <c:f>'Shipping Cost &amp; Revenue'!$C$3</c:f>
              <c:strCache>
                <c:ptCount val="1"/>
                <c:pt idx="0">
                  <c:v>Sum of Revenue</c:v>
                </c:pt>
              </c:strCache>
            </c:strRef>
          </c:tx>
          <c:spPr>
            <a:solidFill>
              <a:schemeClr val="accent2"/>
            </a:solidFill>
            <a:ln>
              <a:noFill/>
            </a:ln>
            <a:effectLst/>
          </c:spPr>
          <c:invertIfNegative val="0"/>
          <c:cat>
            <c:strRef>
              <c:f>'Shipping Cost &amp; Revenue'!$A$4:$A$8</c:f>
              <c:strCache>
                <c:ptCount val="4"/>
                <c:pt idx="0">
                  <c:v>Yamato Transport</c:v>
                </c:pt>
                <c:pt idx="1">
                  <c:v>Nippon Express</c:v>
                </c:pt>
                <c:pt idx="2">
                  <c:v>Japan Post</c:v>
                </c:pt>
                <c:pt idx="3">
                  <c:v>Sagawa Express</c:v>
                </c:pt>
              </c:strCache>
            </c:strRef>
          </c:cat>
          <c:val>
            <c:numRef>
              <c:f>'Shipping Cost &amp; Revenue'!$C$4:$C$8</c:f>
              <c:numCache>
                <c:formatCode>#,##0.00</c:formatCode>
                <c:ptCount val="4"/>
                <c:pt idx="0">
                  <c:v>1376312.1499999997</c:v>
                </c:pt>
                <c:pt idx="1">
                  <c:v>1148666.3899999999</c:v>
                </c:pt>
                <c:pt idx="2">
                  <c:v>1065317.4599999995</c:v>
                </c:pt>
                <c:pt idx="3">
                  <c:v>1041206.9199999996</c:v>
                </c:pt>
              </c:numCache>
            </c:numRef>
          </c:val>
          <c:extLst>
            <c:ext xmlns:c16="http://schemas.microsoft.com/office/drawing/2014/chart" uri="{C3380CC4-5D6E-409C-BE32-E72D297353CC}">
              <c16:uniqueId val="{00000001-ECB7-491A-8ACF-CEB0ED7B956A}"/>
            </c:ext>
          </c:extLst>
        </c:ser>
        <c:dLbls>
          <c:showLegendKey val="0"/>
          <c:showVal val="0"/>
          <c:showCatName val="0"/>
          <c:showSerName val="0"/>
          <c:showPercent val="0"/>
          <c:showBubbleSize val="0"/>
        </c:dLbls>
        <c:gapWidth val="150"/>
        <c:axId val="861878016"/>
        <c:axId val="861878376"/>
      </c:barChart>
      <c:catAx>
        <c:axId val="8618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78376"/>
        <c:crosses val="autoZero"/>
        <c:auto val="1"/>
        <c:lblAlgn val="ctr"/>
        <c:lblOffset val="100"/>
        <c:noMultiLvlLbl val="0"/>
      </c:catAx>
      <c:valAx>
        <c:axId val="861878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7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[Japan_Logistics_Delivery(sample).xlsx]Average Customer Rating!PivotTable6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Customer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Customer Rating'!$B$3:$B$4</c:f>
              <c:strCache>
                <c:ptCount val="1"/>
                <c:pt idx="0">
                  <c:v>Books</c:v>
                </c:pt>
              </c:strCache>
            </c:strRef>
          </c:tx>
          <c:spPr>
            <a:solidFill>
              <a:schemeClr val="accent1"/>
            </a:solidFill>
            <a:ln>
              <a:noFill/>
            </a:ln>
            <a:effectLst/>
          </c:spPr>
          <c:invertIfNegative val="0"/>
          <c:cat>
            <c:strRef>
              <c:f>'Average Customer Rating'!$A$5:$A$8</c:f>
              <c:strCache>
                <c:ptCount val="3"/>
                <c:pt idx="0">
                  <c:v>Economy</c:v>
                </c:pt>
                <c:pt idx="1">
                  <c:v>Express</c:v>
                </c:pt>
                <c:pt idx="2">
                  <c:v>Standard</c:v>
                </c:pt>
              </c:strCache>
            </c:strRef>
          </c:cat>
          <c:val>
            <c:numRef>
              <c:f>'Average Customer Rating'!$B$5:$B$8</c:f>
              <c:numCache>
                <c:formatCode>0.000</c:formatCode>
                <c:ptCount val="3"/>
                <c:pt idx="0">
                  <c:v>4.741935483870968</c:v>
                </c:pt>
                <c:pt idx="1">
                  <c:v>4.7241379310344831</c:v>
                </c:pt>
                <c:pt idx="2">
                  <c:v>4.5769230769230766</c:v>
                </c:pt>
              </c:numCache>
            </c:numRef>
          </c:val>
          <c:extLst>
            <c:ext xmlns:c16="http://schemas.microsoft.com/office/drawing/2014/chart" uri="{C3380CC4-5D6E-409C-BE32-E72D297353CC}">
              <c16:uniqueId val="{00000000-5827-4607-9D9E-EF7F974A56BC}"/>
            </c:ext>
          </c:extLst>
        </c:ser>
        <c:ser>
          <c:idx val="1"/>
          <c:order val="1"/>
          <c:tx>
            <c:strRef>
              <c:f>'Average Customer Rating'!$C$3:$C$4</c:f>
              <c:strCache>
                <c:ptCount val="1"/>
                <c:pt idx="0">
                  <c:v>Clothing</c:v>
                </c:pt>
              </c:strCache>
            </c:strRef>
          </c:tx>
          <c:spPr>
            <a:solidFill>
              <a:schemeClr val="accent2"/>
            </a:solidFill>
            <a:ln>
              <a:noFill/>
            </a:ln>
            <a:effectLst/>
          </c:spPr>
          <c:invertIfNegative val="0"/>
          <c:cat>
            <c:strRef>
              <c:f>'Average Customer Rating'!$A$5:$A$8</c:f>
              <c:strCache>
                <c:ptCount val="3"/>
                <c:pt idx="0">
                  <c:v>Economy</c:v>
                </c:pt>
                <c:pt idx="1">
                  <c:v>Express</c:v>
                </c:pt>
                <c:pt idx="2">
                  <c:v>Standard</c:v>
                </c:pt>
              </c:strCache>
            </c:strRef>
          </c:cat>
          <c:val>
            <c:numRef>
              <c:f>'Average Customer Rating'!$C$5:$C$8</c:f>
              <c:numCache>
                <c:formatCode>0.000</c:formatCode>
                <c:ptCount val="3"/>
                <c:pt idx="0">
                  <c:v>4.6190476190476186</c:v>
                </c:pt>
                <c:pt idx="1">
                  <c:v>4.5714285714285712</c:v>
                </c:pt>
                <c:pt idx="2">
                  <c:v>4.7407407407407405</c:v>
                </c:pt>
              </c:numCache>
            </c:numRef>
          </c:val>
          <c:extLst>
            <c:ext xmlns:c16="http://schemas.microsoft.com/office/drawing/2014/chart" uri="{C3380CC4-5D6E-409C-BE32-E72D297353CC}">
              <c16:uniqueId val="{00000001-5827-4607-9D9E-EF7F974A56BC}"/>
            </c:ext>
          </c:extLst>
        </c:ser>
        <c:ser>
          <c:idx val="2"/>
          <c:order val="2"/>
          <c:tx>
            <c:strRef>
              <c:f>'Average Customer Rating'!$D$3:$D$4</c:f>
              <c:strCache>
                <c:ptCount val="1"/>
                <c:pt idx="0">
                  <c:v>Electronics</c:v>
                </c:pt>
              </c:strCache>
            </c:strRef>
          </c:tx>
          <c:spPr>
            <a:solidFill>
              <a:schemeClr val="accent3"/>
            </a:solidFill>
            <a:ln>
              <a:noFill/>
            </a:ln>
            <a:effectLst/>
          </c:spPr>
          <c:invertIfNegative val="0"/>
          <c:cat>
            <c:strRef>
              <c:f>'Average Customer Rating'!$A$5:$A$8</c:f>
              <c:strCache>
                <c:ptCount val="3"/>
                <c:pt idx="0">
                  <c:v>Economy</c:v>
                </c:pt>
                <c:pt idx="1">
                  <c:v>Express</c:v>
                </c:pt>
                <c:pt idx="2">
                  <c:v>Standard</c:v>
                </c:pt>
              </c:strCache>
            </c:strRef>
          </c:cat>
          <c:val>
            <c:numRef>
              <c:f>'Average Customer Rating'!$D$5:$D$8</c:f>
              <c:numCache>
                <c:formatCode>0.000</c:formatCode>
                <c:ptCount val="3"/>
                <c:pt idx="0">
                  <c:v>4.67741935483871</c:v>
                </c:pt>
                <c:pt idx="1">
                  <c:v>4.6857142857142859</c:v>
                </c:pt>
                <c:pt idx="2">
                  <c:v>4.666666666666667</c:v>
                </c:pt>
              </c:numCache>
            </c:numRef>
          </c:val>
          <c:extLst>
            <c:ext xmlns:c16="http://schemas.microsoft.com/office/drawing/2014/chart" uri="{C3380CC4-5D6E-409C-BE32-E72D297353CC}">
              <c16:uniqueId val="{00000002-5827-4607-9D9E-EF7F974A56BC}"/>
            </c:ext>
          </c:extLst>
        </c:ser>
        <c:ser>
          <c:idx val="3"/>
          <c:order val="3"/>
          <c:tx>
            <c:strRef>
              <c:f>'Average Customer Rating'!$E$3:$E$4</c:f>
              <c:strCache>
                <c:ptCount val="1"/>
                <c:pt idx="0">
                  <c:v>Healthcare</c:v>
                </c:pt>
              </c:strCache>
            </c:strRef>
          </c:tx>
          <c:spPr>
            <a:solidFill>
              <a:schemeClr val="accent4"/>
            </a:solidFill>
            <a:ln>
              <a:noFill/>
            </a:ln>
            <a:effectLst/>
          </c:spPr>
          <c:invertIfNegative val="0"/>
          <c:cat>
            <c:strRef>
              <c:f>'Average Customer Rating'!$A$5:$A$8</c:f>
              <c:strCache>
                <c:ptCount val="3"/>
                <c:pt idx="0">
                  <c:v>Economy</c:v>
                </c:pt>
                <c:pt idx="1">
                  <c:v>Express</c:v>
                </c:pt>
                <c:pt idx="2">
                  <c:v>Standard</c:v>
                </c:pt>
              </c:strCache>
            </c:strRef>
          </c:cat>
          <c:val>
            <c:numRef>
              <c:f>'Average Customer Rating'!$E$5:$E$8</c:f>
              <c:numCache>
                <c:formatCode>0.000</c:formatCode>
                <c:ptCount val="3"/>
                <c:pt idx="0">
                  <c:v>4.666666666666667</c:v>
                </c:pt>
                <c:pt idx="1">
                  <c:v>4.5999999999999996</c:v>
                </c:pt>
                <c:pt idx="2">
                  <c:v>4.65625</c:v>
                </c:pt>
              </c:numCache>
            </c:numRef>
          </c:val>
          <c:extLst>
            <c:ext xmlns:c16="http://schemas.microsoft.com/office/drawing/2014/chart" uri="{C3380CC4-5D6E-409C-BE32-E72D297353CC}">
              <c16:uniqueId val="{00000000-9309-4B48-9996-830007F72EF3}"/>
            </c:ext>
          </c:extLst>
        </c:ser>
        <c:ser>
          <c:idx val="4"/>
          <c:order val="4"/>
          <c:tx>
            <c:strRef>
              <c:f>'Average Customer Rating'!$F$3:$F$4</c:f>
              <c:strCache>
                <c:ptCount val="1"/>
                <c:pt idx="0">
                  <c:v>Home Goods</c:v>
                </c:pt>
              </c:strCache>
            </c:strRef>
          </c:tx>
          <c:spPr>
            <a:solidFill>
              <a:schemeClr val="accent5"/>
            </a:solidFill>
            <a:ln>
              <a:noFill/>
            </a:ln>
            <a:effectLst/>
          </c:spPr>
          <c:invertIfNegative val="0"/>
          <c:cat>
            <c:strRef>
              <c:f>'Average Customer Rating'!$A$5:$A$8</c:f>
              <c:strCache>
                <c:ptCount val="3"/>
                <c:pt idx="0">
                  <c:v>Economy</c:v>
                </c:pt>
                <c:pt idx="1">
                  <c:v>Express</c:v>
                </c:pt>
                <c:pt idx="2">
                  <c:v>Standard</c:v>
                </c:pt>
              </c:strCache>
            </c:strRef>
          </c:cat>
          <c:val>
            <c:numRef>
              <c:f>'Average Customer Rating'!$F$5:$F$8</c:f>
              <c:numCache>
                <c:formatCode>0.000</c:formatCode>
                <c:ptCount val="3"/>
                <c:pt idx="0">
                  <c:v>4.4473684210526319</c:v>
                </c:pt>
                <c:pt idx="1">
                  <c:v>4.617647058823529</c:v>
                </c:pt>
                <c:pt idx="2">
                  <c:v>4.628571428571429</c:v>
                </c:pt>
              </c:numCache>
            </c:numRef>
          </c:val>
          <c:extLst>
            <c:ext xmlns:c16="http://schemas.microsoft.com/office/drawing/2014/chart" uri="{C3380CC4-5D6E-409C-BE32-E72D297353CC}">
              <c16:uniqueId val="{00000004-9309-4B48-9996-830007F72EF3}"/>
            </c:ext>
          </c:extLst>
        </c:ser>
        <c:dLbls>
          <c:showLegendKey val="0"/>
          <c:showVal val="0"/>
          <c:showCatName val="0"/>
          <c:showSerName val="0"/>
          <c:showPercent val="0"/>
          <c:showBubbleSize val="0"/>
        </c:dLbls>
        <c:gapWidth val="150"/>
        <c:axId val="1143896000"/>
        <c:axId val="1143897440"/>
      </c:barChart>
      <c:catAx>
        <c:axId val="114389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97440"/>
        <c:crosses val="autoZero"/>
        <c:auto val="1"/>
        <c:lblAlgn val="ctr"/>
        <c:lblOffset val="100"/>
        <c:noMultiLvlLbl val="0"/>
      </c:catAx>
      <c:valAx>
        <c:axId val="11438974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9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3810</xdr:colOff>
      <xdr:row>1</xdr:row>
      <xdr:rowOff>140970</xdr:rowOff>
    </xdr:from>
    <xdr:to>
      <xdr:col>12</xdr:col>
      <xdr:colOff>354330</xdr:colOff>
      <xdr:row>17</xdr:row>
      <xdr:rowOff>80010</xdr:rowOff>
    </xdr:to>
    <xdr:graphicFrame macro="">
      <xdr:nvGraphicFramePr>
        <xdr:cNvPr id="3" name="Chart 2">
          <a:extLst>
            <a:ext uri="{FF2B5EF4-FFF2-40B4-BE49-F238E27FC236}">
              <a16:creationId xmlns:a16="http://schemas.microsoft.com/office/drawing/2014/main" id="{3256B7BA-AB57-83AE-57E0-3B34FFB64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87630</xdr:colOff>
      <xdr:row>2</xdr:row>
      <xdr:rowOff>3810</xdr:rowOff>
    </xdr:from>
    <xdr:to>
      <xdr:col>12</xdr:col>
      <xdr:colOff>636270</xdr:colOff>
      <xdr:row>17</xdr:row>
      <xdr:rowOff>118110</xdr:rowOff>
    </xdr:to>
    <xdr:graphicFrame macro="">
      <xdr:nvGraphicFramePr>
        <xdr:cNvPr id="3" name="Chart 2">
          <a:extLst>
            <a:ext uri="{FF2B5EF4-FFF2-40B4-BE49-F238E27FC236}">
              <a16:creationId xmlns:a16="http://schemas.microsoft.com/office/drawing/2014/main" id="{418694B2-801A-E4B7-EB8C-0DD5E8757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415290</xdr:colOff>
      <xdr:row>2</xdr:row>
      <xdr:rowOff>41910</xdr:rowOff>
    </xdr:from>
    <xdr:to>
      <xdr:col>11</xdr:col>
      <xdr:colOff>293370</xdr:colOff>
      <xdr:row>17</xdr:row>
      <xdr:rowOff>156210</xdr:rowOff>
    </xdr:to>
    <xdr:graphicFrame macro="">
      <xdr:nvGraphicFramePr>
        <xdr:cNvPr id="3" name="Chart 2">
          <a:extLst>
            <a:ext uri="{FF2B5EF4-FFF2-40B4-BE49-F238E27FC236}">
              <a16:creationId xmlns:a16="http://schemas.microsoft.com/office/drawing/2014/main" id="{00C0FD84-403A-F7D9-CD20-29E1B3F52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xdr:colOff>
      <xdr:row>1</xdr:row>
      <xdr:rowOff>163830</xdr:rowOff>
    </xdr:from>
    <xdr:to>
      <xdr:col>10</xdr:col>
      <xdr:colOff>575310</xdr:colOff>
      <xdr:row>17</xdr:row>
      <xdr:rowOff>102870</xdr:rowOff>
    </xdr:to>
    <xdr:graphicFrame macro="">
      <xdr:nvGraphicFramePr>
        <xdr:cNvPr id="3" name="Chart 2">
          <a:extLst>
            <a:ext uri="{FF2B5EF4-FFF2-40B4-BE49-F238E27FC236}">
              <a16:creationId xmlns:a16="http://schemas.microsoft.com/office/drawing/2014/main" id="{284B42A1-DE7E-BD7B-2A69-8AADA233C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285750</xdr:colOff>
      <xdr:row>1</xdr:row>
      <xdr:rowOff>148590</xdr:rowOff>
    </xdr:from>
    <xdr:to>
      <xdr:col>11</xdr:col>
      <xdr:colOff>45720</xdr:colOff>
      <xdr:row>17</xdr:row>
      <xdr:rowOff>0</xdr:rowOff>
    </xdr:to>
    <xdr:graphicFrame macro="">
      <xdr:nvGraphicFramePr>
        <xdr:cNvPr id="3" name="Chart 2">
          <a:extLst>
            <a:ext uri="{FF2B5EF4-FFF2-40B4-BE49-F238E27FC236}">
              <a16:creationId xmlns:a16="http://schemas.microsoft.com/office/drawing/2014/main" id="{1E4BDA27-81ED-AF4C-8A73-A1E76F611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675190</xdr:colOff>
      <xdr:row>1</xdr:row>
      <xdr:rowOff>30479</xdr:rowOff>
    </xdr:from>
    <xdr:to>
      <xdr:col>27</xdr:col>
      <xdr:colOff>434052</xdr:colOff>
      <xdr:row>8</xdr:row>
      <xdr:rowOff>168798</xdr:rowOff>
    </xdr:to>
    <xdr:sp macro="" textlink="">
      <xdr:nvSpPr>
        <xdr:cNvPr id="2" name="Rectangle 1">
          <a:extLst>
            <a:ext uri="{FF2B5EF4-FFF2-40B4-BE49-F238E27FC236}">
              <a16:creationId xmlns:a16="http://schemas.microsoft.com/office/drawing/2014/main" id="{F18A2BC5-1DC0-15AB-F46A-BFE573467AAB}"/>
            </a:ext>
          </a:extLst>
        </xdr:cNvPr>
        <xdr:cNvSpPr/>
      </xdr:nvSpPr>
      <xdr:spPr>
        <a:xfrm>
          <a:off x="4111424" y="211333"/>
          <a:ext cx="14878293" cy="14043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4400" b="1"/>
            <a:t>   </a:t>
          </a:r>
          <a:r>
            <a:rPr lang="en-GB" sz="9600" b="1"/>
            <a:t>JAPAN</a:t>
          </a:r>
          <a:r>
            <a:rPr lang="en-GB" sz="9600" b="1" baseline="0"/>
            <a:t> LOGISTICS DELIVERY</a:t>
          </a:r>
          <a:endParaRPr lang="en-GB" sz="9600" b="1"/>
        </a:p>
      </xdr:txBody>
    </xdr:sp>
    <xdr:clientData/>
  </xdr:twoCellAnchor>
  <xdr:twoCellAnchor>
    <xdr:from>
      <xdr:col>3</xdr:col>
      <xdr:colOff>673720</xdr:colOff>
      <xdr:row>19</xdr:row>
      <xdr:rowOff>11614</xdr:rowOff>
    </xdr:from>
    <xdr:to>
      <xdr:col>9</xdr:col>
      <xdr:colOff>654844</xdr:colOff>
      <xdr:row>34</xdr:row>
      <xdr:rowOff>178592</xdr:rowOff>
    </xdr:to>
    <xdr:graphicFrame macro="">
      <xdr:nvGraphicFramePr>
        <xdr:cNvPr id="3" name="Chart 2">
          <a:extLst>
            <a:ext uri="{FF2B5EF4-FFF2-40B4-BE49-F238E27FC236}">
              <a16:creationId xmlns:a16="http://schemas.microsoft.com/office/drawing/2014/main" id="{00EE706B-6FC0-4F3B-8019-BDD5C3CD6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11616</xdr:colOff>
      <xdr:row>19</xdr:row>
      <xdr:rowOff>0</xdr:rowOff>
    </xdr:from>
    <xdr:to>
      <xdr:col>18</xdr:col>
      <xdr:colOff>0</xdr:colOff>
      <xdr:row>35</xdr:row>
      <xdr:rowOff>34849</xdr:rowOff>
    </xdr:to>
    <xdr:graphicFrame macro="">
      <xdr:nvGraphicFramePr>
        <xdr:cNvPr id="5" name="Chart 4">
          <a:extLst>
            <a:ext uri="{FF2B5EF4-FFF2-40B4-BE49-F238E27FC236}">
              <a16:creationId xmlns:a16="http://schemas.microsoft.com/office/drawing/2014/main" id="{A0924BA5-D3D5-4FEC-9311-3FF8E7601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11618</xdr:colOff>
      <xdr:row>19</xdr:row>
      <xdr:rowOff>-1</xdr:rowOff>
    </xdr:from>
    <xdr:to>
      <xdr:col>26</xdr:col>
      <xdr:colOff>11616</xdr:colOff>
      <xdr:row>35</xdr:row>
      <xdr:rowOff>34848</xdr:rowOff>
    </xdr:to>
    <xdr:graphicFrame macro="">
      <xdr:nvGraphicFramePr>
        <xdr:cNvPr id="7" name="Chart 6">
          <a:extLst>
            <a:ext uri="{FF2B5EF4-FFF2-40B4-BE49-F238E27FC236}">
              <a16:creationId xmlns:a16="http://schemas.microsoft.com/office/drawing/2014/main" id="{69C7D429-45AC-4E85-88AF-BF996CDA6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1898</xdr:colOff>
      <xdr:row>43</xdr:row>
      <xdr:rowOff>2830</xdr:rowOff>
    </xdr:from>
    <xdr:to>
      <xdr:col>9</xdr:col>
      <xdr:colOff>669727</xdr:colOff>
      <xdr:row>59</xdr:row>
      <xdr:rowOff>0</xdr:rowOff>
    </xdr:to>
    <xdr:graphicFrame macro="">
      <xdr:nvGraphicFramePr>
        <xdr:cNvPr id="9" name="Chart 8">
          <a:extLst>
            <a:ext uri="{FF2B5EF4-FFF2-40B4-BE49-F238E27FC236}">
              <a16:creationId xmlns:a16="http://schemas.microsoft.com/office/drawing/2014/main" id="{94D27935-44F5-433B-BEA0-BEEAD4C4A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17681</xdr:colOff>
      <xdr:row>43</xdr:row>
      <xdr:rowOff>13135</xdr:rowOff>
    </xdr:from>
    <xdr:to>
      <xdr:col>17</xdr:col>
      <xdr:colOff>654844</xdr:colOff>
      <xdr:row>59</xdr:row>
      <xdr:rowOff>29766</xdr:rowOff>
    </xdr:to>
    <xdr:graphicFrame macro="">
      <xdr:nvGraphicFramePr>
        <xdr:cNvPr id="11" name="Chart 10">
          <a:extLst>
            <a:ext uri="{FF2B5EF4-FFF2-40B4-BE49-F238E27FC236}">
              <a16:creationId xmlns:a16="http://schemas.microsoft.com/office/drawing/2014/main" id="{C4559F2C-D60A-42A7-824C-2ECD54F23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12057</xdr:colOff>
      <xdr:row>10</xdr:row>
      <xdr:rowOff>24114</xdr:rowOff>
    </xdr:from>
    <xdr:to>
      <xdr:col>10</xdr:col>
      <xdr:colOff>1</xdr:colOff>
      <xdr:row>13</xdr:row>
      <xdr:rowOff>11615</xdr:rowOff>
    </xdr:to>
    <xdr:sp macro="" textlink="METRICS!G6">
      <xdr:nvSpPr>
        <xdr:cNvPr id="4" name="Rectangle 3">
          <a:extLst>
            <a:ext uri="{FF2B5EF4-FFF2-40B4-BE49-F238E27FC236}">
              <a16:creationId xmlns:a16="http://schemas.microsoft.com/office/drawing/2014/main" id="{0E499D8E-096F-FA6F-A76E-94BA0F173E4B}"/>
            </a:ext>
          </a:extLst>
        </xdr:cNvPr>
        <xdr:cNvSpPr/>
      </xdr:nvSpPr>
      <xdr:spPr>
        <a:xfrm>
          <a:off x="4809405" y="1882651"/>
          <a:ext cx="2043950" cy="54506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6B8649-76FE-4210-B38C-67A1BA4B6D3C}" type="TxLink">
            <a:rPr lang="en-US" sz="12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Total Shipments: 500</a:t>
          </a:fld>
          <a:endParaRPr lang="en-GB" sz="12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24115</xdr:colOff>
      <xdr:row>10</xdr:row>
      <xdr:rowOff>24113</xdr:rowOff>
    </xdr:from>
    <xdr:to>
      <xdr:col>14</xdr:col>
      <xdr:colOff>12058</xdr:colOff>
      <xdr:row>12</xdr:row>
      <xdr:rowOff>174237</xdr:rowOff>
    </xdr:to>
    <xdr:sp macro="" textlink="METRICS!G7">
      <xdr:nvSpPr>
        <xdr:cNvPr id="8" name="Rectangle 7">
          <a:extLst>
            <a:ext uri="{FF2B5EF4-FFF2-40B4-BE49-F238E27FC236}">
              <a16:creationId xmlns:a16="http://schemas.microsoft.com/office/drawing/2014/main" id="{F6AE0A81-CE78-4050-9D06-DB91A027AD47}"/>
            </a:ext>
          </a:extLst>
        </xdr:cNvPr>
        <xdr:cNvSpPr/>
      </xdr:nvSpPr>
      <xdr:spPr>
        <a:xfrm>
          <a:off x="7562804" y="1882650"/>
          <a:ext cx="2043949" cy="52183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C2141DB-F146-486B-89AD-178DE9AF0D07}" type="TxLink">
            <a:rPr lang="en-US" sz="11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Total Revenue (JPY): 4,631,502.92</a:t>
          </a:fld>
          <a:endParaRPr lang="en-GB" sz="11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15</xdr:col>
      <xdr:colOff>12056</xdr:colOff>
      <xdr:row>10</xdr:row>
      <xdr:rowOff>24113</xdr:rowOff>
    </xdr:from>
    <xdr:to>
      <xdr:col>18</xdr:col>
      <xdr:colOff>0</xdr:colOff>
      <xdr:row>12</xdr:row>
      <xdr:rowOff>174238</xdr:rowOff>
    </xdr:to>
    <xdr:sp macro="" textlink="METRICS!G8">
      <xdr:nvSpPr>
        <xdr:cNvPr id="10" name="Rectangle 9">
          <a:extLst>
            <a:ext uri="{FF2B5EF4-FFF2-40B4-BE49-F238E27FC236}">
              <a16:creationId xmlns:a16="http://schemas.microsoft.com/office/drawing/2014/main" id="{3C8E37E7-74B4-4F99-8986-377AB369058B}"/>
            </a:ext>
          </a:extLst>
        </xdr:cNvPr>
        <xdr:cNvSpPr/>
      </xdr:nvSpPr>
      <xdr:spPr>
        <a:xfrm>
          <a:off x="10292086" y="1882650"/>
          <a:ext cx="2043951" cy="521832"/>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7CF0F3-C08F-49DF-8CF5-C431D333267C}" type="TxLink">
            <a:rPr lang="en-US" sz="11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Average Delivery Days: 4.96</a:t>
          </a:fld>
          <a:endParaRPr lang="en-GB" sz="11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24114</xdr:colOff>
      <xdr:row>10</xdr:row>
      <xdr:rowOff>24112</xdr:rowOff>
    </xdr:from>
    <xdr:to>
      <xdr:col>22</xdr:col>
      <xdr:colOff>12058</xdr:colOff>
      <xdr:row>13</xdr:row>
      <xdr:rowOff>11614</xdr:rowOff>
    </xdr:to>
    <xdr:sp macro="" textlink="METRICS!G9">
      <xdr:nvSpPr>
        <xdr:cNvPr id="13" name="Rectangle 12">
          <a:extLst>
            <a:ext uri="{FF2B5EF4-FFF2-40B4-BE49-F238E27FC236}">
              <a16:creationId xmlns:a16="http://schemas.microsoft.com/office/drawing/2014/main" id="{EB10C76C-75A7-4611-BF09-C83EDD318C2A}"/>
            </a:ext>
          </a:extLst>
        </xdr:cNvPr>
        <xdr:cNvSpPr/>
      </xdr:nvSpPr>
      <xdr:spPr>
        <a:xfrm>
          <a:off x="13045486" y="1882649"/>
          <a:ext cx="2043950" cy="54506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8C830F-388D-4E03-9256-38A8E984A8C0}" type="TxLink">
            <a:rPr lang="en-US" sz="11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Average Customer Rating: 4.64</a:t>
          </a:fld>
          <a:endParaRPr lang="en-GB" sz="11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23</xdr:col>
      <xdr:colOff>24114</xdr:colOff>
      <xdr:row>10</xdr:row>
      <xdr:rowOff>12057</xdr:rowOff>
    </xdr:from>
    <xdr:to>
      <xdr:col>26</xdr:col>
      <xdr:colOff>0</xdr:colOff>
      <xdr:row>12</xdr:row>
      <xdr:rowOff>174237</xdr:rowOff>
    </xdr:to>
    <xdr:sp macro="" textlink="METRICS!G10">
      <xdr:nvSpPr>
        <xdr:cNvPr id="14" name="Rectangle 13">
          <a:extLst>
            <a:ext uri="{FF2B5EF4-FFF2-40B4-BE49-F238E27FC236}">
              <a16:creationId xmlns:a16="http://schemas.microsoft.com/office/drawing/2014/main" id="{35B9FD84-6BD8-49AD-BA33-ED9A1C3E0464}"/>
            </a:ext>
          </a:extLst>
        </xdr:cNvPr>
        <xdr:cNvSpPr/>
      </xdr:nvSpPr>
      <xdr:spPr>
        <a:xfrm>
          <a:off x="15786827" y="1870594"/>
          <a:ext cx="2031893" cy="5338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4142100-99BD-4EC0-A6DE-27EF7E7D3358}" type="TxLink">
            <a:rPr lang="en-US" sz="11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t>On-Time Delivery Rate: 61.6%</a:t>
          </a:fld>
          <a:endParaRPr lang="en-GB" sz="11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257189</xdr:colOff>
      <xdr:row>19</xdr:row>
      <xdr:rowOff>0</xdr:rowOff>
    </xdr:from>
    <xdr:to>
      <xdr:col>3</xdr:col>
      <xdr:colOff>29983</xdr:colOff>
      <xdr:row>37</xdr:row>
      <xdr:rowOff>119062</xdr:rowOff>
    </xdr:to>
    <mc:AlternateContent xmlns:mc="http://schemas.openxmlformats.org/markup-compatibility/2006">
      <mc:Choice xmlns:a14="http://schemas.microsoft.com/office/drawing/2010/main" Requires="a14">
        <xdr:graphicFrame macro="">
          <xdr:nvGraphicFramePr>
            <xdr:cNvPr id="15" name="Destination Region">
              <a:extLst>
                <a:ext uri="{FF2B5EF4-FFF2-40B4-BE49-F238E27FC236}">
                  <a16:creationId xmlns:a16="http://schemas.microsoft.com/office/drawing/2014/main" id="{C87C6A12-E52C-4E03-2310-A515DDE17DCD}"/>
                </a:ext>
              </a:extLst>
            </xdr:cNvPr>
            <xdr:cNvGraphicFramePr/>
          </xdr:nvGraphicFramePr>
          <xdr:xfrm>
            <a:off x="0" y="0"/>
            <a:ext cx="0" cy="0"/>
          </xdr:xfrm>
          <a:graphic>
            <a:graphicData uri="http://schemas.microsoft.com/office/drawing/2010/slicer">
              <sle:slicer xmlns:sle="http://schemas.microsoft.com/office/drawing/2010/slicer" name="Destination Region"/>
            </a:graphicData>
          </a:graphic>
        </xdr:graphicFrame>
      </mc:Choice>
      <mc:Fallback>
        <xdr:sp macro="" textlink="">
          <xdr:nvSpPr>
            <xdr:cNvPr id="0" name=""/>
            <xdr:cNvSpPr>
              <a:spLocks noTextEdit="1"/>
            </xdr:cNvSpPr>
          </xdr:nvSpPr>
          <xdr:spPr>
            <a:xfrm>
              <a:off x="257189" y="3360964"/>
              <a:ext cx="1813865" cy="33031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189309</xdr:colOff>
      <xdr:row>40</xdr:row>
      <xdr:rowOff>41598</xdr:rowOff>
    </xdr:from>
    <xdr:to>
      <xdr:col>2</xdr:col>
      <xdr:colOff>647438</xdr:colOff>
      <xdr:row>58</xdr:row>
      <xdr:rowOff>178591</xdr:rowOff>
    </xdr:to>
    <mc:AlternateContent xmlns:mc="http://schemas.openxmlformats.org/markup-compatibility/2006">
      <mc:Choice xmlns:a14="http://schemas.microsoft.com/office/drawing/2010/main" Requires="a14">
        <xdr:graphicFrame macro="">
          <xdr:nvGraphicFramePr>
            <xdr:cNvPr id="16" name="Carrier">
              <a:extLst>
                <a:ext uri="{FF2B5EF4-FFF2-40B4-BE49-F238E27FC236}">
                  <a16:creationId xmlns:a16="http://schemas.microsoft.com/office/drawing/2014/main" id="{A0B5DE6A-1550-5196-DB07-C42E9F7C0F1F}"/>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189309" y="7117312"/>
              <a:ext cx="1818843" cy="33210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ola faremola" refreshedDate="46290.552587615741" createdVersion="8" refreshedVersion="8" minRefreshableVersion="3" recordCount="500" xr:uid="{CBFB1E26-BC36-41FE-A08E-9C9815BD1B42}">
  <cacheSource type="worksheet">
    <worksheetSource name="JPLogisticsData"/>
  </cacheSource>
  <cacheFields count="22">
    <cacheField name="Shipment ID" numFmtId="0">
      <sharedItems/>
    </cacheField>
    <cacheField name="Order Date" numFmtId="0">
      <sharedItems/>
    </cacheField>
    <cacheField name="Dispatch Date" numFmtId="0">
      <sharedItems/>
    </cacheField>
    <cacheField name="Promised Delivery Date" numFmtId="0">
      <sharedItems/>
    </cacheField>
    <cacheField name="Actual Delivery Date" numFmtId="0">
      <sharedItems/>
    </cacheField>
    <cacheField name="Origin Region" numFmtId="0">
      <sharedItems/>
    </cacheField>
    <cacheField name="Origin City" numFmtId="0">
      <sharedItems/>
    </cacheField>
    <cacheField name="Destination Region" numFmtId="0">
      <sharedItems count="5">
        <s v="Tokyo"/>
        <s v="Fukuoka"/>
        <s v="Osaka"/>
        <s v="Kanagawa"/>
        <s v="Aichi"/>
      </sharedItems>
    </cacheField>
    <cacheField name="Destination City" numFmtId="0">
      <sharedItems/>
    </cacheField>
    <cacheField name="Carrier" numFmtId="0">
      <sharedItems count="4">
        <s v="Sagawa Express"/>
        <s v="Yamato Transport"/>
        <s v="Japan Post"/>
        <s v="Nippon Express"/>
      </sharedItems>
    </cacheField>
    <cacheField name="Shipping Mode" numFmtId="0">
      <sharedItems count="3">
        <s v="Standard"/>
        <s v="Economy"/>
        <s v="Express"/>
      </sharedItems>
    </cacheField>
    <cacheField name="Product Category" numFmtId="0">
      <sharedItems count="5">
        <s v="Healthcare"/>
        <s v="Electronics"/>
        <s v="Clothing"/>
        <s v="Home Goods"/>
        <s v="Books"/>
      </sharedItems>
    </cacheField>
    <cacheField name="Package Weight (kg)" numFmtId="164">
      <sharedItems containsSemiMixedTypes="0" containsString="0" containsNumber="1" minValue="0.2" maxValue="18.2"/>
    </cacheField>
    <cacheField name="Distance (km)" numFmtId="0">
      <sharedItems containsSemiMixedTypes="0" containsString="0" containsNumber="1" containsInteger="1" minValue="48" maxValue="2185"/>
    </cacheField>
    <cacheField name="Shipping Cost" numFmtId="4">
      <sharedItems containsSemiMixedTypes="0" containsString="0" containsNumber="1" minValue="2411.9" maxValue="8934.4"/>
    </cacheField>
    <cacheField name="Revenue" numFmtId="4">
      <sharedItems containsSemiMixedTypes="0" containsString="0" containsNumber="1" minValue="3365.28" maxValue="18467.14"/>
    </cacheField>
    <cacheField name="Delivery Days" numFmtId="0">
      <sharedItems containsSemiMixedTypes="0" containsString="0" containsNumber="1" containsInteger="1" minValue="1" maxValue="11"/>
    </cacheField>
    <cacheField name="Delay Days" numFmtId="0">
      <sharedItems containsSemiMixedTypes="0" containsString="0" containsNumber="1" containsInteger="1" minValue="0" maxValue="3"/>
    </cacheField>
    <cacheField name="Delivery Status" numFmtId="0">
      <sharedItems count="2">
        <s v="On Time"/>
        <s v="Late"/>
      </sharedItems>
    </cacheField>
    <cacheField name="Customer Rating (1-5)" numFmtId="0">
      <sharedItems containsSemiMixedTypes="0" containsString="0" containsNumber="1" containsInteger="1" minValue="3" maxValue="5"/>
    </cacheField>
    <cacheField name="Returned" numFmtId="0">
      <sharedItems/>
    </cacheField>
    <cacheField name="Currency" numFmtId="0">
      <sharedItems/>
    </cacheField>
  </cacheFields>
  <extLst>
    <ext xmlns:x14="http://schemas.microsoft.com/office/spreadsheetml/2009/9/main" uri="{725AE2AE-9491-48be-B2B4-4EB974FC3084}">
      <x14:pivotCacheDefinition pivotCacheId="656039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JP-00001"/>
    <s v="2025-10-25"/>
    <s v="2025-10-25"/>
    <s v="2025-10-30"/>
    <s v="2025-10-29"/>
    <s v="Tokyo"/>
    <s v="Tokyo"/>
    <x v="0"/>
    <s v="Tokyo"/>
    <x v="0"/>
    <x v="0"/>
    <x v="0"/>
    <n v="6"/>
    <n v="495"/>
    <n v="3501"/>
    <n v="4503.2700000000004"/>
    <n v="4"/>
    <n v="0"/>
    <x v="0"/>
    <n v="5"/>
    <s v="No"/>
    <s v="JPY"/>
  </r>
  <r>
    <s v="JP-00002"/>
    <s v="2025-09-22"/>
    <s v="2025-09-24"/>
    <s v="2025-09-29"/>
    <s v="2025-09-30"/>
    <s v="Kanagawa"/>
    <s v="Yokohama"/>
    <x v="1"/>
    <s v="Fukuoka"/>
    <x v="1"/>
    <x v="0"/>
    <x v="0"/>
    <n v="17.7"/>
    <n v="1831"/>
    <n v="6900.3"/>
    <n v="10314.61"/>
    <n v="6"/>
    <n v="1"/>
    <x v="1"/>
    <n v="4"/>
    <s v="No"/>
    <s v="JPY"/>
  </r>
  <r>
    <s v="JP-00003"/>
    <s v="2025-06-09"/>
    <s v="2025-06-09"/>
    <s v="2025-06-14"/>
    <s v="2025-06-15"/>
    <s v="Kanagawa"/>
    <s v="Yokohama"/>
    <x v="1"/>
    <s v="Fukuoka"/>
    <x v="1"/>
    <x v="0"/>
    <x v="1"/>
    <n v="14.6"/>
    <n v="1437"/>
    <n v="5927.6"/>
    <n v="9570.86"/>
    <n v="6"/>
    <n v="1"/>
    <x v="1"/>
    <n v="5"/>
    <s v="No"/>
    <s v="JPY"/>
  </r>
  <r>
    <s v="JP-00004"/>
    <s v="2025-09-21"/>
    <s v="2025-09-22"/>
    <s v="2025-09-30"/>
    <s v="2025-09-27"/>
    <s v="Kanagawa"/>
    <s v="Yokohama"/>
    <x v="0"/>
    <s v="Tokyo"/>
    <x v="1"/>
    <x v="1"/>
    <x v="0"/>
    <n v="18"/>
    <n v="1172"/>
    <n v="5739.6"/>
    <n v="7903.63"/>
    <n v="5"/>
    <n v="0"/>
    <x v="0"/>
    <n v="4"/>
    <s v="No"/>
    <s v="JPY"/>
  </r>
  <r>
    <s v="JP-00005"/>
    <s v="2025-02-22"/>
    <s v="2025-02-22"/>
    <s v="2025-02-24"/>
    <s v="2025-02-23"/>
    <s v="Aichi"/>
    <s v="Nagoya"/>
    <x v="1"/>
    <s v="Fukuoka"/>
    <x v="0"/>
    <x v="2"/>
    <x v="1"/>
    <n v="2.1"/>
    <n v="1502"/>
    <n v="6662.1"/>
    <n v="13907.6"/>
    <n v="1"/>
    <n v="0"/>
    <x v="0"/>
    <n v="5"/>
    <s v="No"/>
    <s v="JPY"/>
  </r>
  <r>
    <s v="JP-00006"/>
    <s v="2025-02-24"/>
    <s v="2025-02-24"/>
    <s v="2025-02-26"/>
    <s v="2025-02-25"/>
    <s v="Tokyo"/>
    <s v="Tokyo"/>
    <x v="0"/>
    <s v="Tokyo"/>
    <x v="2"/>
    <x v="2"/>
    <x v="2"/>
    <n v="6"/>
    <n v="412"/>
    <n v="5031.6000000000004"/>
    <n v="10365.49"/>
    <n v="1"/>
    <n v="0"/>
    <x v="0"/>
    <n v="5"/>
    <s v="No"/>
    <s v="JPY"/>
  </r>
  <r>
    <s v="JP-00007"/>
    <s v="2025-09-29"/>
    <s v="2025-10-01"/>
    <s v="2025-10-06"/>
    <s v="2025-10-07"/>
    <s v="Tokyo"/>
    <s v="Tokyo"/>
    <x v="2"/>
    <s v="Osaka"/>
    <x v="2"/>
    <x v="0"/>
    <x v="1"/>
    <n v="16.7"/>
    <n v="291"/>
    <n v="4043.3"/>
    <n v="8391.93"/>
    <n v="6"/>
    <n v="1"/>
    <x v="1"/>
    <n v="5"/>
    <s v="No"/>
    <s v="JPY"/>
  </r>
  <r>
    <s v="JP-00008"/>
    <s v="2025-08-03"/>
    <s v="2025-08-03"/>
    <s v="2025-08-11"/>
    <s v="2025-08-09"/>
    <s v="Kanagawa"/>
    <s v="Yokohama"/>
    <x v="3"/>
    <s v="Yokohama"/>
    <x v="1"/>
    <x v="1"/>
    <x v="3"/>
    <n v="6.3"/>
    <n v="1470"/>
    <n v="5281.5"/>
    <n v="10467.49"/>
    <n v="6"/>
    <n v="0"/>
    <x v="0"/>
    <n v="5"/>
    <s v="No"/>
    <s v="JPY"/>
  </r>
  <r>
    <s v="JP-00009"/>
    <s v="2025-07-09"/>
    <s v="2025-07-10"/>
    <s v="2025-07-15"/>
    <s v="2025-07-15"/>
    <s v="Kanagawa"/>
    <s v="Yokohama"/>
    <x v="3"/>
    <s v="Yokohama"/>
    <x v="0"/>
    <x v="0"/>
    <x v="3"/>
    <n v="7.8"/>
    <n v="1842"/>
    <n v="6078.6"/>
    <n v="12687.76"/>
    <n v="5"/>
    <n v="0"/>
    <x v="0"/>
    <n v="5"/>
    <s v="No"/>
    <s v="JPY"/>
  </r>
  <r>
    <s v="JP-00010"/>
    <s v="2025-01-08"/>
    <s v="2025-01-08"/>
    <s v="2025-01-13"/>
    <s v="2025-01-13"/>
    <s v="Fukuoka"/>
    <s v="Fukuoka"/>
    <x v="2"/>
    <s v="Osaka"/>
    <x v="1"/>
    <x v="0"/>
    <x v="1"/>
    <n v="17.600000000000001"/>
    <n v="2012"/>
    <n v="7217.6"/>
    <n v="9648.92"/>
    <n v="5"/>
    <n v="0"/>
    <x v="0"/>
    <n v="5"/>
    <s v="No"/>
    <s v="JPY"/>
  </r>
  <r>
    <s v="JP-00011"/>
    <s v="2025-04-30"/>
    <s v="2025-05-01"/>
    <s v="2025-05-09"/>
    <s v="2025-05-10"/>
    <s v="Fukuoka"/>
    <s v="Fukuoka"/>
    <x v="1"/>
    <s v="Fukuoka"/>
    <x v="2"/>
    <x v="1"/>
    <x v="3"/>
    <n v="2.6"/>
    <n v="873"/>
    <n v="3892.4"/>
    <n v="6268.39"/>
    <n v="9"/>
    <n v="1"/>
    <x v="1"/>
    <n v="5"/>
    <s v="No"/>
    <s v="JPY"/>
  </r>
  <r>
    <s v="JP-00012"/>
    <s v="2025-08-11"/>
    <s v="2025-08-12"/>
    <s v="2025-08-14"/>
    <s v="2025-08-15"/>
    <s v="Aichi"/>
    <s v="Nagoya"/>
    <x v="3"/>
    <s v="Yokohama"/>
    <x v="0"/>
    <x v="2"/>
    <x v="0"/>
    <n v="9.6999999999999993"/>
    <n v="769"/>
    <n v="5988.7"/>
    <n v="11392.94"/>
    <n v="3"/>
    <n v="1"/>
    <x v="1"/>
    <n v="5"/>
    <s v="No"/>
    <s v="JPY"/>
  </r>
  <r>
    <s v="JP-00013"/>
    <s v="2025-01-03"/>
    <s v="2025-01-03"/>
    <s v="2025-01-11"/>
    <s v="2025-01-10"/>
    <s v="Fukuoka"/>
    <s v="Fukuoka"/>
    <x v="4"/>
    <s v="Nagoya"/>
    <x v="0"/>
    <x v="1"/>
    <x v="3"/>
    <n v="10.5"/>
    <n v="1137"/>
    <n v="5039.1000000000004"/>
    <n v="8754.76"/>
    <n v="7"/>
    <n v="0"/>
    <x v="0"/>
    <n v="5"/>
    <s v="No"/>
    <s v="JPY"/>
  </r>
  <r>
    <s v="JP-00014"/>
    <s v="2025-04-12"/>
    <s v="2025-04-14"/>
    <s v="2025-04-16"/>
    <s v="2025-04-18"/>
    <s v="Fukuoka"/>
    <s v="Fukuoka"/>
    <x v="3"/>
    <s v="Yokohama"/>
    <x v="2"/>
    <x v="2"/>
    <x v="2"/>
    <n v="14.6"/>
    <n v="504"/>
    <n v="5928.2"/>
    <n v="7946.63"/>
    <n v="4"/>
    <n v="2"/>
    <x v="1"/>
    <n v="4"/>
    <s v="No"/>
    <s v="JPY"/>
  </r>
  <r>
    <s v="JP-00015"/>
    <s v="2025-04-04"/>
    <s v="2025-04-05"/>
    <s v="2025-04-07"/>
    <s v="2025-04-09"/>
    <s v="Osaka"/>
    <s v="Osaka"/>
    <x v="4"/>
    <s v="Nagoya"/>
    <x v="0"/>
    <x v="2"/>
    <x v="4"/>
    <n v="10.1"/>
    <n v="1563"/>
    <n v="7451.9"/>
    <n v="9481.7000000000007"/>
    <n v="4"/>
    <n v="2"/>
    <x v="1"/>
    <n v="4"/>
    <s v="No"/>
    <s v="JPY"/>
  </r>
  <r>
    <s v="JP-00016"/>
    <s v="2025-03-10"/>
    <s v="2025-03-12"/>
    <s v="2025-03-20"/>
    <s v="2025-03-17"/>
    <s v="Osaka"/>
    <s v="Osaka"/>
    <x v="0"/>
    <s v="Tokyo"/>
    <x v="2"/>
    <x v="1"/>
    <x v="2"/>
    <n v="1.5"/>
    <n v="608"/>
    <n v="3321.9"/>
    <n v="5131.5"/>
    <n v="5"/>
    <n v="0"/>
    <x v="0"/>
    <n v="5"/>
    <s v="No"/>
    <s v="JPY"/>
  </r>
  <r>
    <s v="JP-00017"/>
    <s v="2025-10-30"/>
    <s v="2025-11-01"/>
    <s v="2025-11-06"/>
    <s v="2025-11-02"/>
    <s v="Tokyo"/>
    <s v="Tokyo"/>
    <x v="0"/>
    <s v="Tokyo"/>
    <x v="0"/>
    <x v="0"/>
    <x v="0"/>
    <n v="13.2"/>
    <n v="781"/>
    <n v="4627.8"/>
    <n v="9650.85"/>
    <n v="1"/>
    <n v="0"/>
    <x v="0"/>
    <n v="5"/>
    <s v="No"/>
    <s v="JPY"/>
  </r>
  <r>
    <s v="JP-00018"/>
    <s v="2025-03-26"/>
    <s v="2025-03-26"/>
    <s v="2025-04-03"/>
    <s v="2025-04-02"/>
    <s v="Osaka"/>
    <s v="Osaka"/>
    <x v="3"/>
    <s v="Yokohama"/>
    <x v="2"/>
    <x v="1"/>
    <x v="2"/>
    <n v="6.4"/>
    <n v="1542"/>
    <n v="5419.6"/>
    <n v="9168.34"/>
    <n v="7"/>
    <n v="0"/>
    <x v="0"/>
    <n v="5"/>
    <s v="No"/>
    <s v="JPY"/>
  </r>
  <r>
    <s v="JP-00019"/>
    <s v="2025-11-18"/>
    <s v="2025-11-19"/>
    <s v="2025-11-21"/>
    <s v="2025-11-20"/>
    <s v="Osaka"/>
    <s v="Osaka"/>
    <x v="1"/>
    <s v="Fukuoka"/>
    <x v="2"/>
    <x v="2"/>
    <x v="4"/>
    <n v="16.7"/>
    <n v="1316"/>
    <n v="7568.3"/>
    <n v="13403.58"/>
    <n v="1"/>
    <n v="0"/>
    <x v="0"/>
    <n v="5"/>
    <s v="No"/>
    <s v="JPY"/>
  </r>
  <r>
    <s v="JP-00020"/>
    <s v="2025-08-21"/>
    <s v="2025-08-21"/>
    <s v="2025-08-29"/>
    <s v="2025-09-01"/>
    <s v="Kanagawa"/>
    <s v="Yokohama"/>
    <x v="0"/>
    <s v="Tokyo"/>
    <x v="3"/>
    <x v="1"/>
    <x v="2"/>
    <n v="3.3"/>
    <n v="438"/>
    <n v="3168.9"/>
    <n v="6264.91"/>
    <n v="11"/>
    <n v="3"/>
    <x v="1"/>
    <n v="4"/>
    <s v="No"/>
    <s v="JPY"/>
  </r>
  <r>
    <s v="JP-00021"/>
    <s v="2025-02-26"/>
    <s v="2025-02-27"/>
    <s v="2025-03-07"/>
    <s v="2025-03-06"/>
    <s v="Aichi"/>
    <s v="Nagoya"/>
    <x v="4"/>
    <s v="Nagoya"/>
    <x v="1"/>
    <x v="1"/>
    <x v="1"/>
    <n v="5.7"/>
    <n v="1821"/>
    <n v="5862.3"/>
    <n v="9375.2099999999991"/>
    <n v="7"/>
    <n v="0"/>
    <x v="0"/>
    <n v="5"/>
    <s v="No"/>
    <s v="JPY"/>
  </r>
  <r>
    <s v="JP-00022"/>
    <s v="2025-04-15"/>
    <s v="2025-04-16"/>
    <s v="2025-04-18"/>
    <s v="2025-04-18"/>
    <s v="Tokyo"/>
    <s v="Tokyo"/>
    <x v="3"/>
    <s v="Yokohama"/>
    <x v="0"/>
    <x v="2"/>
    <x v="2"/>
    <n v="9.1"/>
    <n v="1514"/>
    <n v="7278.7"/>
    <n v="9706.76"/>
    <n v="2"/>
    <n v="0"/>
    <x v="0"/>
    <n v="5"/>
    <s v="No"/>
    <s v="JPY"/>
  </r>
  <r>
    <s v="JP-00023"/>
    <s v="2025-07-03"/>
    <s v="2025-07-03"/>
    <s v="2025-07-08"/>
    <s v="2025-07-07"/>
    <s v="Aichi"/>
    <s v="Nagoya"/>
    <x v="0"/>
    <s v="Tokyo"/>
    <x v="1"/>
    <x v="0"/>
    <x v="4"/>
    <n v="1.6"/>
    <n v="875"/>
    <n v="3811"/>
    <n v="5144.8"/>
    <n v="4"/>
    <n v="0"/>
    <x v="0"/>
    <n v="5"/>
    <s v="No"/>
    <s v="JPY"/>
  </r>
  <r>
    <s v="JP-00024"/>
    <s v="2025-10-14"/>
    <s v="2025-10-14"/>
    <s v="2025-10-19"/>
    <s v="2025-10-18"/>
    <s v="Osaka"/>
    <s v="Osaka"/>
    <x v="2"/>
    <s v="Osaka"/>
    <x v="0"/>
    <x v="0"/>
    <x v="1"/>
    <n v="15.3"/>
    <n v="1560"/>
    <n v="6208.5"/>
    <n v="8456.0300000000007"/>
    <n v="4"/>
    <n v="0"/>
    <x v="0"/>
    <n v="4"/>
    <s v="No"/>
    <s v="JPY"/>
  </r>
  <r>
    <s v="JP-00025"/>
    <s v="2025-08-12"/>
    <s v="2025-08-12"/>
    <s v="2025-08-20"/>
    <s v="2025-08-23"/>
    <s v="Fukuoka"/>
    <s v="Fukuoka"/>
    <x v="3"/>
    <s v="Yokohama"/>
    <x v="1"/>
    <x v="1"/>
    <x v="4"/>
    <n v="15.5"/>
    <n v="512"/>
    <n v="4339.1000000000004"/>
    <n v="7901.71"/>
    <n v="11"/>
    <n v="3"/>
    <x v="1"/>
    <n v="4"/>
    <s v="No"/>
    <s v="JPY"/>
  </r>
  <r>
    <s v="JP-00026"/>
    <s v="2025-06-16"/>
    <s v="2025-06-17"/>
    <s v="2025-06-25"/>
    <s v="2025-06-25"/>
    <s v="Osaka"/>
    <s v="Osaka"/>
    <x v="1"/>
    <s v="Fukuoka"/>
    <x v="3"/>
    <x v="1"/>
    <x v="4"/>
    <n v="4"/>
    <n v="1809"/>
    <n v="5696.2"/>
    <n v="10308.549999999999"/>
    <n v="8"/>
    <n v="0"/>
    <x v="0"/>
    <n v="5"/>
    <s v="No"/>
    <s v="JPY"/>
  </r>
  <r>
    <s v="JP-00027"/>
    <s v="2025-08-15"/>
    <s v="2025-08-17"/>
    <s v="2025-08-19"/>
    <s v="2025-08-18"/>
    <s v="Fukuoka"/>
    <s v="Fukuoka"/>
    <x v="3"/>
    <s v="Yokohama"/>
    <x v="3"/>
    <x v="2"/>
    <x v="2"/>
    <n v="15.2"/>
    <n v="1367"/>
    <n v="7532.6"/>
    <n v="13035.04"/>
    <n v="1"/>
    <n v="0"/>
    <x v="0"/>
    <n v="5"/>
    <s v="No"/>
    <s v="JPY"/>
  </r>
  <r>
    <s v="JP-00028"/>
    <s v="2025-09-19"/>
    <s v="2025-09-19"/>
    <s v="2025-09-24"/>
    <s v="2025-09-22"/>
    <s v="Tokyo"/>
    <s v="Tokyo"/>
    <x v="0"/>
    <s v="Tokyo"/>
    <x v="0"/>
    <x v="0"/>
    <x v="2"/>
    <n v="17.100000000000001"/>
    <n v="854"/>
    <n v="5090.7"/>
    <n v="10399.51"/>
    <n v="3"/>
    <n v="0"/>
    <x v="0"/>
    <n v="5"/>
    <s v="No"/>
    <s v="JPY"/>
  </r>
  <r>
    <s v="JP-00029"/>
    <s v="2025-05-17"/>
    <s v="2025-05-17"/>
    <s v="2025-05-19"/>
    <s v="2025-05-18"/>
    <s v="Tokyo"/>
    <s v="Tokyo"/>
    <x v="2"/>
    <s v="Osaka"/>
    <x v="3"/>
    <x v="2"/>
    <x v="3"/>
    <n v="4.3"/>
    <n v="795"/>
    <n v="5576.5"/>
    <n v="8165.97"/>
    <n v="1"/>
    <n v="0"/>
    <x v="0"/>
    <n v="5"/>
    <s v="No"/>
    <s v="JPY"/>
  </r>
  <r>
    <s v="JP-00030"/>
    <s v="2025-03-10"/>
    <s v="2025-03-11"/>
    <s v="2025-03-16"/>
    <s v="2025-03-13"/>
    <s v="Tokyo"/>
    <s v="Tokyo"/>
    <x v="1"/>
    <s v="Fukuoka"/>
    <x v="2"/>
    <x v="0"/>
    <x v="4"/>
    <n v="14.4"/>
    <n v="1236"/>
    <n v="5548.8"/>
    <n v="10343.08"/>
    <n v="2"/>
    <n v="0"/>
    <x v="0"/>
    <n v="5"/>
    <s v="No"/>
    <s v="JPY"/>
  </r>
  <r>
    <s v="JP-00031"/>
    <s v="2025-04-20"/>
    <s v="2025-04-20"/>
    <s v="2025-04-22"/>
    <s v="2025-04-21"/>
    <s v="Tokyo"/>
    <s v="Tokyo"/>
    <x v="3"/>
    <s v="Yokohama"/>
    <x v="0"/>
    <x v="2"/>
    <x v="4"/>
    <n v="15.9"/>
    <n v="846"/>
    <n v="6654.3"/>
    <n v="12243.89"/>
    <n v="1"/>
    <n v="0"/>
    <x v="0"/>
    <n v="5"/>
    <s v="No"/>
    <s v="JPY"/>
  </r>
  <r>
    <s v="JP-00032"/>
    <s v="2025-04-26"/>
    <s v="2025-04-27"/>
    <s v="2025-05-02"/>
    <s v="2025-04-28"/>
    <s v="Kanagawa"/>
    <s v="Yokohama"/>
    <x v="3"/>
    <s v="Yokohama"/>
    <x v="3"/>
    <x v="0"/>
    <x v="1"/>
    <n v="17"/>
    <n v="62"/>
    <n v="3656.6"/>
    <n v="5747.99"/>
    <n v="1"/>
    <n v="0"/>
    <x v="0"/>
    <n v="5"/>
    <s v="No"/>
    <s v="JPY"/>
  </r>
  <r>
    <s v="JP-00033"/>
    <s v="2025-11-12"/>
    <s v="2025-11-14"/>
    <s v="2025-11-22"/>
    <s v="2025-11-20"/>
    <s v="Osaka"/>
    <s v="Osaka"/>
    <x v="4"/>
    <s v="Nagoya"/>
    <x v="2"/>
    <x v="1"/>
    <x v="0"/>
    <n v="12.4"/>
    <n v="1365"/>
    <n v="5611"/>
    <n v="7179.5"/>
    <n v="6"/>
    <n v="0"/>
    <x v="0"/>
    <n v="5"/>
    <s v="No"/>
    <s v="JPY"/>
  </r>
  <r>
    <s v="JP-00034"/>
    <s v="2025-04-04"/>
    <s v="2025-04-04"/>
    <s v="2025-04-06"/>
    <s v="2025-04-05"/>
    <s v="Fukuoka"/>
    <s v="Fukuoka"/>
    <x v="4"/>
    <s v="Nagoya"/>
    <x v="1"/>
    <x v="2"/>
    <x v="0"/>
    <n v="14.6"/>
    <n v="1168"/>
    <n v="7123.4"/>
    <n v="9863.34"/>
    <n v="1"/>
    <n v="0"/>
    <x v="0"/>
    <n v="5"/>
    <s v="No"/>
    <s v="JPY"/>
  </r>
  <r>
    <s v="JP-00035"/>
    <s v="2025-04-12"/>
    <s v="2025-04-13"/>
    <s v="2025-04-18"/>
    <s v="2025-04-16"/>
    <s v="Osaka"/>
    <s v="Osaka"/>
    <x v="0"/>
    <s v="Tokyo"/>
    <x v="1"/>
    <x v="0"/>
    <x v="1"/>
    <n v="13.7"/>
    <n v="1760"/>
    <n v="6432.5"/>
    <n v="11312.02"/>
    <n v="3"/>
    <n v="0"/>
    <x v="0"/>
    <n v="5"/>
    <s v="No"/>
    <s v="JPY"/>
  </r>
  <r>
    <s v="JP-00036"/>
    <s v="2025-06-14"/>
    <s v="2025-06-14"/>
    <s v="2025-06-19"/>
    <s v="2025-06-20"/>
    <s v="Tokyo"/>
    <s v="Tokyo"/>
    <x v="3"/>
    <s v="Yokohama"/>
    <x v="1"/>
    <x v="0"/>
    <x v="4"/>
    <n v="9.8000000000000007"/>
    <n v="1367"/>
    <n v="5393.6"/>
    <n v="8295.67"/>
    <n v="6"/>
    <n v="1"/>
    <x v="1"/>
    <n v="5"/>
    <s v="No"/>
    <s v="JPY"/>
  </r>
  <r>
    <s v="JP-00037"/>
    <s v="2025-06-22"/>
    <s v="2025-06-24"/>
    <s v="2025-07-02"/>
    <s v="2025-07-03"/>
    <s v="Kanagawa"/>
    <s v="Yokohama"/>
    <x v="3"/>
    <s v="Yokohama"/>
    <x v="2"/>
    <x v="1"/>
    <x v="1"/>
    <n v="4.3"/>
    <n v="1111"/>
    <n v="4465.3"/>
    <n v="6368.86"/>
    <n v="9"/>
    <n v="1"/>
    <x v="1"/>
    <n v="5"/>
    <s v="No"/>
    <s v="JPY"/>
  </r>
  <r>
    <s v="JP-00038"/>
    <s v="2025-09-30"/>
    <s v="2025-09-30"/>
    <s v="2025-10-05"/>
    <s v="2025-10-05"/>
    <s v="Osaka"/>
    <s v="Osaka"/>
    <x v="3"/>
    <s v="Yokohama"/>
    <x v="3"/>
    <x v="0"/>
    <x v="2"/>
    <n v="17.899999999999999"/>
    <n v="1249"/>
    <n v="5869.7"/>
    <n v="8671.42"/>
    <n v="5"/>
    <n v="0"/>
    <x v="0"/>
    <n v="5"/>
    <s v="No"/>
    <s v="JPY"/>
  </r>
  <r>
    <s v="JP-00039"/>
    <s v="2025-10-23"/>
    <s v="2025-10-25"/>
    <s v="2025-10-27"/>
    <s v="2025-10-26"/>
    <s v="Aichi"/>
    <s v="Nagoya"/>
    <x v="0"/>
    <s v="Tokyo"/>
    <x v="1"/>
    <x v="2"/>
    <x v="4"/>
    <n v="2"/>
    <n v="1144"/>
    <n v="6009.2"/>
    <n v="7673.86"/>
    <n v="1"/>
    <n v="0"/>
    <x v="0"/>
    <n v="5"/>
    <s v="No"/>
    <s v="JPY"/>
  </r>
  <r>
    <s v="JP-00040"/>
    <s v="2025-01-07"/>
    <s v="2025-01-08"/>
    <s v="2025-01-16"/>
    <s v="2025-01-18"/>
    <s v="Kanagawa"/>
    <s v="Yokohama"/>
    <x v="3"/>
    <s v="Yokohama"/>
    <x v="3"/>
    <x v="1"/>
    <x v="3"/>
    <n v="10.9"/>
    <n v="765"/>
    <n v="4403.5"/>
    <n v="8618.49"/>
    <n v="10"/>
    <n v="2"/>
    <x v="1"/>
    <n v="3"/>
    <s v="No"/>
    <s v="JPY"/>
  </r>
  <r>
    <s v="JP-00041"/>
    <s v="2025-10-08"/>
    <s v="2025-10-08"/>
    <s v="2025-10-10"/>
    <s v="2025-10-12"/>
    <s v="Fukuoka"/>
    <s v="Fukuoka"/>
    <x v="3"/>
    <s v="Yokohama"/>
    <x v="3"/>
    <x v="2"/>
    <x v="1"/>
    <n v="5"/>
    <n v="1862"/>
    <n v="7556.6"/>
    <n v="10229.74"/>
    <n v="4"/>
    <n v="2"/>
    <x v="1"/>
    <n v="4"/>
    <s v="No"/>
    <s v="JPY"/>
  </r>
  <r>
    <s v="JP-00042"/>
    <s v="2025-06-01"/>
    <s v="2025-06-02"/>
    <s v="2025-06-04"/>
    <s v="2025-06-04"/>
    <s v="Tokyo"/>
    <s v="Tokyo"/>
    <x v="4"/>
    <s v="Nagoya"/>
    <x v="0"/>
    <x v="2"/>
    <x v="0"/>
    <n v="9.5"/>
    <n v="1970"/>
    <n v="8133.5"/>
    <n v="10294.379999999999"/>
    <n v="2"/>
    <n v="0"/>
    <x v="0"/>
    <n v="4"/>
    <s v="No"/>
    <s v="JPY"/>
  </r>
  <r>
    <s v="JP-00043"/>
    <s v="2025-06-14"/>
    <s v="2025-06-15"/>
    <s v="2025-06-20"/>
    <s v="2025-06-20"/>
    <s v="Aichi"/>
    <s v="Nagoya"/>
    <x v="0"/>
    <s v="Tokyo"/>
    <x v="1"/>
    <x v="0"/>
    <x v="1"/>
    <n v="10.199999999999999"/>
    <n v="2031"/>
    <n v="6622.8"/>
    <n v="9762.66"/>
    <n v="5"/>
    <n v="0"/>
    <x v="0"/>
    <n v="5"/>
    <s v="Yes"/>
    <s v="JPY"/>
  </r>
  <r>
    <s v="JP-00044"/>
    <s v="2025-03-01"/>
    <s v="2025-03-03"/>
    <s v="2025-03-11"/>
    <s v="2025-03-08"/>
    <s v="Fukuoka"/>
    <s v="Fukuoka"/>
    <x v="1"/>
    <s v="Fukuoka"/>
    <x v="0"/>
    <x v="1"/>
    <x v="1"/>
    <n v="17.100000000000001"/>
    <n v="1579"/>
    <n v="6395.7"/>
    <n v="12194.58"/>
    <n v="5"/>
    <n v="0"/>
    <x v="0"/>
    <n v="5"/>
    <s v="No"/>
    <s v="JPY"/>
  </r>
  <r>
    <s v="JP-00045"/>
    <s v="2025-02-21"/>
    <s v="2025-02-23"/>
    <s v="2025-03-03"/>
    <s v="2025-03-04"/>
    <s v="Fukuoka"/>
    <s v="Fukuoka"/>
    <x v="0"/>
    <s v="Tokyo"/>
    <x v="0"/>
    <x v="1"/>
    <x v="0"/>
    <n v="7.6"/>
    <n v="515"/>
    <n v="3673"/>
    <n v="4963.95"/>
    <n v="9"/>
    <n v="1"/>
    <x v="1"/>
    <n v="5"/>
    <s v="No"/>
    <s v="JPY"/>
  </r>
  <r>
    <s v="JP-00046"/>
    <s v="2025-11-23"/>
    <s v="2025-11-24"/>
    <s v="2025-11-29"/>
    <s v="2025-11-27"/>
    <s v="Osaka"/>
    <s v="Osaka"/>
    <x v="2"/>
    <s v="Osaka"/>
    <x v="3"/>
    <x v="0"/>
    <x v="4"/>
    <n v="9.9"/>
    <n v="217"/>
    <n v="3332.1"/>
    <n v="5260.31"/>
    <n v="3"/>
    <n v="0"/>
    <x v="0"/>
    <n v="5"/>
    <s v="No"/>
    <s v="JPY"/>
  </r>
  <r>
    <s v="JP-00047"/>
    <s v="2025-03-18"/>
    <s v="2025-03-20"/>
    <s v="2025-03-25"/>
    <s v="2025-03-22"/>
    <s v="Osaka"/>
    <s v="Osaka"/>
    <x v="4"/>
    <s v="Nagoya"/>
    <x v="2"/>
    <x v="0"/>
    <x v="2"/>
    <n v="1.2"/>
    <n v="1461"/>
    <n v="4831.8"/>
    <n v="8611.56"/>
    <n v="2"/>
    <n v="0"/>
    <x v="0"/>
    <n v="5"/>
    <s v="No"/>
    <s v="JPY"/>
  </r>
  <r>
    <s v="JP-00048"/>
    <s v="2025-05-15"/>
    <s v="2025-05-17"/>
    <s v="2025-05-22"/>
    <s v="2025-05-23"/>
    <s v="Fukuoka"/>
    <s v="Fukuoka"/>
    <x v="0"/>
    <s v="Tokyo"/>
    <x v="3"/>
    <x v="0"/>
    <x v="3"/>
    <n v="18.100000000000001"/>
    <n v="321"/>
    <n v="4216.3"/>
    <n v="7562.52"/>
    <n v="6"/>
    <n v="1"/>
    <x v="1"/>
    <n v="5"/>
    <s v="No"/>
    <s v="JPY"/>
  </r>
  <r>
    <s v="JP-00049"/>
    <s v="2025-11-04"/>
    <s v="2025-11-04"/>
    <s v="2025-11-09"/>
    <s v="2025-11-09"/>
    <s v="Aichi"/>
    <s v="Nagoya"/>
    <x v="4"/>
    <s v="Nagoya"/>
    <x v="0"/>
    <x v="0"/>
    <x v="1"/>
    <n v="17.2"/>
    <n v="1420"/>
    <n v="6118"/>
    <n v="10689.98"/>
    <n v="5"/>
    <n v="0"/>
    <x v="0"/>
    <n v="5"/>
    <s v="No"/>
    <s v="JPY"/>
  </r>
  <r>
    <s v="JP-00050"/>
    <s v="2025-07-22"/>
    <s v="2025-07-22"/>
    <s v="2025-07-30"/>
    <s v="2025-08-01"/>
    <s v="Osaka"/>
    <s v="Osaka"/>
    <x v="2"/>
    <s v="Osaka"/>
    <x v="3"/>
    <x v="1"/>
    <x v="3"/>
    <n v="15.3"/>
    <n v="357"/>
    <n v="4043.1"/>
    <n v="8482.09"/>
    <n v="10"/>
    <n v="2"/>
    <x v="1"/>
    <n v="4"/>
    <s v="No"/>
    <s v="JPY"/>
  </r>
  <r>
    <s v="JP-00051"/>
    <s v="2025-10-21"/>
    <s v="2025-10-21"/>
    <s v="2025-10-23"/>
    <s v="2025-10-23"/>
    <s v="Aichi"/>
    <s v="Nagoya"/>
    <x v="2"/>
    <s v="Osaka"/>
    <x v="1"/>
    <x v="2"/>
    <x v="1"/>
    <n v="9.5"/>
    <n v="2146"/>
    <n v="8450.2999999999993"/>
    <n v="11610.22"/>
    <n v="2"/>
    <n v="0"/>
    <x v="0"/>
    <n v="4"/>
    <s v="No"/>
    <s v="JPY"/>
  </r>
  <r>
    <s v="JP-00052"/>
    <s v="2025-04-08"/>
    <s v="2025-04-10"/>
    <s v="2025-04-15"/>
    <s v="2025-04-14"/>
    <s v="Fukuoka"/>
    <s v="Fukuoka"/>
    <x v="1"/>
    <s v="Fukuoka"/>
    <x v="1"/>
    <x v="0"/>
    <x v="3"/>
    <n v="6"/>
    <n v="733"/>
    <n v="3929.4"/>
    <n v="7904.75"/>
    <n v="4"/>
    <n v="0"/>
    <x v="0"/>
    <n v="5"/>
    <s v="No"/>
    <s v="JPY"/>
  </r>
  <r>
    <s v="JP-00053"/>
    <s v="2025-11-10"/>
    <s v="2025-11-11"/>
    <s v="2025-11-19"/>
    <s v="2025-11-20"/>
    <s v="Tokyo"/>
    <s v="Tokyo"/>
    <x v="4"/>
    <s v="Nagoya"/>
    <x v="3"/>
    <x v="1"/>
    <x v="3"/>
    <n v="8.1999999999999993"/>
    <n v="1918"/>
    <n v="6249.4"/>
    <n v="11812.1"/>
    <n v="9"/>
    <n v="1"/>
    <x v="1"/>
    <n v="5"/>
    <s v="No"/>
    <s v="JPY"/>
  </r>
  <r>
    <s v="JP-00054"/>
    <s v="2025-01-02"/>
    <s v="2025-01-03"/>
    <s v="2025-01-08"/>
    <s v="2025-01-08"/>
    <s v="Tokyo"/>
    <s v="Tokyo"/>
    <x v="4"/>
    <s v="Nagoya"/>
    <x v="3"/>
    <x v="0"/>
    <x v="0"/>
    <n v="1.7"/>
    <n v="1876"/>
    <n v="5621.3"/>
    <n v="9555.4599999999991"/>
    <n v="5"/>
    <n v="0"/>
    <x v="0"/>
    <n v="5"/>
    <s v="No"/>
    <s v="JPY"/>
  </r>
  <r>
    <s v="JP-00055"/>
    <s v="2025-12-11"/>
    <s v="2025-12-11"/>
    <s v="2025-12-16"/>
    <s v="2025-12-19"/>
    <s v="Kanagawa"/>
    <s v="Yokohama"/>
    <x v="2"/>
    <s v="Osaka"/>
    <x v="3"/>
    <x v="0"/>
    <x v="4"/>
    <n v="1.1000000000000001"/>
    <n v="326"/>
    <n v="2780.3"/>
    <n v="5596.42"/>
    <n v="8"/>
    <n v="3"/>
    <x v="1"/>
    <n v="4"/>
    <s v="No"/>
    <s v="JPY"/>
  </r>
  <r>
    <s v="JP-00056"/>
    <s v="2025-05-11"/>
    <s v="2025-05-12"/>
    <s v="2025-05-20"/>
    <s v="2025-05-21"/>
    <s v="Tokyo"/>
    <s v="Tokyo"/>
    <x v="0"/>
    <s v="Tokyo"/>
    <x v="3"/>
    <x v="1"/>
    <x v="4"/>
    <n v="10.1"/>
    <n v="832"/>
    <n v="4456.1000000000004"/>
    <n v="6472.67"/>
    <n v="9"/>
    <n v="1"/>
    <x v="1"/>
    <n v="5"/>
    <s v="No"/>
    <s v="JPY"/>
  </r>
  <r>
    <s v="JP-00057"/>
    <s v="2025-02-13"/>
    <s v="2025-02-14"/>
    <s v="2025-02-19"/>
    <s v="2025-02-20"/>
    <s v="Osaka"/>
    <s v="Osaka"/>
    <x v="2"/>
    <s v="Osaka"/>
    <x v="0"/>
    <x v="0"/>
    <x v="3"/>
    <n v="7.2"/>
    <n v="442"/>
    <n v="3507.6"/>
    <n v="4449.13"/>
    <n v="6"/>
    <n v="1"/>
    <x v="1"/>
    <n v="5"/>
    <s v="No"/>
    <s v="JPY"/>
  </r>
  <r>
    <s v="JP-00058"/>
    <s v="2025-07-13"/>
    <s v="2025-07-14"/>
    <s v="2025-07-19"/>
    <s v="2025-07-17"/>
    <s v="Kanagawa"/>
    <s v="Yokohama"/>
    <x v="3"/>
    <s v="Yokohama"/>
    <x v="0"/>
    <x v="0"/>
    <x v="0"/>
    <n v="17.899999999999999"/>
    <n v="223"/>
    <n v="4022.9"/>
    <n v="7002.89"/>
    <n v="3"/>
    <n v="0"/>
    <x v="0"/>
    <n v="5"/>
    <s v="No"/>
    <s v="JPY"/>
  </r>
  <r>
    <s v="JP-00059"/>
    <s v="2025-11-10"/>
    <s v="2025-11-11"/>
    <s v="2025-11-13"/>
    <s v="2025-11-15"/>
    <s v="Aichi"/>
    <s v="Nagoya"/>
    <x v="1"/>
    <s v="Fukuoka"/>
    <x v="2"/>
    <x v="2"/>
    <x v="2"/>
    <n v="3.9"/>
    <n v="1607"/>
    <n v="7004.1"/>
    <n v="14552.27"/>
    <n v="4"/>
    <n v="2"/>
    <x v="1"/>
    <n v="4"/>
    <s v="No"/>
    <s v="JPY"/>
  </r>
  <r>
    <s v="JP-00060"/>
    <s v="2025-12-12"/>
    <s v="2025-12-14"/>
    <s v="2025-12-16"/>
    <s v="2025-12-17"/>
    <s v="Osaka"/>
    <s v="Osaka"/>
    <x v="3"/>
    <s v="Yokohama"/>
    <x v="1"/>
    <x v="2"/>
    <x v="2"/>
    <n v="4.0999999999999996"/>
    <n v="1675"/>
    <n v="7143.5"/>
    <n v="8937.17"/>
    <n v="3"/>
    <n v="1"/>
    <x v="1"/>
    <n v="4"/>
    <s v="No"/>
    <s v="JPY"/>
  </r>
  <r>
    <s v="JP-00061"/>
    <s v="2025-11-19"/>
    <s v="2025-11-21"/>
    <s v="2025-11-29"/>
    <s v="2025-12-01"/>
    <s v="Kanagawa"/>
    <s v="Yokohama"/>
    <x v="3"/>
    <s v="Yokohama"/>
    <x v="1"/>
    <x v="1"/>
    <x v="0"/>
    <n v="16.399999999999999"/>
    <n v="319"/>
    <n v="4068.2"/>
    <n v="7843.51"/>
    <n v="10"/>
    <n v="2"/>
    <x v="1"/>
    <n v="4"/>
    <s v="No"/>
    <s v="JPY"/>
  </r>
  <r>
    <s v="JP-00062"/>
    <s v="2025-12-11"/>
    <s v="2025-12-11"/>
    <s v="2025-12-13"/>
    <s v="2025-12-14"/>
    <s v="Tokyo"/>
    <s v="Tokyo"/>
    <x v="3"/>
    <s v="Yokohama"/>
    <x v="0"/>
    <x v="2"/>
    <x v="0"/>
    <n v="5.2"/>
    <n v="376"/>
    <n v="4898.8"/>
    <n v="10014.299999999999"/>
    <n v="3"/>
    <n v="1"/>
    <x v="1"/>
    <n v="5"/>
    <s v="No"/>
    <s v="JPY"/>
  </r>
  <r>
    <s v="JP-00063"/>
    <s v="2025-07-15"/>
    <s v="2025-07-16"/>
    <s v="2025-07-24"/>
    <s v="2025-07-25"/>
    <s v="Fukuoka"/>
    <s v="Fukuoka"/>
    <x v="3"/>
    <s v="Yokohama"/>
    <x v="1"/>
    <x v="1"/>
    <x v="3"/>
    <n v="16.2"/>
    <n v="1171"/>
    <n v="5584.8"/>
    <n v="7968.86"/>
    <n v="9"/>
    <n v="1"/>
    <x v="1"/>
    <n v="5"/>
    <s v="No"/>
    <s v="JPY"/>
  </r>
  <r>
    <s v="JP-00064"/>
    <s v="2025-01-25"/>
    <s v="2025-01-25"/>
    <s v="2025-01-27"/>
    <s v="2025-01-26"/>
    <s v="Fukuoka"/>
    <s v="Fukuoka"/>
    <x v="3"/>
    <s v="Yokohama"/>
    <x v="1"/>
    <x v="2"/>
    <x v="2"/>
    <n v="9.6"/>
    <n v="2025"/>
    <n v="8241"/>
    <n v="12408.17"/>
    <n v="1"/>
    <n v="0"/>
    <x v="0"/>
    <n v="5"/>
    <s v="Yes"/>
    <s v="JPY"/>
  </r>
  <r>
    <s v="JP-00065"/>
    <s v="2025-06-04"/>
    <s v="2025-06-04"/>
    <s v="2025-06-09"/>
    <s v="2025-06-07"/>
    <s v="Tokyo"/>
    <s v="Tokyo"/>
    <x v="3"/>
    <s v="Yokohama"/>
    <x v="1"/>
    <x v="0"/>
    <x v="4"/>
    <n v="14.5"/>
    <n v="411"/>
    <n v="4072.3"/>
    <n v="5556.36"/>
    <n v="3"/>
    <n v="0"/>
    <x v="0"/>
    <n v="5"/>
    <s v="No"/>
    <s v="JPY"/>
  </r>
  <r>
    <s v="JP-00066"/>
    <s v="2025-08-28"/>
    <s v="2025-08-29"/>
    <s v="2025-08-31"/>
    <s v="2025-08-30"/>
    <s v="Aichi"/>
    <s v="Nagoya"/>
    <x v="2"/>
    <s v="Osaka"/>
    <x v="3"/>
    <x v="2"/>
    <x v="3"/>
    <n v="7.9"/>
    <n v="342"/>
    <n v="5067.1000000000004"/>
    <n v="8434.06"/>
    <n v="1"/>
    <n v="0"/>
    <x v="0"/>
    <n v="5"/>
    <s v="No"/>
    <s v="JPY"/>
  </r>
  <r>
    <s v="JP-00067"/>
    <s v="2025-04-29"/>
    <s v="2025-04-29"/>
    <s v="2025-05-04"/>
    <s v="2025-05-06"/>
    <s v="Tokyo"/>
    <s v="Tokyo"/>
    <x v="4"/>
    <s v="Nagoya"/>
    <x v="1"/>
    <x v="0"/>
    <x v="0"/>
    <n v="0.3"/>
    <n v="2013"/>
    <n v="5748.9"/>
    <n v="7403.65"/>
    <n v="7"/>
    <n v="2"/>
    <x v="1"/>
    <n v="4"/>
    <s v="No"/>
    <s v="JPY"/>
  </r>
  <r>
    <s v="JP-00068"/>
    <s v="2025-02-17"/>
    <s v="2025-02-17"/>
    <s v="2025-02-22"/>
    <s v="2025-02-20"/>
    <s v="Aichi"/>
    <s v="Nagoya"/>
    <x v="3"/>
    <s v="Yokohama"/>
    <x v="0"/>
    <x v="0"/>
    <x v="1"/>
    <n v="1.2"/>
    <n v="1535"/>
    <n v="4965"/>
    <n v="9320.1"/>
    <n v="3"/>
    <n v="0"/>
    <x v="0"/>
    <n v="5"/>
    <s v="No"/>
    <s v="JPY"/>
  </r>
  <r>
    <s v="JP-00069"/>
    <s v="2025-04-11"/>
    <s v="2025-04-11"/>
    <s v="2025-04-13"/>
    <s v="2025-04-12"/>
    <s v="Osaka"/>
    <s v="Osaka"/>
    <x v="2"/>
    <s v="Osaka"/>
    <x v="2"/>
    <x v="2"/>
    <x v="2"/>
    <n v="13.5"/>
    <n v="1759"/>
    <n v="8093.7"/>
    <n v="14800.91"/>
    <n v="1"/>
    <n v="0"/>
    <x v="0"/>
    <n v="5"/>
    <s v="No"/>
    <s v="JPY"/>
  </r>
  <r>
    <s v="JP-00070"/>
    <s v="2025-12-14"/>
    <s v="2025-12-14"/>
    <s v="2025-12-22"/>
    <s v="2025-12-19"/>
    <s v="Fukuoka"/>
    <s v="Fukuoka"/>
    <x v="3"/>
    <s v="Yokohama"/>
    <x v="2"/>
    <x v="1"/>
    <x v="1"/>
    <n v="8.4"/>
    <n v="1146"/>
    <n v="4876.8"/>
    <n v="6875.62"/>
    <n v="5"/>
    <n v="0"/>
    <x v="0"/>
    <n v="4"/>
    <s v="No"/>
    <s v="JPY"/>
  </r>
  <r>
    <s v="JP-00071"/>
    <s v="2025-12-11"/>
    <s v="2025-12-12"/>
    <s v="2025-12-14"/>
    <s v="2025-12-16"/>
    <s v="Aichi"/>
    <s v="Nagoya"/>
    <x v="3"/>
    <s v="Yokohama"/>
    <x v="2"/>
    <x v="2"/>
    <x v="0"/>
    <n v="16.3"/>
    <n v="927"/>
    <n v="6834.1"/>
    <n v="9661.4500000000007"/>
    <n v="4"/>
    <n v="2"/>
    <x v="1"/>
    <n v="4"/>
    <s v="No"/>
    <s v="JPY"/>
  </r>
  <r>
    <s v="JP-00072"/>
    <s v="2025-07-27"/>
    <s v="2025-07-27"/>
    <s v="2025-08-01"/>
    <s v="2025-07-30"/>
    <s v="Aichi"/>
    <s v="Nagoya"/>
    <x v="4"/>
    <s v="Nagoya"/>
    <x v="2"/>
    <x v="0"/>
    <x v="2"/>
    <n v="17.100000000000001"/>
    <n v="1284"/>
    <n v="5864.7"/>
    <n v="11046.64"/>
    <n v="3"/>
    <n v="0"/>
    <x v="0"/>
    <n v="5"/>
    <s v="No"/>
    <s v="JPY"/>
  </r>
  <r>
    <s v="JP-00073"/>
    <s v="2025-09-07"/>
    <s v="2025-09-09"/>
    <s v="2025-09-14"/>
    <s v="2025-09-13"/>
    <s v="Fukuoka"/>
    <s v="Fukuoka"/>
    <x v="1"/>
    <s v="Fukuoka"/>
    <x v="1"/>
    <x v="0"/>
    <x v="0"/>
    <n v="2.1"/>
    <n v="1772"/>
    <n v="5468.1"/>
    <n v="10098.459999999999"/>
    <n v="4"/>
    <n v="0"/>
    <x v="0"/>
    <n v="4"/>
    <s v="No"/>
    <s v="JPY"/>
  </r>
  <r>
    <s v="JP-00074"/>
    <s v="2025-09-28"/>
    <s v="2025-09-30"/>
    <s v="2025-10-02"/>
    <s v="2025-10-01"/>
    <s v="Aichi"/>
    <s v="Nagoya"/>
    <x v="0"/>
    <s v="Tokyo"/>
    <x v="1"/>
    <x v="2"/>
    <x v="0"/>
    <n v="4.0999999999999996"/>
    <n v="1874"/>
    <n v="7501.7"/>
    <n v="14440.44"/>
    <n v="1"/>
    <n v="0"/>
    <x v="0"/>
    <n v="5"/>
    <s v="No"/>
    <s v="JPY"/>
  </r>
  <r>
    <s v="JP-00075"/>
    <s v="2025-12-29"/>
    <s v="2025-12-29"/>
    <s v="2025-12-31"/>
    <s v="2026-01-01"/>
    <s v="Kanagawa"/>
    <s v="Yokohama"/>
    <x v="1"/>
    <s v="Fukuoka"/>
    <x v="3"/>
    <x v="2"/>
    <x v="4"/>
    <n v="3"/>
    <n v="1656"/>
    <n v="7015.8"/>
    <n v="14493.06"/>
    <n v="3"/>
    <n v="1"/>
    <x v="1"/>
    <n v="4"/>
    <s v="No"/>
    <s v="JPY"/>
  </r>
  <r>
    <s v="JP-00076"/>
    <s v="2025-10-16"/>
    <s v="2025-10-18"/>
    <s v="2025-10-26"/>
    <s v="2025-10-27"/>
    <s v="Tokyo"/>
    <s v="Tokyo"/>
    <x v="2"/>
    <s v="Osaka"/>
    <x v="1"/>
    <x v="1"/>
    <x v="2"/>
    <n v="18.2"/>
    <n v="1573"/>
    <n v="6478.4"/>
    <n v="13078.73"/>
    <n v="9"/>
    <n v="1"/>
    <x v="1"/>
    <n v="5"/>
    <s v="No"/>
    <s v="JPY"/>
  </r>
  <r>
    <s v="JP-00077"/>
    <s v="2025-01-09"/>
    <s v="2025-01-10"/>
    <s v="2025-01-12"/>
    <s v="2025-01-13"/>
    <s v="Osaka"/>
    <s v="Osaka"/>
    <x v="3"/>
    <s v="Yokohama"/>
    <x v="1"/>
    <x v="2"/>
    <x v="4"/>
    <n v="14.8"/>
    <n v="334"/>
    <n v="5639.2"/>
    <n v="7987.71"/>
    <n v="3"/>
    <n v="1"/>
    <x v="1"/>
    <n v="5"/>
    <s v="No"/>
    <s v="JPY"/>
  </r>
  <r>
    <s v="JP-00078"/>
    <s v="2025-04-30"/>
    <s v="2025-04-30"/>
    <s v="2025-05-05"/>
    <s v="2025-05-06"/>
    <s v="Fukuoka"/>
    <s v="Fukuoka"/>
    <x v="0"/>
    <s v="Tokyo"/>
    <x v="3"/>
    <x v="0"/>
    <x v="3"/>
    <n v="2.2999999999999998"/>
    <n v="2031"/>
    <n v="5951.3"/>
    <n v="9169.9500000000007"/>
    <n v="6"/>
    <n v="1"/>
    <x v="1"/>
    <n v="5"/>
    <s v="No"/>
    <s v="JPY"/>
  </r>
  <r>
    <s v="JP-00079"/>
    <s v="2025-07-05"/>
    <s v="2025-07-07"/>
    <s v="2025-07-15"/>
    <s v="2025-07-18"/>
    <s v="Aichi"/>
    <s v="Nagoya"/>
    <x v="1"/>
    <s v="Fukuoka"/>
    <x v="1"/>
    <x v="1"/>
    <x v="3"/>
    <n v="8.8000000000000007"/>
    <n v="1076"/>
    <n v="4784.8"/>
    <n v="7609.98"/>
    <n v="11"/>
    <n v="3"/>
    <x v="1"/>
    <n v="4"/>
    <s v="No"/>
    <s v="JPY"/>
  </r>
  <r>
    <s v="JP-00080"/>
    <s v="2025-02-12"/>
    <s v="2025-02-12"/>
    <s v="2025-02-14"/>
    <s v="2025-02-17"/>
    <s v="Tokyo"/>
    <s v="Tokyo"/>
    <x v="4"/>
    <s v="Nagoya"/>
    <x v="2"/>
    <x v="2"/>
    <x v="4"/>
    <n v="15.5"/>
    <n v="615"/>
    <n v="6204.5"/>
    <n v="12018.87"/>
    <n v="5"/>
    <n v="3"/>
    <x v="1"/>
    <n v="4"/>
    <s v="No"/>
    <s v="JPY"/>
  </r>
  <r>
    <s v="JP-00081"/>
    <s v="2025-04-29"/>
    <s v="2025-04-30"/>
    <s v="2025-05-08"/>
    <s v="2025-05-11"/>
    <s v="Aichi"/>
    <s v="Nagoya"/>
    <x v="3"/>
    <s v="Yokohama"/>
    <x v="3"/>
    <x v="1"/>
    <x v="1"/>
    <n v="5.8"/>
    <n v="1360"/>
    <n v="5041"/>
    <n v="7848.36"/>
    <n v="11"/>
    <n v="3"/>
    <x v="1"/>
    <n v="3"/>
    <s v="No"/>
    <s v="JPY"/>
  </r>
  <r>
    <s v="JP-00082"/>
    <s v="2025-12-04"/>
    <s v="2025-12-06"/>
    <s v="2025-12-11"/>
    <s v="2025-12-08"/>
    <s v="Osaka"/>
    <s v="Osaka"/>
    <x v="2"/>
    <s v="Osaka"/>
    <x v="3"/>
    <x v="0"/>
    <x v="0"/>
    <n v="1.6"/>
    <n v="1778"/>
    <n v="5436.4"/>
    <n v="9331.66"/>
    <n v="2"/>
    <n v="0"/>
    <x v="0"/>
    <n v="5"/>
    <s v="No"/>
    <s v="JPY"/>
  </r>
  <r>
    <s v="JP-00083"/>
    <s v="2025-03-18"/>
    <s v="2025-03-19"/>
    <s v="2025-03-27"/>
    <s v="2025-03-27"/>
    <s v="Tokyo"/>
    <s v="Tokyo"/>
    <x v="2"/>
    <s v="Osaka"/>
    <x v="2"/>
    <x v="1"/>
    <x v="4"/>
    <n v="7.3"/>
    <n v="1173"/>
    <n v="4831.8999999999996"/>
    <n v="8809.4"/>
    <n v="8"/>
    <n v="0"/>
    <x v="0"/>
    <n v="5"/>
    <s v="No"/>
    <s v="JPY"/>
  </r>
  <r>
    <s v="JP-00084"/>
    <s v="2025-07-27"/>
    <s v="2025-07-28"/>
    <s v="2025-08-05"/>
    <s v="2025-08-04"/>
    <s v="Kanagawa"/>
    <s v="Yokohama"/>
    <x v="0"/>
    <s v="Tokyo"/>
    <x v="3"/>
    <x v="1"/>
    <x v="4"/>
    <n v="1.5"/>
    <n v="645"/>
    <n v="3388.5"/>
    <n v="5106.8900000000003"/>
    <n v="7"/>
    <n v="0"/>
    <x v="0"/>
    <n v="5"/>
    <s v="No"/>
    <s v="JPY"/>
  </r>
  <r>
    <s v="JP-00085"/>
    <s v="2025-03-11"/>
    <s v="2025-03-11"/>
    <s v="2025-03-13"/>
    <s v="2025-03-15"/>
    <s v="Kanagawa"/>
    <s v="Yokohama"/>
    <x v="4"/>
    <s v="Nagoya"/>
    <x v="1"/>
    <x v="2"/>
    <x v="0"/>
    <n v="7.8"/>
    <n v="488"/>
    <n v="5321.4"/>
    <n v="10907.9"/>
    <n v="4"/>
    <n v="2"/>
    <x v="1"/>
    <n v="4"/>
    <s v="No"/>
    <s v="JPY"/>
  </r>
  <r>
    <s v="JP-00086"/>
    <s v="2025-12-11"/>
    <s v="2025-12-13"/>
    <s v="2025-12-15"/>
    <s v="2025-12-14"/>
    <s v="Kanagawa"/>
    <s v="Yokohama"/>
    <x v="3"/>
    <s v="Yokohama"/>
    <x v="2"/>
    <x v="2"/>
    <x v="0"/>
    <n v="3.6"/>
    <n v="494"/>
    <n v="4975.2"/>
    <n v="8739.51"/>
    <n v="1"/>
    <n v="0"/>
    <x v="0"/>
    <n v="5"/>
    <s v="No"/>
    <s v="JPY"/>
  </r>
  <r>
    <s v="JP-00087"/>
    <s v="2025-06-07"/>
    <s v="2025-06-08"/>
    <s v="2025-06-10"/>
    <s v="2025-06-10"/>
    <s v="Fukuoka"/>
    <s v="Fukuoka"/>
    <x v="0"/>
    <s v="Tokyo"/>
    <x v="3"/>
    <x v="2"/>
    <x v="1"/>
    <n v="5.9"/>
    <n v="1243"/>
    <n v="6518.9"/>
    <n v="9541.1299999999992"/>
    <n v="2"/>
    <n v="0"/>
    <x v="0"/>
    <n v="5"/>
    <s v="No"/>
    <s v="JPY"/>
  </r>
  <r>
    <s v="JP-00088"/>
    <s v="2025-09-06"/>
    <s v="2025-09-06"/>
    <s v="2025-09-14"/>
    <s v="2025-09-12"/>
    <s v="Aichi"/>
    <s v="Nagoya"/>
    <x v="2"/>
    <s v="Osaka"/>
    <x v="3"/>
    <x v="1"/>
    <x v="3"/>
    <n v="15.3"/>
    <n v="1214"/>
    <n v="5585.7"/>
    <n v="7830.58"/>
    <n v="6"/>
    <n v="0"/>
    <x v="0"/>
    <n v="5"/>
    <s v="No"/>
    <s v="JPY"/>
  </r>
  <r>
    <s v="JP-00089"/>
    <s v="2025-09-15"/>
    <s v="2025-09-16"/>
    <s v="2025-09-21"/>
    <s v="2025-09-20"/>
    <s v="Kanagawa"/>
    <s v="Yokohama"/>
    <x v="4"/>
    <s v="Nagoya"/>
    <x v="3"/>
    <x v="0"/>
    <x v="1"/>
    <n v="14.3"/>
    <n v="1519"/>
    <n v="6049.7"/>
    <n v="8605.0300000000007"/>
    <n v="4"/>
    <n v="0"/>
    <x v="0"/>
    <n v="4"/>
    <s v="No"/>
    <s v="JPY"/>
  </r>
  <r>
    <s v="JP-00090"/>
    <s v="2025-05-07"/>
    <s v="2025-05-07"/>
    <s v="2025-05-15"/>
    <s v="2025-05-14"/>
    <s v="Osaka"/>
    <s v="Osaka"/>
    <x v="4"/>
    <s v="Nagoya"/>
    <x v="0"/>
    <x v="1"/>
    <x v="1"/>
    <n v="7.2"/>
    <n v="801"/>
    <n v="4153.8"/>
    <n v="5204.09"/>
    <n v="7"/>
    <n v="0"/>
    <x v="0"/>
    <n v="5"/>
    <s v="No"/>
    <s v="JPY"/>
  </r>
  <r>
    <s v="JP-00091"/>
    <s v="2025-11-24"/>
    <s v="2025-11-26"/>
    <s v="2025-11-28"/>
    <s v="2025-11-29"/>
    <s v="Osaka"/>
    <s v="Osaka"/>
    <x v="1"/>
    <s v="Fukuoka"/>
    <x v="2"/>
    <x v="2"/>
    <x v="3"/>
    <n v="2.1"/>
    <n v="1224"/>
    <n v="6161.7"/>
    <n v="12195.19"/>
    <n v="3"/>
    <n v="1"/>
    <x v="1"/>
    <n v="5"/>
    <s v="No"/>
    <s v="JPY"/>
  </r>
  <r>
    <s v="JP-00092"/>
    <s v="2025-09-08"/>
    <s v="2025-09-09"/>
    <s v="2025-09-11"/>
    <s v="2025-09-12"/>
    <s v="Fukuoka"/>
    <s v="Fukuoka"/>
    <x v="4"/>
    <s v="Nagoya"/>
    <x v="3"/>
    <x v="2"/>
    <x v="4"/>
    <n v="11.5"/>
    <n v="494"/>
    <n v="5646.7"/>
    <n v="10185.84"/>
    <n v="3"/>
    <n v="1"/>
    <x v="1"/>
    <n v="5"/>
    <s v="No"/>
    <s v="JPY"/>
  </r>
  <r>
    <s v="JP-00093"/>
    <s v="2025-02-26"/>
    <s v="2025-02-26"/>
    <s v="2025-03-06"/>
    <s v="2025-03-03"/>
    <s v="Osaka"/>
    <s v="Osaka"/>
    <x v="0"/>
    <s v="Tokyo"/>
    <x v="1"/>
    <x v="1"/>
    <x v="4"/>
    <n v="17.7"/>
    <n v="1260"/>
    <n v="5872.5"/>
    <n v="10192.799999999999"/>
    <n v="5"/>
    <n v="0"/>
    <x v="0"/>
    <n v="5"/>
    <s v="No"/>
    <s v="JPY"/>
  </r>
  <r>
    <s v="JP-00094"/>
    <s v="2025-07-18"/>
    <s v="2025-07-20"/>
    <s v="2025-07-25"/>
    <s v="2025-07-26"/>
    <s v="Fukuoka"/>
    <s v="Fukuoka"/>
    <x v="3"/>
    <s v="Yokohama"/>
    <x v="0"/>
    <x v="0"/>
    <x v="2"/>
    <n v="2.6"/>
    <n v="2185"/>
    <n v="6254"/>
    <n v="10691.84"/>
    <n v="6"/>
    <n v="1"/>
    <x v="1"/>
    <n v="5"/>
    <s v="No"/>
    <s v="JPY"/>
  </r>
  <r>
    <s v="JP-00095"/>
    <s v="2025-11-04"/>
    <s v="2025-11-06"/>
    <s v="2025-11-14"/>
    <s v="2025-11-17"/>
    <s v="Fukuoka"/>
    <s v="Fukuoka"/>
    <x v="0"/>
    <s v="Tokyo"/>
    <x v="3"/>
    <x v="1"/>
    <x v="0"/>
    <n v="1.1000000000000001"/>
    <n v="1928"/>
    <n v="5663.9"/>
    <n v="8533.27"/>
    <n v="11"/>
    <n v="3"/>
    <x v="1"/>
    <n v="4"/>
    <s v="No"/>
    <s v="JPY"/>
  </r>
  <r>
    <s v="JP-00096"/>
    <s v="2025-10-06"/>
    <s v="2025-10-08"/>
    <s v="2025-10-10"/>
    <s v="2025-10-09"/>
    <s v="Tokyo"/>
    <s v="Tokyo"/>
    <x v="1"/>
    <s v="Fukuoka"/>
    <x v="1"/>
    <x v="2"/>
    <x v="1"/>
    <n v="16.899999999999999"/>
    <n v="1821"/>
    <n v="8494.2999999999993"/>
    <n v="12027.86"/>
    <n v="1"/>
    <n v="0"/>
    <x v="0"/>
    <n v="5"/>
    <s v="No"/>
    <s v="JPY"/>
  </r>
  <r>
    <s v="JP-00097"/>
    <s v="2025-08-20"/>
    <s v="2025-08-22"/>
    <s v="2025-08-30"/>
    <s v="2025-08-31"/>
    <s v="Fukuoka"/>
    <s v="Fukuoka"/>
    <x v="1"/>
    <s v="Fukuoka"/>
    <x v="1"/>
    <x v="1"/>
    <x v="1"/>
    <n v="13"/>
    <n v="1119"/>
    <n v="5219.2"/>
    <n v="7328.21"/>
    <n v="9"/>
    <n v="1"/>
    <x v="1"/>
    <n v="5"/>
    <s v="No"/>
    <s v="JPY"/>
  </r>
  <r>
    <s v="JP-00098"/>
    <s v="2025-08-13"/>
    <s v="2025-08-13"/>
    <s v="2025-08-15"/>
    <s v="2025-08-14"/>
    <s v="Kanagawa"/>
    <s v="Yokohama"/>
    <x v="1"/>
    <s v="Fukuoka"/>
    <x v="1"/>
    <x v="2"/>
    <x v="1"/>
    <n v="16.3"/>
    <n v="1488"/>
    <n v="7843.9"/>
    <n v="12363.06"/>
    <n v="1"/>
    <n v="0"/>
    <x v="0"/>
    <n v="5"/>
    <s v="No"/>
    <s v="JPY"/>
  </r>
  <r>
    <s v="JP-00099"/>
    <s v="2025-02-21"/>
    <s v="2025-02-22"/>
    <s v="2025-02-27"/>
    <s v="2025-02-26"/>
    <s v="Kanagawa"/>
    <s v="Yokohama"/>
    <x v="3"/>
    <s v="Yokohama"/>
    <x v="2"/>
    <x v="0"/>
    <x v="1"/>
    <n v="1.7"/>
    <n v="1484"/>
    <n v="4915.7"/>
    <n v="8519.84"/>
    <n v="4"/>
    <n v="0"/>
    <x v="0"/>
    <n v="4"/>
    <s v="No"/>
    <s v="JPY"/>
  </r>
  <r>
    <s v="JP-00100"/>
    <s v="2025-03-09"/>
    <s v="2025-03-10"/>
    <s v="2025-03-12"/>
    <s v="2025-03-12"/>
    <s v="Aichi"/>
    <s v="Nagoya"/>
    <x v="2"/>
    <s v="Osaka"/>
    <x v="3"/>
    <x v="2"/>
    <x v="0"/>
    <n v="2"/>
    <n v="449"/>
    <n v="4758.2"/>
    <n v="8247.32"/>
    <n v="2"/>
    <n v="0"/>
    <x v="0"/>
    <n v="5"/>
    <s v="Yes"/>
    <s v="JPY"/>
  </r>
  <r>
    <s v="JP-00101"/>
    <s v="2025-11-22"/>
    <s v="2025-11-22"/>
    <s v="2025-11-24"/>
    <s v="2025-11-23"/>
    <s v="Kanagawa"/>
    <s v="Yokohama"/>
    <x v="1"/>
    <s v="Fukuoka"/>
    <x v="1"/>
    <x v="2"/>
    <x v="3"/>
    <n v="11.8"/>
    <n v="1666"/>
    <n v="7781.8"/>
    <n v="15440.38"/>
    <n v="1"/>
    <n v="0"/>
    <x v="0"/>
    <n v="5"/>
    <s v="No"/>
    <s v="JPY"/>
  </r>
  <r>
    <s v="JP-00102"/>
    <s v="2025-11-18"/>
    <s v="2025-11-19"/>
    <s v="2025-11-27"/>
    <s v="2025-11-28"/>
    <s v="Fukuoka"/>
    <s v="Fukuoka"/>
    <x v="1"/>
    <s v="Fukuoka"/>
    <x v="3"/>
    <x v="1"/>
    <x v="2"/>
    <n v="15.6"/>
    <n v="935"/>
    <n v="5109"/>
    <n v="10579.36"/>
    <n v="9"/>
    <n v="1"/>
    <x v="1"/>
    <n v="5"/>
    <s v="No"/>
    <s v="JPY"/>
  </r>
  <r>
    <s v="JP-00103"/>
    <s v="2025-06-01"/>
    <s v="2025-06-02"/>
    <s v="2025-06-04"/>
    <s v="2025-06-06"/>
    <s v="Fukuoka"/>
    <s v="Fukuoka"/>
    <x v="1"/>
    <s v="Fukuoka"/>
    <x v="3"/>
    <x v="2"/>
    <x v="3"/>
    <n v="10"/>
    <n v="935"/>
    <n v="6313"/>
    <n v="12327.97"/>
    <n v="4"/>
    <n v="2"/>
    <x v="1"/>
    <n v="4"/>
    <s v="No"/>
    <s v="JPY"/>
  </r>
  <r>
    <s v="JP-00104"/>
    <s v="2025-07-21"/>
    <s v="2025-07-21"/>
    <s v="2025-07-23"/>
    <s v="2025-07-24"/>
    <s v="Osaka"/>
    <s v="Osaka"/>
    <x v="1"/>
    <s v="Fukuoka"/>
    <x v="3"/>
    <x v="2"/>
    <x v="4"/>
    <n v="13.2"/>
    <n v="1727"/>
    <n v="8010.6"/>
    <n v="10740.29"/>
    <n v="3"/>
    <n v="1"/>
    <x v="1"/>
    <n v="5"/>
    <s v="No"/>
    <s v="JPY"/>
  </r>
  <r>
    <s v="JP-00105"/>
    <s v="2025-12-11"/>
    <s v="2025-12-13"/>
    <s v="2025-12-18"/>
    <s v="2025-12-17"/>
    <s v="Osaka"/>
    <s v="Osaka"/>
    <x v="1"/>
    <s v="Fukuoka"/>
    <x v="1"/>
    <x v="0"/>
    <x v="2"/>
    <n v="10.5"/>
    <n v="1760"/>
    <n v="6160.5"/>
    <n v="9448.14"/>
    <n v="4"/>
    <n v="0"/>
    <x v="0"/>
    <n v="5"/>
    <s v="No"/>
    <s v="JPY"/>
  </r>
  <r>
    <s v="JP-00106"/>
    <s v="2025-01-30"/>
    <s v="2025-02-01"/>
    <s v="2025-02-09"/>
    <s v="2025-02-09"/>
    <s v="Osaka"/>
    <s v="Osaka"/>
    <x v="0"/>
    <s v="Tokyo"/>
    <x v="0"/>
    <x v="1"/>
    <x v="4"/>
    <n v="5.6"/>
    <n v="1548"/>
    <n v="5362.4"/>
    <n v="7744.49"/>
    <n v="8"/>
    <n v="0"/>
    <x v="0"/>
    <n v="5"/>
    <s v="No"/>
    <s v="JPY"/>
  </r>
  <r>
    <s v="JP-00107"/>
    <s v="2025-05-04"/>
    <s v="2025-05-04"/>
    <s v="2025-05-06"/>
    <s v="2025-05-05"/>
    <s v="Tokyo"/>
    <s v="Tokyo"/>
    <x v="2"/>
    <s v="Osaka"/>
    <x v="1"/>
    <x v="2"/>
    <x v="3"/>
    <n v="15.3"/>
    <n v="762"/>
    <n v="6452.1"/>
    <n v="9375.7199999999993"/>
    <n v="1"/>
    <n v="0"/>
    <x v="0"/>
    <n v="5"/>
    <s v="No"/>
    <s v="JPY"/>
  </r>
  <r>
    <s v="JP-00108"/>
    <s v="2025-06-23"/>
    <s v="2025-06-23"/>
    <s v="2025-07-01"/>
    <s v="2025-07-01"/>
    <s v="Fukuoka"/>
    <s v="Fukuoka"/>
    <x v="2"/>
    <s v="Osaka"/>
    <x v="0"/>
    <x v="1"/>
    <x v="2"/>
    <n v="2.1"/>
    <n v="799"/>
    <n v="3716.7"/>
    <n v="6567.49"/>
    <n v="8"/>
    <n v="0"/>
    <x v="0"/>
    <n v="5"/>
    <s v="No"/>
    <s v="JPY"/>
  </r>
  <r>
    <s v="JP-00109"/>
    <s v="2025-05-05"/>
    <s v="2025-05-07"/>
    <s v="2025-05-12"/>
    <s v="2025-05-15"/>
    <s v="Osaka"/>
    <s v="Osaka"/>
    <x v="4"/>
    <s v="Nagoya"/>
    <x v="0"/>
    <x v="0"/>
    <x v="0"/>
    <n v="3.5"/>
    <n v="336"/>
    <n v="3002.3"/>
    <n v="5265.96"/>
    <n v="8"/>
    <n v="3"/>
    <x v="1"/>
    <n v="4"/>
    <s v="No"/>
    <s v="JPY"/>
  </r>
  <r>
    <s v="JP-00110"/>
    <s v="2025-08-28"/>
    <s v="2025-08-29"/>
    <s v="2025-09-06"/>
    <s v="2025-09-05"/>
    <s v="Osaka"/>
    <s v="Osaka"/>
    <x v="4"/>
    <s v="Nagoya"/>
    <x v="3"/>
    <x v="1"/>
    <x v="0"/>
    <n v="7.8"/>
    <n v="1463"/>
    <n v="5396.4"/>
    <n v="7788.51"/>
    <n v="7"/>
    <n v="0"/>
    <x v="0"/>
    <n v="5"/>
    <s v="No"/>
    <s v="JPY"/>
  </r>
  <r>
    <s v="JP-00111"/>
    <s v="2025-07-21"/>
    <s v="2025-07-23"/>
    <s v="2025-07-31"/>
    <s v="2025-07-29"/>
    <s v="Fukuoka"/>
    <s v="Fukuoka"/>
    <x v="0"/>
    <s v="Tokyo"/>
    <x v="3"/>
    <x v="1"/>
    <x v="2"/>
    <n v="14.1"/>
    <n v="449"/>
    <n v="4106.7"/>
    <n v="7614.5"/>
    <n v="6"/>
    <n v="0"/>
    <x v="0"/>
    <n v="5"/>
    <s v="No"/>
    <s v="JPY"/>
  </r>
  <r>
    <s v="JP-00112"/>
    <s v="2025-05-13"/>
    <s v="2025-05-14"/>
    <s v="2025-05-16"/>
    <s v="2025-05-16"/>
    <s v="Fukuoka"/>
    <s v="Fukuoka"/>
    <x v="2"/>
    <s v="Osaka"/>
    <x v="1"/>
    <x v="2"/>
    <x v="1"/>
    <n v="16.399999999999999"/>
    <n v="660"/>
    <n v="6362"/>
    <n v="10082.18"/>
    <n v="2"/>
    <n v="0"/>
    <x v="0"/>
    <n v="5"/>
    <s v="No"/>
    <s v="JPY"/>
  </r>
  <r>
    <s v="JP-00113"/>
    <s v="2025-02-13"/>
    <s v="2025-02-14"/>
    <s v="2025-02-22"/>
    <s v="2025-02-20"/>
    <s v="Tokyo"/>
    <s v="Tokyo"/>
    <x v="1"/>
    <s v="Fukuoka"/>
    <x v="0"/>
    <x v="1"/>
    <x v="2"/>
    <n v="12.2"/>
    <n v="931"/>
    <n v="4812.8"/>
    <n v="9345.59"/>
    <n v="6"/>
    <n v="0"/>
    <x v="0"/>
    <n v="5"/>
    <s v="No"/>
    <s v="JPY"/>
  </r>
  <r>
    <s v="JP-00114"/>
    <s v="2025-12-11"/>
    <s v="2025-12-11"/>
    <s v="2025-12-16"/>
    <s v="2025-12-16"/>
    <s v="Osaka"/>
    <s v="Osaka"/>
    <x v="4"/>
    <s v="Nagoya"/>
    <x v="3"/>
    <x v="0"/>
    <x v="1"/>
    <n v="11.6"/>
    <n v="708"/>
    <n v="4360.3999999999996"/>
    <n v="6522.98"/>
    <n v="5"/>
    <n v="0"/>
    <x v="0"/>
    <n v="5"/>
    <s v="No"/>
    <s v="JPY"/>
  </r>
  <r>
    <s v="JP-00115"/>
    <s v="2025-12-03"/>
    <s v="2025-12-03"/>
    <s v="2025-12-08"/>
    <s v="2025-12-09"/>
    <s v="Tokyo"/>
    <s v="Tokyo"/>
    <x v="2"/>
    <s v="Osaka"/>
    <x v="0"/>
    <x v="0"/>
    <x v="0"/>
    <n v="8.6999999999999993"/>
    <n v="621"/>
    <n v="3957.3"/>
    <n v="8229.4500000000007"/>
    <n v="6"/>
    <n v="1"/>
    <x v="1"/>
    <n v="5"/>
    <s v="No"/>
    <s v="JPY"/>
  </r>
  <r>
    <s v="JP-00116"/>
    <s v="2025-03-13"/>
    <s v="2025-03-14"/>
    <s v="2025-03-19"/>
    <s v="2025-03-19"/>
    <s v="Tokyo"/>
    <s v="Tokyo"/>
    <x v="3"/>
    <s v="Yokohama"/>
    <x v="2"/>
    <x v="0"/>
    <x v="0"/>
    <n v="14.9"/>
    <n v="1538"/>
    <n v="6134.9"/>
    <n v="9582.73"/>
    <n v="5"/>
    <n v="0"/>
    <x v="0"/>
    <n v="5"/>
    <s v="No"/>
    <s v="JPY"/>
  </r>
  <r>
    <s v="JP-00117"/>
    <s v="2025-10-21"/>
    <s v="2025-10-23"/>
    <s v="2025-10-31"/>
    <s v="2025-10-29"/>
    <s v="Osaka"/>
    <s v="Osaka"/>
    <x v="4"/>
    <s v="Nagoya"/>
    <x v="2"/>
    <x v="1"/>
    <x v="2"/>
    <n v="12.8"/>
    <n v="1180"/>
    <n v="5312"/>
    <n v="7641.05"/>
    <n v="6"/>
    <n v="0"/>
    <x v="0"/>
    <n v="5"/>
    <s v="No"/>
    <s v="JPY"/>
  </r>
  <r>
    <s v="JP-00118"/>
    <s v="2025-04-05"/>
    <s v="2025-04-05"/>
    <s v="2025-04-10"/>
    <s v="2025-04-12"/>
    <s v="Aichi"/>
    <s v="Nagoya"/>
    <x v="3"/>
    <s v="Yokohama"/>
    <x v="3"/>
    <x v="0"/>
    <x v="4"/>
    <n v="10.8"/>
    <n v="506"/>
    <n v="3928.8"/>
    <n v="5518.94"/>
    <n v="7"/>
    <n v="2"/>
    <x v="1"/>
    <n v="4"/>
    <s v="No"/>
    <s v="JPY"/>
  </r>
  <r>
    <s v="JP-00119"/>
    <s v="2025-02-12"/>
    <s v="2025-02-13"/>
    <s v="2025-02-21"/>
    <s v="2025-02-20"/>
    <s v="Fukuoka"/>
    <s v="Fukuoka"/>
    <x v="2"/>
    <s v="Osaka"/>
    <x v="2"/>
    <x v="1"/>
    <x v="0"/>
    <n v="2.9"/>
    <n v="495"/>
    <n v="3237.5"/>
    <n v="5845.92"/>
    <n v="7"/>
    <n v="0"/>
    <x v="0"/>
    <n v="5"/>
    <s v="No"/>
    <s v="JPY"/>
  </r>
  <r>
    <s v="JP-00120"/>
    <s v="2025-06-04"/>
    <s v="2025-06-06"/>
    <s v="2025-06-11"/>
    <s v="2025-06-09"/>
    <s v="Aichi"/>
    <s v="Nagoya"/>
    <x v="2"/>
    <s v="Osaka"/>
    <x v="1"/>
    <x v="0"/>
    <x v="4"/>
    <n v="0.6"/>
    <n v="1385"/>
    <n v="4644"/>
    <n v="6412.25"/>
    <n v="3"/>
    <n v="0"/>
    <x v="0"/>
    <n v="5"/>
    <s v="No"/>
    <s v="JPY"/>
  </r>
  <r>
    <s v="JP-00121"/>
    <s v="2025-01-01"/>
    <s v="2025-01-03"/>
    <s v="2025-01-11"/>
    <s v="2025-01-14"/>
    <s v="Osaka"/>
    <s v="Osaka"/>
    <x v="3"/>
    <s v="Yokohama"/>
    <x v="2"/>
    <x v="1"/>
    <x v="4"/>
    <n v="13.3"/>
    <n v="1901"/>
    <n v="6652.3"/>
    <n v="12487.28"/>
    <n v="11"/>
    <n v="3"/>
    <x v="1"/>
    <n v="3"/>
    <s v="No"/>
    <s v="JPY"/>
  </r>
  <r>
    <s v="JP-00122"/>
    <s v="2025-02-26"/>
    <s v="2025-02-27"/>
    <s v="2025-03-04"/>
    <s v="2025-03-05"/>
    <s v="Aichi"/>
    <s v="Nagoya"/>
    <x v="4"/>
    <s v="Nagoya"/>
    <x v="1"/>
    <x v="0"/>
    <x v="3"/>
    <n v="8.3000000000000007"/>
    <n v="1316"/>
    <n v="5174.3"/>
    <n v="10838.47"/>
    <n v="6"/>
    <n v="1"/>
    <x v="1"/>
    <n v="4"/>
    <s v="No"/>
    <s v="JPY"/>
  </r>
  <r>
    <s v="JP-00123"/>
    <s v="2025-08-15"/>
    <s v="2025-08-15"/>
    <s v="2025-08-23"/>
    <s v="2025-08-22"/>
    <s v="Tokyo"/>
    <s v="Tokyo"/>
    <x v="0"/>
    <s v="Tokyo"/>
    <x v="2"/>
    <x v="1"/>
    <x v="0"/>
    <n v="1.7"/>
    <n v="93"/>
    <n v="2411.9"/>
    <n v="3365.28"/>
    <n v="7"/>
    <n v="0"/>
    <x v="0"/>
    <n v="5"/>
    <s v="No"/>
    <s v="JPY"/>
  </r>
  <r>
    <s v="JP-00124"/>
    <s v="2025-05-24"/>
    <s v="2025-05-26"/>
    <s v="2025-06-03"/>
    <s v="2025-06-02"/>
    <s v="Tokyo"/>
    <s v="Tokyo"/>
    <x v="2"/>
    <s v="Osaka"/>
    <x v="3"/>
    <x v="1"/>
    <x v="1"/>
    <n v="12.4"/>
    <n v="2175"/>
    <n v="7069"/>
    <n v="12735.6"/>
    <n v="7"/>
    <n v="0"/>
    <x v="0"/>
    <n v="5"/>
    <s v="No"/>
    <s v="JPY"/>
  </r>
  <r>
    <s v="JP-00125"/>
    <s v="2025-06-10"/>
    <s v="2025-06-11"/>
    <s v="2025-06-13"/>
    <s v="2025-06-14"/>
    <s v="Tokyo"/>
    <s v="Tokyo"/>
    <x v="4"/>
    <s v="Nagoya"/>
    <x v="3"/>
    <x v="2"/>
    <x v="2"/>
    <n v="10.3"/>
    <n v="663"/>
    <n v="5848.9"/>
    <n v="9312.7900000000009"/>
    <n v="3"/>
    <n v="1"/>
    <x v="1"/>
    <n v="5"/>
    <s v="No"/>
    <s v="JPY"/>
  </r>
  <r>
    <s v="JP-00126"/>
    <s v="2025-05-10"/>
    <s v="2025-05-12"/>
    <s v="2025-05-17"/>
    <s v="2025-05-16"/>
    <s v="Aichi"/>
    <s v="Nagoya"/>
    <x v="0"/>
    <s v="Tokyo"/>
    <x v="2"/>
    <x v="0"/>
    <x v="3"/>
    <n v="3.1"/>
    <n v="1164"/>
    <n v="4458.7"/>
    <n v="8145.36"/>
    <n v="4"/>
    <n v="0"/>
    <x v="0"/>
    <n v="5"/>
    <s v="No"/>
    <s v="JPY"/>
  </r>
  <r>
    <s v="JP-00127"/>
    <s v="2025-10-03"/>
    <s v="2025-10-05"/>
    <s v="2025-10-07"/>
    <s v="2025-10-08"/>
    <s v="Tokyo"/>
    <s v="Tokyo"/>
    <x v="1"/>
    <s v="Fukuoka"/>
    <x v="3"/>
    <x v="2"/>
    <x v="1"/>
    <n v="10.3"/>
    <n v="854"/>
    <n v="6192.7"/>
    <n v="11365.01"/>
    <n v="3"/>
    <n v="1"/>
    <x v="1"/>
    <n v="5"/>
    <s v="No"/>
    <s v="JPY"/>
  </r>
  <r>
    <s v="JP-00128"/>
    <s v="2025-12-08"/>
    <s v="2025-12-10"/>
    <s v="2025-12-12"/>
    <s v="2025-12-11"/>
    <s v="Tokyo"/>
    <s v="Tokyo"/>
    <x v="0"/>
    <s v="Tokyo"/>
    <x v="2"/>
    <x v="2"/>
    <x v="0"/>
    <n v="11.8"/>
    <n v="1725"/>
    <n v="7888"/>
    <n v="13535.84"/>
    <n v="1"/>
    <n v="0"/>
    <x v="0"/>
    <n v="5"/>
    <s v="No"/>
    <s v="JPY"/>
  </r>
  <r>
    <s v="JP-00129"/>
    <s v="2025-07-16"/>
    <s v="2025-07-18"/>
    <s v="2025-07-20"/>
    <s v="2025-07-19"/>
    <s v="Osaka"/>
    <s v="Osaka"/>
    <x v="2"/>
    <s v="Osaka"/>
    <x v="0"/>
    <x v="2"/>
    <x v="1"/>
    <n v="10.9"/>
    <n v="1208"/>
    <n v="6880.9"/>
    <n v="13524.86"/>
    <n v="1"/>
    <n v="0"/>
    <x v="0"/>
    <n v="5"/>
    <s v="No"/>
    <s v="JPY"/>
  </r>
  <r>
    <s v="JP-00130"/>
    <s v="2025-02-22"/>
    <s v="2025-02-22"/>
    <s v="2025-03-02"/>
    <s v="2025-02-26"/>
    <s v="Aichi"/>
    <s v="Nagoya"/>
    <x v="4"/>
    <s v="Nagoya"/>
    <x v="0"/>
    <x v="1"/>
    <x v="2"/>
    <n v="14.6"/>
    <n v="580"/>
    <n v="4385"/>
    <n v="7234.1"/>
    <n v="4"/>
    <n v="0"/>
    <x v="0"/>
    <n v="5"/>
    <s v="No"/>
    <s v="JPY"/>
  </r>
  <r>
    <s v="JP-00131"/>
    <s v="2025-04-22"/>
    <s v="2025-04-22"/>
    <s v="2025-04-27"/>
    <s v="2025-04-28"/>
    <s v="Tokyo"/>
    <s v="Tokyo"/>
    <x v="0"/>
    <s v="Tokyo"/>
    <x v="3"/>
    <x v="0"/>
    <x v="3"/>
    <n v="14.4"/>
    <n v="837"/>
    <n v="4830.6000000000004"/>
    <n v="7779.93"/>
    <n v="6"/>
    <n v="1"/>
    <x v="1"/>
    <n v="5"/>
    <s v="No"/>
    <s v="JPY"/>
  </r>
  <r>
    <s v="JP-00132"/>
    <s v="2025-01-01"/>
    <s v="2025-01-03"/>
    <s v="2025-01-11"/>
    <s v="2025-01-08"/>
    <s v="Osaka"/>
    <s v="Osaka"/>
    <x v="1"/>
    <s v="Fukuoka"/>
    <x v="2"/>
    <x v="1"/>
    <x v="4"/>
    <n v="7.7"/>
    <n v="710"/>
    <n v="4032.5"/>
    <n v="7419.46"/>
    <n v="5"/>
    <n v="0"/>
    <x v="0"/>
    <n v="5"/>
    <s v="No"/>
    <s v="JPY"/>
  </r>
  <r>
    <s v="JP-00133"/>
    <s v="2025-10-18"/>
    <s v="2025-10-20"/>
    <s v="2025-10-22"/>
    <s v="2025-10-23"/>
    <s v="Kanagawa"/>
    <s v="Yokohama"/>
    <x v="4"/>
    <s v="Nagoya"/>
    <x v="1"/>
    <x v="2"/>
    <x v="3"/>
    <n v="6.3"/>
    <n v="361"/>
    <n v="4965.3"/>
    <n v="7440.64"/>
    <n v="3"/>
    <n v="1"/>
    <x v="1"/>
    <n v="4"/>
    <s v="No"/>
    <s v="JPY"/>
  </r>
  <r>
    <s v="JP-00134"/>
    <s v="2025-03-27"/>
    <s v="2025-03-29"/>
    <s v="2025-03-31"/>
    <s v="2025-03-30"/>
    <s v="Tokyo"/>
    <s v="Tokyo"/>
    <x v="2"/>
    <s v="Osaka"/>
    <x v="3"/>
    <x v="2"/>
    <x v="1"/>
    <n v="2.6"/>
    <n v="563"/>
    <n v="5014.3999999999996"/>
    <n v="8894.14"/>
    <n v="1"/>
    <n v="0"/>
    <x v="0"/>
    <n v="5"/>
    <s v="No"/>
    <s v="JPY"/>
  </r>
  <r>
    <s v="JP-00135"/>
    <s v="2025-10-06"/>
    <s v="2025-10-07"/>
    <s v="2025-10-09"/>
    <s v="2025-10-11"/>
    <s v="Osaka"/>
    <s v="Osaka"/>
    <x v="4"/>
    <s v="Nagoya"/>
    <x v="0"/>
    <x v="2"/>
    <x v="3"/>
    <n v="15.5"/>
    <n v="763"/>
    <n v="6470.9"/>
    <n v="8147.53"/>
    <n v="4"/>
    <n v="2"/>
    <x v="1"/>
    <n v="4"/>
    <s v="Yes"/>
    <s v="JPY"/>
  </r>
  <r>
    <s v="JP-00136"/>
    <s v="2025-06-27"/>
    <s v="2025-06-27"/>
    <s v="2025-07-02"/>
    <s v="2025-06-30"/>
    <s v="Aichi"/>
    <s v="Nagoya"/>
    <x v="1"/>
    <s v="Fukuoka"/>
    <x v="2"/>
    <x v="0"/>
    <x v="0"/>
    <n v="13.1"/>
    <n v="549"/>
    <n v="4201.7"/>
    <n v="6367.36"/>
    <n v="3"/>
    <n v="0"/>
    <x v="0"/>
    <n v="5"/>
    <s v="No"/>
    <s v="JPY"/>
  </r>
  <r>
    <s v="JP-00137"/>
    <s v="2025-08-16"/>
    <s v="2025-08-17"/>
    <s v="2025-08-19"/>
    <s v="2025-08-20"/>
    <s v="Aichi"/>
    <s v="Nagoya"/>
    <x v="4"/>
    <s v="Nagoya"/>
    <x v="1"/>
    <x v="2"/>
    <x v="4"/>
    <n v="16.899999999999999"/>
    <n v="398"/>
    <n v="5932.9"/>
    <n v="12224.77"/>
    <n v="3"/>
    <n v="1"/>
    <x v="1"/>
    <n v="5"/>
    <s v="No"/>
    <s v="JPY"/>
  </r>
  <r>
    <s v="JP-00138"/>
    <s v="2025-05-06"/>
    <s v="2025-05-08"/>
    <s v="2025-05-16"/>
    <s v="2025-05-18"/>
    <s v="Osaka"/>
    <s v="Osaka"/>
    <x v="0"/>
    <s v="Tokyo"/>
    <x v="2"/>
    <x v="1"/>
    <x v="1"/>
    <n v="1.7"/>
    <n v="1560"/>
    <n v="5052.5"/>
    <n v="6903.11"/>
    <n v="10"/>
    <n v="2"/>
    <x v="1"/>
    <n v="4"/>
    <s v="No"/>
    <s v="JPY"/>
  </r>
  <r>
    <s v="JP-00139"/>
    <s v="2025-05-21"/>
    <s v="2025-05-23"/>
    <s v="2025-05-28"/>
    <s v="2025-05-26"/>
    <s v="Kanagawa"/>
    <s v="Yokohama"/>
    <x v="2"/>
    <s v="Osaka"/>
    <x v="3"/>
    <x v="0"/>
    <x v="0"/>
    <n v="5.2"/>
    <n v="1684"/>
    <n v="5573.2"/>
    <n v="10667.08"/>
    <n v="3"/>
    <n v="0"/>
    <x v="0"/>
    <n v="4"/>
    <s v="No"/>
    <s v="JPY"/>
  </r>
  <r>
    <s v="JP-00140"/>
    <s v="2025-08-25"/>
    <s v="2025-08-27"/>
    <s v="2025-08-29"/>
    <s v="2025-08-28"/>
    <s v="Aichi"/>
    <s v="Nagoya"/>
    <x v="3"/>
    <s v="Yokohama"/>
    <x v="0"/>
    <x v="2"/>
    <x v="2"/>
    <n v="6.9"/>
    <n v="1286"/>
    <n v="6681.3"/>
    <n v="11017.6"/>
    <n v="1"/>
    <n v="0"/>
    <x v="0"/>
    <n v="5"/>
    <s v="No"/>
    <s v="JPY"/>
  </r>
  <r>
    <s v="JP-00141"/>
    <s v="2025-06-01"/>
    <s v="2025-06-02"/>
    <s v="2025-06-10"/>
    <s v="2025-06-11"/>
    <s v="Osaka"/>
    <s v="Osaka"/>
    <x v="0"/>
    <s v="Tokyo"/>
    <x v="0"/>
    <x v="1"/>
    <x v="3"/>
    <n v="15.1"/>
    <n v="1121"/>
    <n v="5401.3"/>
    <n v="9868.4599999999991"/>
    <n v="9"/>
    <n v="1"/>
    <x v="1"/>
    <n v="4"/>
    <s v="No"/>
    <s v="JPY"/>
  </r>
  <r>
    <s v="JP-00142"/>
    <s v="2025-01-11"/>
    <s v="2025-01-12"/>
    <s v="2025-01-17"/>
    <s v="2025-01-14"/>
    <s v="Osaka"/>
    <s v="Osaka"/>
    <x v="2"/>
    <s v="Osaka"/>
    <x v="1"/>
    <x v="0"/>
    <x v="3"/>
    <n v="12.4"/>
    <n v="1696"/>
    <n v="6206.8"/>
    <n v="10726.21"/>
    <n v="2"/>
    <n v="0"/>
    <x v="0"/>
    <n v="5"/>
    <s v="Yes"/>
    <s v="JPY"/>
  </r>
  <r>
    <s v="JP-00143"/>
    <s v="2025-07-03"/>
    <s v="2025-07-04"/>
    <s v="2025-07-12"/>
    <s v="2025-07-08"/>
    <s v="Aichi"/>
    <s v="Nagoya"/>
    <x v="4"/>
    <s v="Nagoya"/>
    <x v="1"/>
    <x v="1"/>
    <x v="0"/>
    <n v="16.5"/>
    <n v="1416"/>
    <n v="6051.3"/>
    <n v="8189.27"/>
    <n v="4"/>
    <n v="0"/>
    <x v="0"/>
    <n v="5"/>
    <s v="No"/>
    <s v="JPY"/>
  </r>
  <r>
    <s v="JP-00144"/>
    <s v="2025-09-27"/>
    <s v="2025-09-29"/>
    <s v="2025-10-07"/>
    <s v="2025-10-10"/>
    <s v="Fukuoka"/>
    <s v="Fukuoka"/>
    <x v="2"/>
    <s v="Osaka"/>
    <x v="3"/>
    <x v="1"/>
    <x v="2"/>
    <n v="6.6"/>
    <n v="1081"/>
    <n v="4606.8"/>
    <n v="7039.69"/>
    <n v="11"/>
    <n v="3"/>
    <x v="1"/>
    <n v="4"/>
    <s v="Yes"/>
    <s v="JPY"/>
  </r>
  <r>
    <s v="JP-00145"/>
    <s v="2025-12-16"/>
    <s v="2025-12-18"/>
    <s v="2025-12-20"/>
    <s v="2025-12-21"/>
    <s v="Aichi"/>
    <s v="Nagoya"/>
    <x v="4"/>
    <s v="Nagoya"/>
    <x v="2"/>
    <x v="2"/>
    <x v="0"/>
    <n v="0.2"/>
    <n v="395"/>
    <n v="4508"/>
    <n v="6687.79"/>
    <n v="3"/>
    <n v="1"/>
    <x v="1"/>
    <n v="5"/>
    <s v="No"/>
    <s v="JPY"/>
  </r>
  <r>
    <s v="JP-00146"/>
    <s v="2025-07-16"/>
    <s v="2025-07-17"/>
    <s v="2025-07-19"/>
    <s v="2025-07-20"/>
    <s v="Osaka"/>
    <s v="Osaka"/>
    <x v="2"/>
    <s v="Osaka"/>
    <x v="3"/>
    <x v="2"/>
    <x v="3"/>
    <n v="12"/>
    <n v="594"/>
    <n v="5869.2"/>
    <n v="11579.94"/>
    <n v="3"/>
    <n v="1"/>
    <x v="1"/>
    <n v="5"/>
    <s v="No"/>
    <s v="JPY"/>
  </r>
  <r>
    <s v="JP-00147"/>
    <s v="2025-10-13"/>
    <s v="2025-10-15"/>
    <s v="2025-10-23"/>
    <s v="2025-10-19"/>
    <s v="Kanagawa"/>
    <s v="Yokohama"/>
    <x v="3"/>
    <s v="Yokohama"/>
    <x v="2"/>
    <x v="1"/>
    <x v="1"/>
    <n v="16.7"/>
    <n v="1189"/>
    <n v="5659.7"/>
    <n v="8427.89"/>
    <n v="4"/>
    <n v="0"/>
    <x v="0"/>
    <n v="5"/>
    <s v="No"/>
    <s v="JPY"/>
  </r>
  <r>
    <s v="JP-00148"/>
    <s v="2025-10-04"/>
    <s v="2025-10-05"/>
    <s v="2025-10-07"/>
    <s v="2025-10-08"/>
    <s v="Kanagawa"/>
    <s v="Yokohama"/>
    <x v="1"/>
    <s v="Fukuoka"/>
    <x v="1"/>
    <x v="2"/>
    <x v="4"/>
    <n v="3"/>
    <n v="2004"/>
    <n v="7642.2"/>
    <n v="9702.33"/>
    <n v="3"/>
    <n v="1"/>
    <x v="1"/>
    <n v="5"/>
    <s v="No"/>
    <s v="JPY"/>
  </r>
  <r>
    <s v="JP-00149"/>
    <s v="2025-07-01"/>
    <s v="2025-07-01"/>
    <s v="2025-07-03"/>
    <s v="2025-07-05"/>
    <s v="Fukuoka"/>
    <s v="Fukuoka"/>
    <x v="1"/>
    <s v="Fukuoka"/>
    <x v="1"/>
    <x v="2"/>
    <x v="3"/>
    <n v="2"/>
    <n v="1354"/>
    <n v="6387.2"/>
    <n v="12982.21"/>
    <n v="4"/>
    <n v="2"/>
    <x v="1"/>
    <n v="3"/>
    <s v="No"/>
    <s v="JPY"/>
  </r>
  <r>
    <s v="JP-00150"/>
    <s v="2025-09-09"/>
    <s v="2025-09-09"/>
    <s v="2025-09-17"/>
    <s v="2025-09-19"/>
    <s v="Fukuoka"/>
    <s v="Fukuoka"/>
    <x v="1"/>
    <s v="Fukuoka"/>
    <x v="0"/>
    <x v="1"/>
    <x v="0"/>
    <n v="16.600000000000001"/>
    <n v="1670"/>
    <n v="6517"/>
    <n v="13333.32"/>
    <n v="10"/>
    <n v="2"/>
    <x v="1"/>
    <n v="4"/>
    <s v="No"/>
    <s v="JPY"/>
  </r>
  <r>
    <s v="JP-00151"/>
    <s v="2025-06-02"/>
    <s v="2025-06-02"/>
    <s v="2025-06-07"/>
    <s v="2025-06-07"/>
    <s v="Tokyo"/>
    <s v="Tokyo"/>
    <x v="3"/>
    <s v="Yokohama"/>
    <x v="0"/>
    <x v="0"/>
    <x v="0"/>
    <n v="6.3"/>
    <n v="1750"/>
    <n v="5785.5"/>
    <n v="8622.1299999999992"/>
    <n v="5"/>
    <n v="0"/>
    <x v="0"/>
    <n v="5"/>
    <s v="No"/>
    <s v="JPY"/>
  </r>
  <r>
    <s v="JP-00152"/>
    <s v="2025-06-14"/>
    <s v="2025-06-14"/>
    <s v="2025-06-16"/>
    <s v="2025-06-16"/>
    <s v="Tokyo"/>
    <s v="Tokyo"/>
    <x v="3"/>
    <s v="Yokohama"/>
    <x v="2"/>
    <x v="2"/>
    <x v="1"/>
    <n v="15.7"/>
    <n v="1276"/>
    <n v="7411.3"/>
    <n v="10871.23"/>
    <n v="2"/>
    <n v="0"/>
    <x v="0"/>
    <n v="5"/>
    <s v="No"/>
    <s v="JPY"/>
  </r>
  <r>
    <s v="JP-00153"/>
    <s v="2025-01-08"/>
    <s v="2025-01-09"/>
    <s v="2025-01-17"/>
    <s v="2025-01-19"/>
    <s v="Osaka"/>
    <s v="Osaka"/>
    <x v="4"/>
    <s v="Nagoya"/>
    <x v="1"/>
    <x v="1"/>
    <x v="1"/>
    <n v="10.4"/>
    <n v="1127"/>
    <n v="5012.6000000000004"/>
    <n v="8299.7199999999993"/>
    <n v="10"/>
    <n v="2"/>
    <x v="1"/>
    <n v="4"/>
    <s v="No"/>
    <s v="JPY"/>
  </r>
  <r>
    <s v="JP-00154"/>
    <s v="2025-01-10"/>
    <s v="2025-01-12"/>
    <s v="2025-01-14"/>
    <s v="2025-01-16"/>
    <s v="Fukuoka"/>
    <s v="Fukuoka"/>
    <x v="0"/>
    <s v="Tokyo"/>
    <x v="2"/>
    <x v="2"/>
    <x v="0"/>
    <n v="5.0999999999999996"/>
    <n v="381"/>
    <n v="4899.3"/>
    <n v="8711.7900000000009"/>
    <n v="4"/>
    <n v="2"/>
    <x v="1"/>
    <n v="3"/>
    <s v="No"/>
    <s v="JPY"/>
  </r>
  <r>
    <s v="JP-00155"/>
    <s v="2025-06-09"/>
    <s v="2025-06-09"/>
    <s v="2025-06-11"/>
    <s v="2025-06-10"/>
    <s v="Tokyo"/>
    <s v="Tokyo"/>
    <x v="1"/>
    <s v="Fukuoka"/>
    <x v="3"/>
    <x v="2"/>
    <x v="2"/>
    <n v="8"/>
    <n v="662"/>
    <n v="5651.6"/>
    <n v="11000.08"/>
    <n v="1"/>
    <n v="0"/>
    <x v="0"/>
    <n v="5"/>
    <s v="No"/>
    <s v="JPY"/>
  </r>
  <r>
    <s v="JP-00156"/>
    <s v="2025-12-23"/>
    <s v="2025-12-23"/>
    <s v="2025-12-31"/>
    <s v="2025-12-31"/>
    <s v="Kanagawa"/>
    <s v="Yokohama"/>
    <x v="4"/>
    <s v="Nagoya"/>
    <x v="2"/>
    <x v="1"/>
    <x v="0"/>
    <n v="10.6"/>
    <n v="911"/>
    <n v="4640.8"/>
    <n v="9348.24"/>
    <n v="8"/>
    <n v="0"/>
    <x v="0"/>
    <n v="5"/>
    <s v="No"/>
    <s v="JPY"/>
  </r>
  <r>
    <s v="JP-00157"/>
    <s v="2025-08-21"/>
    <s v="2025-08-22"/>
    <s v="2025-08-30"/>
    <s v="2025-08-28"/>
    <s v="Kanagawa"/>
    <s v="Yokohama"/>
    <x v="1"/>
    <s v="Fukuoka"/>
    <x v="0"/>
    <x v="1"/>
    <x v="2"/>
    <n v="12"/>
    <n v="1236"/>
    <n v="5344.8"/>
    <n v="9855.2199999999993"/>
    <n v="6"/>
    <n v="0"/>
    <x v="0"/>
    <n v="5"/>
    <s v="No"/>
    <s v="JPY"/>
  </r>
  <r>
    <s v="JP-00158"/>
    <s v="2025-10-26"/>
    <s v="2025-10-27"/>
    <s v="2025-11-01"/>
    <s v="2025-11-02"/>
    <s v="Fukuoka"/>
    <s v="Fukuoka"/>
    <x v="0"/>
    <s v="Tokyo"/>
    <x v="3"/>
    <x v="0"/>
    <x v="4"/>
    <n v="9.1999999999999993"/>
    <n v="628"/>
    <n v="4012.4"/>
    <n v="7577.35"/>
    <n v="6"/>
    <n v="1"/>
    <x v="1"/>
    <n v="5"/>
    <s v="No"/>
    <s v="JPY"/>
  </r>
  <r>
    <s v="JP-00159"/>
    <s v="2025-07-29"/>
    <s v="2025-07-30"/>
    <s v="2025-08-07"/>
    <s v="2025-08-04"/>
    <s v="Osaka"/>
    <s v="Osaka"/>
    <x v="3"/>
    <s v="Yokohama"/>
    <x v="3"/>
    <x v="1"/>
    <x v="0"/>
    <n v="12.1"/>
    <n v="1537"/>
    <n v="5895.1"/>
    <n v="8792.32"/>
    <n v="5"/>
    <n v="0"/>
    <x v="0"/>
    <n v="5"/>
    <s v="No"/>
    <s v="JPY"/>
  </r>
  <r>
    <s v="JP-00160"/>
    <s v="2025-10-26"/>
    <s v="2025-10-27"/>
    <s v="2025-11-01"/>
    <s v="2025-10-31"/>
    <s v="Tokyo"/>
    <s v="Tokyo"/>
    <x v="0"/>
    <s v="Tokyo"/>
    <x v="0"/>
    <x v="0"/>
    <x v="0"/>
    <n v="2"/>
    <n v="262"/>
    <n v="2741.6"/>
    <n v="3977.51"/>
    <n v="4"/>
    <n v="0"/>
    <x v="0"/>
    <n v="4"/>
    <s v="No"/>
    <s v="JPY"/>
  </r>
  <r>
    <s v="JP-00161"/>
    <s v="2025-01-23"/>
    <s v="2025-01-23"/>
    <s v="2025-01-25"/>
    <s v="2025-01-28"/>
    <s v="Fukuoka"/>
    <s v="Fukuoka"/>
    <x v="3"/>
    <s v="Yokohama"/>
    <x v="3"/>
    <x v="2"/>
    <x v="3"/>
    <n v="13.9"/>
    <n v="1137"/>
    <n v="7008.1"/>
    <n v="12403.04"/>
    <n v="5"/>
    <n v="3"/>
    <x v="1"/>
    <n v="4"/>
    <s v="No"/>
    <s v="JPY"/>
  </r>
  <r>
    <s v="JP-00162"/>
    <s v="2025-08-03"/>
    <s v="2025-08-05"/>
    <s v="2025-08-13"/>
    <s v="2025-08-16"/>
    <s v="Tokyo"/>
    <s v="Tokyo"/>
    <x v="1"/>
    <s v="Fukuoka"/>
    <x v="0"/>
    <x v="1"/>
    <x v="2"/>
    <n v="6.3"/>
    <n v="1986"/>
    <n v="6210.3"/>
    <n v="12443.37"/>
    <n v="11"/>
    <n v="3"/>
    <x v="1"/>
    <n v="4"/>
    <s v="No"/>
    <s v="JPY"/>
  </r>
  <r>
    <s v="JP-00163"/>
    <s v="2025-06-01"/>
    <s v="2025-06-03"/>
    <s v="2025-06-08"/>
    <s v="2025-06-10"/>
    <s v="Tokyo"/>
    <s v="Tokyo"/>
    <x v="3"/>
    <s v="Yokohama"/>
    <x v="3"/>
    <x v="0"/>
    <x v="1"/>
    <n v="3.4"/>
    <n v="855"/>
    <n v="3928"/>
    <n v="5974.5"/>
    <n v="7"/>
    <n v="2"/>
    <x v="1"/>
    <n v="4"/>
    <s v="No"/>
    <s v="JPY"/>
  </r>
  <r>
    <s v="JP-00164"/>
    <s v="2025-12-01"/>
    <s v="2025-12-01"/>
    <s v="2025-12-06"/>
    <s v="2025-12-06"/>
    <s v="Tokyo"/>
    <s v="Tokyo"/>
    <x v="2"/>
    <s v="Osaka"/>
    <x v="0"/>
    <x v="0"/>
    <x v="0"/>
    <n v="17.100000000000001"/>
    <n v="1151"/>
    <n v="5625.3"/>
    <n v="9985.23"/>
    <n v="5"/>
    <n v="0"/>
    <x v="0"/>
    <n v="4"/>
    <s v="No"/>
    <s v="JPY"/>
  </r>
  <r>
    <s v="JP-00165"/>
    <s v="2025-08-09"/>
    <s v="2025-08-09"/>
    <s v="2025-08-14"/>
    <s v="2025-08-15"/>
    <s v="Kanagawa"/>
    <s v="Yokohama"/>
    <x v="0"/>
    <s v="Tokyo"/>
    <x v="1"/>
    <x v="0"/>
    <x v="1"/>
    <n v="11.1"/>
    <n v="1836"/>
    <n v="6348.3"/>
    <n v="11071.47"/>
    <n v="6"/>
    <n v="1"/>
    <x v="1"/>
    <n v="5"/>
    <s v="No"/>
    <s v="JPY"/>
  </r>
  <r>
    <s v="JP-00166"/>
    <s v="2025-04-15"/>
    <s v="2025-04-16"/>
    <s v="2025-04-21"/>
    <s v="2025-04-23"/>
    <s v="Kanagawa"/>
    <s v="Yokohama"/>
    <x v="3"/>
    <s v="Yokohama"/>
    <x v="3"/>
    <x v="0"/>
    <x v="2"/>
    <n v="1.5"/>
    <n v="395"/>
    <n v="2938.5"/>
    <n v="5975.19"/>
    <n v="7"/>
    <n v="2"/>
    <x v="1"/>
    <n v="4"/>
    <s v="No"/>
    <s v="JPY"/>
  </r>
  <r>
    <s v="JP-00167"/>
    <s v="2025-10-14"/>
    <s v="2025-10-14"/>
    <s v="2025-10-19"/>
    <s v="2025-10-16"/>
    <s v="Tokyo"/>
    <s v="Tokyo"/>
    <x v="3"/>
    <s v="Yokohama"/>
    <x v="2"/>
    <x v="0"/>
    <x v="3"/>
    <n v="1.8"/>
    <n v="1504"/>
    <n v="4960.2"/>
    <n v="8408.32"/>
    <n v="2"/>
    <n v="0"/>
    <x v="0"/>
    <n v="5"/>
    <s v="No"/>
    <s v="JPY"/>
  </r>
  <r>
    <s v="JP-00168"/>
    <s v="2025-02-05"/>
    <s v="2025-02-05"/>
    <s v="2025-02-07"/>
    <s v="2025-02-09"/>
    <s v="Osaka"/>
    <s v="Osaka"/>
    <x v="3"/>
    <s v="Yokohama"/>
    <x v="2"/>
    <x v="2"/>
    <x v="0"/>
    <n v="3.2"/>
    <n v="1259"/>
    <n v="6318.2"/>
    <n v="11381.01"/>
    <n v="4"/>
    <n v="2"/>
    <x v="1"/>
    <n v="4"/>
    <s v="No"/>
    <s v="JPY"/>
  </r>
  <r>
    <s v="JP-00169"/>
    <s v="2025-03-07"/>
    <s v="2025-03-08"/>
    <s v="2025-03-16"/>
    <s v="2025-03-16"/>
    <s v="Osaka"/>
    <s v="Osaka"/>
    <x v="3"/>
    <s v="Yokohama"/>
    <x v="1"/>
    <x v="1"/>
    <x v="1"/>
    <n v="1.8"/>
    <n v="547"/>
    <n v="3237.6"/>
    <n v="6321"/>
    <n v="8"/>
    <n v="0"/>
    <x v="0"/>
    <n v="5"/>
    <s v="No"/>
    <s v="JPY"/>
  </r>
  <r>
    <s v="JP-00170"/>
    <s v="2025-04-08"/>
    <s v="2025-04-08"/>
    <s v="2025-04-13"/>
    <s v="2025-04-13"/>
    <s v="Fukuoka"/>
    <s v="Fukuoka"/>
    <x v="4"/>
    <s v="Nagoya"/>
    <x v="3"/>
    <x v="0"/>
    <x v="2"/>
    <n v="17.600000000000001"/>
    <n v="1319"/>
    <n v="5970.2"/>
    <n v="9237.1299999999992"/>
    <n v="5"/>
    <n v="0"/>
    <x v="0"/>
    <n v="5"/>
    <s v="No"/>
    <s v="JPY"/>
  </r>
  <r>
    <s v="JP-00171"/>
    <s v="2025-07-19"/>
    <s v="2025-07-19"/>
    <s v="2025-07-27"/>
    <s v="2025-07-28"/>
    <s v="Tokyo"/>
    <s v="Tokyo"/>
    <x v="1"/>
    <s v="Fukuoka"/>
    <x v="3"/>
    <x v="1"/>
    <x v="3"/>
    <n v="16.5"/>
    <n v="733"/>
    <n v="4821.8999999999996"/>
    <n v="6926.05"/>
    <n v="9"/>
    <n v="1"/>
    <x v="1"/>
    <n v="5"/>
    <s v="No"/>
    <s v="JPY"/>
  </r>
  <r>
    <s v="JP-00172"/>
    <s v="2025-03-14"/>
    <s v="2025-03-15"/>
    <s v="2025-03-20"/>
    <s v="2025-03-17"/>
    <s v="Kanagawa"/>
    <s v="Yokohama"/>
    <x v="0"/>
    <s v="Tokyo"/>
    <x v="1"/>
    <x v="0"/>
    <x v="3"/>
    <n v="11.1"/>
    <n v="1992"/>
    <n v="6629.1"/>
    <n v="9493.44"/>
    <n v="2"/>
    <n v="0"/>
    <x v="0"/>
    <n v="5"/>
    <s v="No"/>
    <s v="JPY"/>
  </r>
  <r>
    <s v="JP-00173"/>
    <s v="2025-03-18"/>
    <s v="2025-03-20"/>
    <s v="2025-03-25"/>
    <s v="2025-03-24"/>
    <s v="Aichi"/>
    <s v="Nagoya"/>
    <x v="1"/>
    <s v="Fukuoka"/>
    <x v="1"/>
    <x v="0"/>
    <x v="4"/>
    <n v="17.100000000000001"/>
    <n v="351"/>
    <n v="4185.3"/>
    <n v="6655.24"/>
    <n v="4"/>
    <n v="0"/>
    <x v="0"/>
    <n v="5"/>
    <s v="No"/>
    <s v="JPY"/>
  </r>
  <r>
    <s v="JP-00174"/>
    <s v="2025-09-05"/>
    <s v="2025-09-06"/>
    <s v="2025-09-11"/>
    <s v="2025-09-08"/>
    <s v="Aichi"/>
    <s v="Nagoya"/>
    <x v="0"/>
    <s v="Tokyo"/>
    <x v="0"/>
    <x v="0"/>
    <x v="2"/>
    <n v="7.9"/>
    <n v="2180"/>
    <n v="6695.5"/>
    <n v="9128.08"/>
    <n v="2"/>
    <n v="0"/>
    <x v="0"/>
    <n v="5"/>
    <s v="No"/>
    <s v="JPY"/>
  </r>
  <r>
    <s v="JP-00175"/>
    <s v="2025-04-18"/>
    <s v="2025-04-20"/>
    <s v="2025-04-22"/>
    <s v="2025-04-21"/>
    <s v="Osaka"/>
    <s v="Osaka"/>
    <x v="1"/>
    <s v="Fukuoka"/>
    <x v="3"/>
    <x v="2"/>
    <x v="0"/>
    <n v="15.9"/>
    <n v="1264"/>
    <n v="7406.7"/>
    <n v="11779.75"/>
    <n v="1"/>
    <n v="0"/>
    <x v="0"/>
    <n v="4"/>
    <s v="No"/>
    <s v="JPY"/>
  </r>
  <r>
    <s v="JP-00176"/>
    <s v="2025-07-30"/>
    <s v="2025-07-30"/>
    <s v="2025-08-04"/>
    <s v="2025-08-04"/>
    <s v="Kanagawa"/>
    <s v="Yokohama"/>
    <x v="1"/>
    <s v="Fukuoka"/>
    <x v="3"/>
    <x v="0"/>
    <x v="1"/>
    <n v="7"/>
    <n v="2057"/>
    <n v="6397.6"/>
    <n v="13056.29"/>
    <n v="5"/>
    <n v="0"/>
    <x v="0"/>
    <n v="5"/>
    <s v="No"/>
    <s v="JPY"/>
  </r>
  <r>
    <s v="JP-00177"/>
    <s v="2025-06-19"/>
    <s v="2025-06-20"/>
    <s v="2025-06-25"/>
    <s v="2025-06-22"/>
    <s v="Osaka"/>
    <s v="Osaka"/>
    <x v="2"/>
    <s v="Osaka"/>
    <x v="2"/>
    <x v="0"/>
    <x v="0"/>
    <n v="8.3000000000000007"/>
    <n v="1852"/>
    <n v="6139.1"/>
    <n v="12385.45"/>
    <n v="2"/>
    <n v="0"/>
    <x v="0"/>
    <n v="5"/>
    <s v="No"/>
    <s v="JPY"/>
  </r>
  <r>
    <s v="JP-00178"/>
    <s v="2025-12-19"/>
    <s v="2025-12-20"/>
    <s v="2025-12-28"/>
    <s v="2025-12-26"/>
    <s v="Aichi"/>
    <s v="Nagoya"/>
    <x v="3"/>
    <s v="Yokohama"/>
    <x v="2"/>
    <x v="1"/>
    <x v="1"/>
    <n v="15.9"/>
    <n v="726"/>
    <n v="4758.3"/>
    <n v="7483.24"/>
    <n v="6"/>
    <n v="0"/>
    <x v="0"/>
    <n v="5"/>
    <s v="No"/>
    <s v="JPY"/>
  </r>
  <r>
    <s v="JP-00179"/>
    <s v="2025-08-22"/>
    <s v="2025-08-23"/>
    <s v="2025-08-31"/>
    <s v="2025-08-31"/>
    <s v="Fukuoka"/>
    <s v="Fukuoka"/>
    <x v="4"/>
    <s v="Nagoya"/>
    <x v="3"/>
    <x v="1"/>
    <x v="1"/>
    <n v="3.3"/>
    <n v="1400"/>
    <n v="4900.5"/>
    <n v="7267.26"/>
    <n v="8"/>
    <n v="0"/>
    <x v="0"/>
    <n v="5"/>
    <s v="No"/>
    <s v="JPY"/>
  </r>
  <r>
    <s v="JP-00180"/>
    <s v="2025-10-25"/>
    <s v="2025-10-25"/>
    <s v="2025-10-27"/>
    <s v="2025-10-29"/>
    <s v="Tokyo"/>
    <s v="Tokyo"/>
    <x v="2"/>
    <s v="Osaka"/>
    <x v="2"/>
    <x v="2"/>
    <x v="4"/>
    <n v="16"/>
    <n v="414"/>
    <n v="5885.2"/>
    <n v="11579.77"/>
    <n v="4"/>
    <n v="2"/>
    <x v="1"/>
    <n v="4"/>
    <s v="No"/>
    <s v="JPY"/>
  </r>
  <r>
    <s v="JP-00181"/>
    <s v="2025-03-16"/>
    <s v="2025-03-17"/>
    <s v="2025-03-25"/>
    <s v="2025-03-25"/>
    <s v="Aichi"/>
    <s v="Nagoya"/>
    <x v="0"/>
    <s v="Tokyo"/>
    <x v="2"/>
    <x v="1"/>
    <x v="1"/>
    <n v="15.7"/>
    <n v="1182"/>
    <n v="5562.1"/>
    <n v="9038.41"/>
    <n v="8"/>
    <n v="0"/>
    <x v="0"/>
    <n v="5"/>
    <s v="No"/>
    <s v="JPY"/>
  </r>
  <r>
    <s v="JP-00182"/>
    <s v="2025-07-17"/>
    <s v="2025-07-17"/>
    <s v="2025-07-25"/>
    <s v="2025-07-22"/>
    <s v="Osaka"/>
    <s v="Osaka"/>
    <x v="0"/>
    <s v="Tokyo"/>
    <x v="0"/>
    <x v="1"/>
    <x v="1"/>
    <n v="10.7"/>
    <n v="307"/>
    <n v="3562.1"/>
    <n v="5281.37"/>
    <n v="5"/>
    <n v="0"/>
    <x v="0"/>
    <n v="5"/>
    <s v="No"/>
    <s v="JPY"/>
  </r>
  <r>
    <s v="JP-00183"/>
    <s v="2025-01-08"/>
    <s v="2025-01-08"/>
    <s v="2025-01-13"/>
    <s v="2025-01-15"/>
    <s v="Aichi"/>
    <s v="Nagoya"/>
    <x v="4"/>
    <s v="Nagoya"/>
    <x v="2"/>
    <x v="0"/>
    <x v="0"/>
    <n v="3.5"/>
    <n v="1927"/>
    <n v="5866.1"/>
    <n v="7428.1"/>
    <n v="7"/>
    <n v="2"/>
    <x v="1"/>
    <n v="4"/>
    <s v="No"/>
    <s v="JPY"/>
  </r>
  <r>
    <s v="JP-00184"/>
    <s v="2025-11-03"/>
    <s v="2025-11-03"/>
    <s v="2025-11-08"/>
    <s v="2025-11-05"/>
    <s v="Kanagawa"/>
    <s v="Yokohama"/>
    <x v="3"/>
    <s v="Yokohama"/>
    <x v="0"/>
    <x v="0"/>
    <x v="4"/>
    <n v="10.4"/>
    <n v="823"/>
    <n v="4465.3999999999996"/>
    <n v="7345.15"/>
    <n v="2"/>
    <n v="0"/>
    <x v="0"/>
    <n v="5"/>
    <s v="No"/>
    <s v="JPY"/>
  </r>
  <r>
    <s v="JP-00185"/>
    <s v="2025-03-05"/>
    <s v="2025-03-06"/>
    <s v="2025-03-11"/>
    <s v="2025-03-08"/>
    <s v="Fukuoka"/>
    <s v="Fukuoka"/>
    <x v="1"/>
    <s v="Fukuoka"/>
    <x v="3"/>
    <x v="0"/>
    <x v="0"/>
    <n v="5.2"/>
    <n v="525"/>
    <n v="3487"/>
    <n v="6138.17"/>
    <n v="2"/>
    <n v="0"/>
    <x v="0"/>
    <n v="5"/>
    <s v="No"/>
    <s v="JPY"/>
  </r>
  <r>
    <s v="JP-00186"/>
    <s v="2025-11-11"/>
    <s v="2025-11-11"/>
    <s v="2025-11-19"/>
    <s v="2025-11-19"/>
    <s v="Fukuoka"/>
    <s v="Fukuoka"/>
    <x v="2"/>
    <s v="Osaka"/>
    <x v="3"/>
    <x v="1"/>
    <x v="3"/>
    <n v="1.1000000000000001"/>
    <n v="1300"/>
    <n v="4533.5"/>
    <n v="9423.17"/>
    <n v="8"/>
    <n v="0"/>
    <x v="0"/>
    <n v="5"/>
    <s v="No"/>
    <s v="JPY"/>
  </r>
  <r>
    <s v="JP-00187"/>
    <s v="2025-04-08"/>
    <s v="2025-04-10"/>
    <s v="2025-04-15"/>
    <s v="2025-04-16"/>
    <s v="Kanagawa"/>
    <s v="Yokohama"/>
    <x v="4"/>
    <s v="Nagoya"/>
    <x v="0"/>
    <x v="0"/>
    <x v="0"/>
    <n v="4.4000000000000004"/>
    <n v="1653"/>
    <n v="5449.4"/>
    <n v="9879.84"/>
    <n v="6"/>
    <n v="1"/>
    <x v="1"/>
    <n v="5"/>
    <s v="Yes"/>
    <s v="JPY"/>
  </r>
  <r>
    <s v="JP-00188"/>
    <s v="2025-10-19"/>
    <s v="2025-10-20"/>
    <s v="2025-10-22"/>
    <s v="2025-10-21"/>
    <s v="Osaka"/>
    <s v="Osaka"/>
    <x v="1"/>
    <s v="Fukuoka"/>
    <x v="2"/>
    <x v="2"/>
    <x v="2"/>
    <n v="4.5"/>
    <n v="1375"/>
    <n v="6637.5"/>
    <n v="10829.94"/>
    <n v="1"/>
    <n v="0"/>
    <x v="0"/>
    <n v="4"/>
    <s v="No"/>
    <s v="JPY"/>
  </r>
  <r>
    <s v="JP-00189"/>
    <s v="2025-04-11"/>
    <s v="2025-04-12"/>
    <s v="2025-04-20"/>
    <s v="2025-04-18"/>
    <s v="Aichi"/>
    <s v="Nagoya"/>
    <x v="3"/>
    <s v="Yokohama"/>
    <x v="1"/>
    <x v="1"/>
    <x v="2"/>
    <n v="2.9"/>
    <n v="596"/>
    <n v="3419.3"/>
    <n v="5567.71"/>
    <n v="6"/>
    <n v="0"/>
    <x v="0"/>
    <n v="5"/>
    <s v="No"/>
    <s v="JPY"/>
  </r>
  <r>
    <s v="JP-00190"/>
    <s v="2025-06-14"/>
    <s v="2025-06-16"/>
    <s v="2025-06-18"/>
    <s v="2025-06-17"/>
    <s v="Kanagawa"/>
    <s v="Yokohama"/>
    <x v="3"/>
    <s v="Yokohama"/>
    <x v="1"/>
    <x v="2"/>
    <x v="1"/>
    <n v="11"/>
    <n v="1064"/>
    <n v="6630.2"/>
    <n v="10693.23"/>
    <n v="1"/>
    <n v="0"/>
    <x v="0"/>
    <n v="5"/>
    <s v="No"/>
    <s v="JPY"/>
  </r>
  <r>
    <s v="JP-00191"/>
    <s v="2025-05-11"/>
    <s v="2025-05-13"/>
    <s v="2025-05-18"/>
    <s v="2025-05-18"/>
    <s v="Osaka"/>
    <s v="Osaka"/>
    <x v="1"/>
    <s v="Fukuoka"/>
    <x v="0"/>
    <x v="0"/>
    <x v="4"/>
    <n v="10.8"/>
    <n v="2011"/>
    <n v="6637.8"/>
    <n v="9470.06"/>
    <n v="5"/>
    <n v="0"/>
    <x v="0"/>
    <n v="4"/>
    <s v="No"/>
    <s v="JPY"/>
  </r>
  <r>
    <s v="JP-00192"/>
    <s v="2025-05-05"/>
    <s v="2025-05-06"/>
    <s v="2025-05-08"/>
    <s v="2025-05-10"/>
    <s v="Tokyo"/>
    <s v="Tokyo"/>
    <x v="2"/>
    <s v="Osaka"/>
    <x v="0"/>
    <x v="2"/>
    <x v="1"/>
    <n v="12.6"/>
    <n v="714"/>
    <n v="6136.2"/>
    <n v="10416.24"/>
    <n v="4"/>
    <n v="2"/>
    <x v="1"/>
    <n v="4"/>
    <s v="No"/>
    <s v="JPY"/>
  </r>
  <r>
    <s v="JP-00193"/>
    <s v="2025-01-08"/>
    <s v="2025-01-09"/>
    <s v="2025-01-11"/>
    <s v="2025-01-10"/>
    <s v="Kanagawa"/>
    <s v="Yokohama"/>
    <x v="3"/>
    <s v="Yokohama"/>
    <x v="2"/>
    <x v="2"/>
    <x v="1"/>
    <n v="12.1"/>
    <n v="48"/>
    <n v="4894.8999999999996"/>
    <n v="9504.41"/>
    <n v="1"/>
    <n v="0"/>
    <x v="0"/>
    <n v="5"/>
    <s v="Yes"/>
    <s v="JPY"/>
  </r>
  <r>
    <s v="JP-00194"/>
    <s v="2025-08-14"/>
    <s v="2025-08-15"/>
    <s v="2025-08-23"/>
    <s v="2025-08-26"/>
    <s v="Osaka"/>
    <s v="Osaka"/>
    <x v="1"/>
    <s v="Fukuoka"/>
    <x v="1"/>
    <x v="1"/>
    <x v="1"/>
    <n v="5.0999999999999996"/>
    <n v="766"/>
    <n v="3912.3"/>
    <n v="5847.29"/>
    <n v="11"/>
    <n v="3"/>
    <x v="1"/>
    <n v="4"/>
    <s v="No"/>
    <s v="JPY"/>
  </r>
  <r>
    <s v="JP-00195"/>
    <s v="2025-01-31"/>
    <s v="2025-01-31"/>
    <s v="2025-02-02"/>
    <s v="2025-02-01"/>
    <s v="Fukuoka"/>
    <s v="Fukuoka"/>
    <x v="2"/>
    <s v="Osaka"/>
    <x v="1"/>
    <x v="2"/>
    <x v="2"/>
    <n v="10.5"/>
    <n v="547"/>
    <n v="5657.1"/>
    <n v="9055.7800000000007"/>
    <n v="1"/>
    <n v="0"/>
    <x v="0"/>
    <n v="5"/>
    <s v="No"/>
    <s v="JPY"/>
  </r>
  <r>
    <s v="JP-00196"/>
    <s v="2025-03-21"/>
    <s v="2025-03-22"/>
    <s v="2025-03-24"/>
    <s v="2025-03-25"/>
    <s v="Osaka"/>
    <s v="Osaka"/>
    <x v="3"/>
    <s v="Yokohama"/>
    <x v="1"/>
    <x v="2"/>
    <x v="4"/>
    <n v="15.2"/>
    <n v="634"/>
    <n v="6213.2"/>
    <n v="10321.68"/>
    <n v="3"/>
    <n v="1"/>
    <x v="1"/>
    <n v="5"/>
    <s v="No"/>
    <s v="JPY"/>
  </r>
  <r>
    <s v="JP-00197"/>
    <s v="2025-01-28"/>
    <s v="2025-01-29"/>
    <s v="2025-01-31"/>
    <s v="2025-01-30"/>
    <s v="Osaka"/>
    <s v="Osaka"/>
    <x v="2"/>
    <s v="Osaka"/>
    <x v="0"/>
    <x v="2"/>
    <x v="0"/>
    <n v="11.2"/>
    <n v="1891"/>
    <n v="8135.8"/>
    <n v="13092.34"/>
    <n v="1"/>
    <n v="0"/>
    <x v="0"/>
    <n v="5"/>
    <s v="No"/>
    <s v="JPY"/>
  </r>
  <r>
    <s v="JP-00198"/>
    <s v="2025-11-20"/>
    <s v="2025-11-20"/>
    <s v="2025-11-22"/>
    <s v="2025-11-21"/>
    <s v="Osaka"/>
    <s v="Osaka"/>
    <x v="2"/>
    <s v="Osaka"/>
    <x v="1"/>
    <x v="2"/>
    <x v="3"/>
    <n v="5"/>
    <n v="914"/>
    <n v="5850.2"/>
    <n v="9449.11"/>
    <n v="1"/>
    <n v="0"/>
    <x v="0"/>
    <n v="5"/>
    <s v="No"/>
    <s v="JPY"/>
  </r>
  <r>
    <s v="JP-00199"/>
    <s v="2025-07-20"/>
    <s v="2025-07-22"/>
    <s v="2025-07-30"/>
    <s v="2025-07-30"/>
    <s v="Kanagawa"/>
    <s v="Yokohama"/>
    <x v="4"/>
    <s v="Nagoya"/>
    <x v="3"/>
    <x v="1"/>
    <x v="3"/>
    <n v="1.7"/>
    <n v="648"/>
    <n v="3410.9"/>
    <n v="6723.27"/>
    <n v="8"/>
    <n v="0"/>
    <x v="0"/>
    <n v="5"/>
    <s v="No"/>
    <s v="JPY"/>
  </r>
  <r>
    <s v="JP-00200"/>
    <s v="2025-04-21"/>
    <s v="2025-04-23"/>
    <s v="2025-04-25"/>
    <s v="2025-04-24"/>
    <s v="Aichi"/>
    <s v="Nagoya"/>
    <x v="2"/>
    <s v="Osaka"/>
    <x v="1"/>
    <x v="2"/>
    <x v="0"/>
    <n v="13.9"/>
    <n v="1920"/>
    <n v="8417.5"/>
    <n v="12619.27"/>
    <n v="1"/>
    <n v="0"/>
    <x v="0"/>
    <n v="5"/>
    <s v="No"/>
    <s v="JPY"/>
  </r>
  <r>
    <s v="JP-00201"/>
    <s v="2025-06-22"/>
    <s v="2025-06-24"/>
    <s v="2025-07-02"/>
    <s v="2025-07-05"/>
    <s v="Kanagawa"/>
    <s v="Yokohama"/>
    <x v="2"/>
    <s v="Osaka"/>
    <x v="0"/>
    <x v="1"/>
    <x v="1"/>
    <n v="11"/>
    <n v="1801"/>
    <n v="6276.8"/>
    <n v="10753.59"/>
    <n v="11"/>
    <n v="3"/>
    <x v="1"/>
    <n v="4"/>
    <s v="No"/>
    <s v="JPY"/>
  </r>
  <r>
    <s v="JP-00202"/>
    <s v="2025-06-01"/>
    <s v="2025-06-03"/>
    <s v="2025-06-11"/>
    <s v="2025-06-09"/>
    <s v="Osaka"/>
    <s v="Osaka"/>
    <x v="4"/>
    <s v="Nagoya"/>
    <x v="3"/>
    <x v="1"/>
    <x v="0"/>
    <n v="7.7"/>
    <n v="977"/>
    <n v="4513.1000000000004"/>
    <n v="8378.01"/>
    <n v="6"/>
    <n v="0"/>
    <x v="0"/>
    <n v="5"/>
    <s v="No"/>
    <s v="JPY"/>
  </r>
  <r>
    <s v="JP-00203"/>
    <s v="2025-09-30"/>
    <s v="2025-10-02"/>
    <s v="2025-10-10"/>
    <s v="2025-10-13"/>
    <s v="Osaka"/>
    <s v="Osaka"/>
    <x v="3"/>
    <s v="Yokohama"/>
    <x v="0"/>
    <x v="1"/>
    <x v="3"/>
    <n v="17"/>
    <n v="1492"/>
    <n v="6230.6"/>
    <n v="8526.0300000000007"/>
    <n v="11"/>
    <n v="3"/>
    <x v="1"/>
    <n v="4"/>
    <s v="Yes"/>
    <s v="JPY"/>
  </r>
  <r>
    <s v="JP-00204"/>
    <s v="2025-06-20"/>
    <s v="2025-06-22"/>
    <s v="2025-06-24"/>
    <s v="2025-06-26"/>
    <s v="Aichi"/>
    <s v="Nagoya"/>
    <x v="0"/>
    <s v="Tokyo"/>
    <x v="2"/>
    <x v="2"/>
    <x v="1"/>
    <n v="5.9"/>
    <n v="955"/>
    <n v="6000.5"/>
    <n v="11119.02"/>
    <n v="4"/>
    <n v="2"/>
    <x v="1"/>
    <n v="4"/>
    <s v="No"/>
    <s v="JPY"/>
  </r>
  <r>
    <s v="JP-00205"/>
    <s v="2025-05-01"/>
    <s v="2025-05-03"/>
    <s v="2025-05-08"/>
    <s v="2025-05-07"/>
    <s v="Kanagawa"/>
    <s v="Yokohama"/>
    <x v="3"/>
    <s v="Yokohama"/>
    <x v="2"/>
    <x v="0"/>
    <x v="1"/>
    <n v="11.1"/>
    <n v="101"/>
    <n v="3225.3"/>
    <n v="4802.83"/>
    <n v="4"/>
    <n v="0"/>
    <x v="0"/>
    <n v="5"/>
    <s v="No"/>
    <s v="JPY"/>
  </r>
  <r>
    <s v="JP-00206"/>
    <s v="2025-12-01"/>
    <s v="2025-12-01"/>
    <s v="2025-12-03"/>
    <s v="2025-12-03"/>
    <s v="Kanagawa"/>
    <s v="Yokohama"/>
    <x v="2"/>
    <s v="Osaka"/>
    <x v="2"/>
    <x v="2"/>
    <x v="4"/>
    <n v="10"/>
    <n v="2082"/>
    <n v="8377.6"/>
    <n v="17530.04"/>
    <n v="2"/>
    <n v="0"/>
    <x v="0"/>
    <n v="5"/>
    <s v="No"/>
    <s v="JPY"/>
  </r>
  <r>
    <s v="JP-00207"/>
    <s v="2025-08-16"/>
    <s v="2025-08-16"/>
    <s v="2025-08-24"/>
    <s v="2025-08-25"/>
    <s v="Kanagawa"/>
    <s v="Yokohama"/>
    <x v="0"/>
    <s v="Tokyo"/>
    <x v="1"/>
    <x v="1"/>
    <x v="1"/>
    <n v="12.3"/>
    <n v="1627"/>
    <n v="6074.1"/>
    <n v="10269.48"/>
    <n v="9"/>
    <n v="1"/>
    <x v="1"/>
    <n v="5"/>
    <s v="No"/>
    <s v="JPY"/>
  </r>
  <r>
    <s v="JP-00208"/>
    <s v="2025-12-01"/>
    <s v="2025-12-02"/>
    <s v="2025-12-07"/>
    <s v="2025-12-06"/>
    <s v="Fukuoka"/>
    <s v="Fukuoka"/>
    <x v="3"/>
    <s v="Yokohama"/>
    <x v="2"/>
    <x v="0"/>
    <x v="2"/>
    <n v="1.8"/>
    <n v="1423"/>
    <n v="4814.3999999999996"/>
    <n v="9766.02"/>
    <n v="4"/>
    <n v="0"/>
    <x v="0"/>
    <n v="5"/>
    <s v="No"/>
    <s v="JPY"/>
  </r>
  <r>
    <s v="JP-00209"/>
    <s v="2025-02-23"/>
    <s v="2025-02-25"/>
    <s v="2025-03-05"/>
    <s v="2025-03-05"/>
    <s v="Tokyo"/>
    <s v="Tokyo"/>
    <x v="0"/>
    <s v="Tokyo"/>
    <x v="1"/>
    <x v="1"/>
    <x v="2"/>
    <n v="5.4"/>
    <n v="388"/>
    <n v="3257.4"/>
    <n v="5970.58"/>
    <n v="8"/>
    <n v="0"/>
    <x v="0"/>
    <n v="5"/>
    <s v="No"/>
    <s v="JPY"/>
  </r>
  <r>
    <s v="JP-00210"/>
    <s v="2025-10-25"/>
    <s v="2025-10-27"/>
    <s v="2025-10-29"/>
    <s v="2025-10-30"/>
    <s v="Aichi"/>
    <s v="Nagoya"/>
    <x v="1"/>
    <s v="Fukuoka"/>
    <x v="0"/>
    <x v="2"/>
    <x v="1"/>
    <n v="10.7"/>
    <n v="333"/>
    <n v="5288.9"/>
    <n v="9034.92"/>
    <n v="3"/>
    <n v="1"/>
    <x v="1"/>
    <n v="5"/>
    <s v="No"/>
    <s v="JPY"/>
  </r>
  <r>
    <s v="JP-00211"/>
    <s v="2025-05-15"/>
    <s v="2025-05-16"/>
    <s v="2025-05-18"/>
    <s v="2025-05-17"/>
    <s v="Tokyo"/>
    <s v="Tokyo"/>
    <x v="3"/>
    <s v="Yokohama"/>
    <x v="1"/>
    <x v="2"/>
    <x v="4"/>
    <n v="17.2"/>
    <n v="797"/>
    <n v="6676.6"/>
    <n v="8862.85"/>
    <n v="1"/>
    <n v="0"/>
    <x v="0"/>
    <n v="5"/>
    <s v="No"/>
    <s v="JPY"/>
  </r>
  <r>
    <s v="JP-00212"/>
    <s v="2025-11-21"/>
    <s v="2025-11-22"/>
    <s v="2025-11-24"/>
    <s v="2025-11-27"/>
    <s v="Kanagawa"/>
    <s v="Yokohama"/>
    <x v="2"/>
    <s v="Osaka"/>
    <x v="1"/>
    <x v="2"/>
    <x v="2"/>
    <n v="18.100000000000001"/>
    <n v="871"/>
    <n v="6886.3"/>
    <n v="8872.41"/>
    <n v="5"/>
    <n v="3"/>
    <x v="1"/>
    <n v="4"/>
    <s v="No"/>
    <s v="JPY"/>
  </r>
  <r>
    <s v="JP-00213"/>
    <s v="2025-01-03"/>
    <s v="2025-01-04"/>
    <s v="2025-01-12"/>
    <s v="2025-01-11"/>
    <s v="Aichi"/>
    <s v="Nagoya"/>
    <x v="4"/>
    <s v="Nagoya"/>
    <x v="0"/>
    <x v="1"/>
    <x v="3"/>
    <n v="11"/>
    <n v="896"/>
    <n v="4647.8"/>
    <n v="6856.31"/>
    <n v="7"/>
    <n v="0"/>
    <x v="0"/>
    <n v="5"/>
    <s v="Yes"/>
    <s v="JPY"/>
  </r>
  <r>
    <s v="JP-00214"/>
    <s v="2025-09-18"/>
    <s v="2025-09-20"/>
    <s v="2025-09-22"/>
    <s v="2025-09-21"/>
    <s v="Kanagawa"/>
    <s v="Yokohama"/>
    <x v="0"/>
    <s v="Tokyo"/>
    <x v="2"/>
    <x v="2"/>
    <x v="2"/>
    <n v="16"/>
    <n v="760"/>
    <n v="6508"/>
    <n v="10205.68"/>
    <n v="1"/>
    <n v="0"/>
    <x v="0"/>
    <n v="5"/>
    <s v="No"/>
    <s v="JPY"/>
  </r>
  <r>
    <s v="JP-00215"/>
    <s v="2025-11-16"/>
    <s v="2025-11-16"/>
    <s v="2025-11-21"/>
    <s v="2025-11-21"/>
    <s v="Fukuoka"/>
    <s v="Fukuoka"/>
    <x v="0"/>
    <s v="Tokyo"/>
    <x v="2"/>
    <x v="0"/>
    <x v="3"/>
    <n v="9.1999999999999993"/>
    <n v="1939"/>
    <n v="6372.2"/>
    <n v="10387.35"/>
    <n v="5"/>
    <n v="0"/>
    <x v="0"/>
    <n v="5"/>
    <s v="No"/>
    <s v="JPY"/>
  </r>
  <r>
    <s v="JP-00216"/>
    <s v="2025-11-12"/>
    <s v="2025-11-14"/>
    <s v="2025-11-22"/>
    <s v="2025-11-24"/>
    <s v="Osaka"/>
    <s v="Osaka"/>
    <x v="1"/>
    <s v="Fukuoka"/>
    <x v="3"/>
    <x v="1"/>
    <x v="0"/>
    <n v="14.7"/>
    <n v="1469"/>
    <n v="5993.7"/>
    <n v="10828.87"/>
    <n v="10"/>
    <n v="2"/>
    <x v="1"/>
    <n v="4"/>
    <s v="No"/>
    <s v="JPY"/>
  </r>
  <r>
    <s v="JP-00217"/>
    <s v="2025-04-05"/>
    <s v="2025-04-07"/>
    <s v="2025-04-09"/>
    <s v="2025-04-08"/>
    <s v="Osaka"/>
    <s v="Osaka"/>
    <x v="2"/>
    <s v="Osaka"/>
    <x v="2"/>
    <x v="2"/>
    <x v="4"/>
    <n v="8.9"/>
    <n v="658"/>
    <n v="5720.9"/>
    <n v="10135.36"/>
    <n v="1"/>
    <n v="0"/>
    <x v="0"/>
    <n v="4"/>
    <s v="No"/>
    <s v="JPY"/>
  </r>
  <r>
    <s v="JP-00218"/>
    <s v="2025-05-24"/>
    <s v="2025-05-24"/>
    <s v="2025-05-29"/>
    <s v="2025-05-28"/>
    <s v="Tokyo"/>
    <s v="Tokyo"/>
    <x v="4"/>
    <s v="Nagoya"/>
    <x v="3"/>
    <x v="0"/>
    <x v="1"/>
    <n v="0.9"/>
    <n v="1522"/>
    <n v="4916.1000000000004"/>
    <n v="6805.66"/>
    <n v="4"/>
    <n v="0"/>
    <x v="0"/>
    <n v="5"/>
    <s v="No"/>
    <s v="JPY"/>
  </r>
  <r>
    <s v="JP-00219"/>
    <s v="2025-07-18"/>
    <s v="2025-07-18"/>
    <s v="2025-07-26"/>
    <s v="2025-07-23"/>
    <s v="Fukuoka"/>
    <s v="Fukuoka"/>
    <x v="2"/>
    <s v="Osaka"/>
    <x v="3"/>
    <x v="1"/>
    <x v="3"/>
    <n v="6"/>
    <n v="559"/>
    <n v="3616.2"/>
    <n v="6096.76"/>
    <n v="5"/>
    <n v="0"/>
    <x v="0"/>
    <n v="5"/>
    <s v="No"/>
    <s v="JPY"/>
  </r>
  <r>
    <s v="JP-00220"/>
    <s v="2025-09-05"/>
    <s v="2025-09-06"/>
    <s v="2025-09-14"/>
    <s v="2025-09-16"/>
    <s v="Tokyo"/>
    <s v="Tokyo"/>
    <x v="1"/>
    <s v="Fukuoka"/>
    <x v="1"/>
    <x v="1"/>
    <x v="2"/>
    <n v="5.2"/>
    <n v="1621"/>
    <n v="5459.8"/>
    <n v="9076.85"/>
    <n v="10"/>
    <n v="2"/>
    <x v="1"/>
    <n v="4"/>
    <s v="No"/>
    <s v="JPY"/>
  </r>
  <r>
    <s v="JP-00221"/>
    <s v="2025-07-15"/>
    <s v="2025-07-15"/>
    <s v="2025-07-17"/>
    <s v="2025-07-16"/>
    <s v="Kanagawa"/>
    <s v="Yokohama"/>
    <x v="3"/>
    <s v="Yokohama"/>
    <x v="1"/>
    <x v="2"/>
    <x v="3"/>
    <n v="14.9"/>
    <n v="772"/>
    <n v="6436.1"/>
    <n v="9168.7000000000007"/>
    <n v="1"/>
    <n v="0"/>
    <x v="0"/>
    <n v="5"/>
    <s v="No"/>
    <s v="JPY"/>
  </r>
  <r>
    <s v="JP-00222"/>
    <s v="2025-11-10"/>
    <s v="2025-11-11"/>
    <s v="2025-11-16"/>
    <s v="2025-11-16"/>
    <s v="Tokyo"/>
    <s v="Tokyo"/>
    <x v="1"/>
    <s v="Fukuoka"/>
    <x v="2"/>
    <x v="0"/>
    <x v="3"/>
    <n v="4.8"/>
    <n v="1371"/>
    <n v="4975.8"/>
    <n v="8926.02"/>
    <n v="5"/>
    <n v="0"/>
    <x v="0"/>
    <n v="5"/>
    <s v="No"/>
    <s v="JPY"/>
  </r>
  <r>
    <s v="JP-00223"/>
    <s v="2025-12-08"/>
    <s v="2025-12-09"/>
    <s v="2025-12-11"/>
    <s v="2025-12-10"/>
    <s v="Osaka"/>
    <s v="Osaka"/>
    <x v="1"/>
    <s v="Fukuoka"/>
    <x v="2"/>
    <x v="2"/>
    <x v="4"/>
    <n v="11.1"/>
    <n v="462"/>
    <n v="5555.1"/>
    <n v="10637.62"/>
    <n v="1"/>
    <n v="0"/>
    <x v="0"/>
    <n v="5"/>
    <s v="No"/>
    <s v="JPY"/>
  </r>
  <r>
    <s v="JP-00224"/>
    <s v="2025-02-24"/>
    <s v="2025-02-25"/>
    <s v="2025-03-02"/>
    <s v="2025-02-27"/>
    <s v="Osaka"/>
    <s v="Osaka"/>
    <x v="0"/>
    <s v="Tokyo"/>
    <x v="2"/>
    <x v="0"/>
    <x v="3"/>
    <n v="13.8"/>
    <n v="1618"/>
    <n v="6185.4"/>
    <n v="8135.58"/>
    <n v="2"/>
    <n v="0"/>
    <x v="0"/>
    <n v="5"/>
    <s v="No"/>
    <s v="JPY"/>
  </r>
  <r>
    <s v="JP-00225"/>
    <s v="2025-02-15"/>
    <s v="2025-02-15"/>
    <s v="2025-02-23"/>
    <s v="2025-02-22"/>
    <s v="Osaka"/>
    <s v="Osaka"/>
    <x v="2"/>
    <s v="Osaka"/>
    <x v="0"/>
    <x v="1"/>
    <x v="1"/>
    <n v="16.100000000000001"/>
    <n v="1818"/>
    <n v="6740.9"/>
    <n v="11863.81"/>
    <n v="7"/>
    <n v="0"/>
    <x v="0"/>
    <n v="5"/>
    <s v="No"/>
    <s v="JPY"/>
  </r>
  <r>
    <s v="JP-00226"/>
    <s v="2025-03-26"/>
    <s v="2025-03-27"/>
    <s v="2025-04-04"/>
    <s v="2025-04-06"/>
    <s v="Fukuoka"/>
    <s v="Fukuoka"/>
    <x v="0"/>
    <s v="Tokyo"/>
    <x v="1"/>
    <x v="1"/>
    <x v="2"/>
    <n v="17.399999999999999"/>
    <n v="372"/>
    <n v="4248.6000000000004"/>
    <n v="8358.99"/>
    <n v="10"/>
    <n v="2"/>
    <x v="1"/>
    <n v="4"/>
    <s v="No"/>
    <s v="JPY"/>
  </r>
  <r>
    <s v="JP-00227"/>
    <s v="2025-12-08"/>
    <s v="2025-12-09"/>
    <s v="2025-12-11"/>
    <s v="2025-12-10"/>
    <s v="Tokyo"/>
    <s v="Tokyo"/>
    <x v="3"/>
    <s v="Yokohama"/>
    <x v="1"/>
    <x v="2"/>
    <x v="1"/>
    <n v="10.4"/>
    <n v="295"/>
    <n v="5195"/>
    <n v="7903.05"/>
    <n v="1"/>
    <n v="0"/>
    <x v="0"/>
    <n v="5"/>
    <s v="No"/>
    <s v="JPY"/>
  </r>
  <r>
    <s v="JP-00228"/>
    <s v="2025-02-23"/>
    <s v="2025-02-25"/>
    <s v="2025-03-05"/>
    <s v="2025-03-02"/>
    <s v="Fukuoka"/>
    <s v="Fukuoka"/>
    <x v="0"/>
    <s v="Tokyo"/>
    <x v="1"/>
    <x v="1"/>
    <x v="4"/>
    <n v="8.1999999999999993"/>
    <n v="1851"/>
    <n v="6128.8"/>
    <n v="8062.85"/>
    <n v="5"/>
    <n v="0"/>
    <x v="0"/>
    <n v="5"/>
    <s v="Yes"/>
    <s v="JPY"/>
  </r>
  <r>
    <s v="JP-00229"/>
    <s v="2025-02-08"/>
    <s v="2025-02-09"/>
    <s v="2025-02-11"/>
    <s v="2025-02-10"/>
    <s v="Kanagawa"/>
    <s v="Yokohama"/>
    <x v="3"/>
    <s v="Yokohama"/>
    <x v="1"/>
    <x v="2"/>
    <x v="4"/>
    <n v="16.8"/>
    <n v="790"/>
    <n v="6630"/>
    <n v="11597.37"/>
    <n v="1"/>
    <n v="0"/>
    <x v="0"/>
    <n v="5"/>
    <s v="No"/>
    <s v="JPY"/>
  </r>
  <r>
    <s v="JP-00230"/>
    <s v="2025-06-19"/>
    <s v="2025-06-20"/>
    <s v="2025-06-22"/>
    <s v="2025-06-23"/>
    <s v="Osaka"/>
    <s v="Osaka"/>
    <x v="1"/>
    <s v="Fukuoka"/>
    <x v="1"/>
    <x v="2"/>
    <x v="3"/>
    <n v="3"/>
    <n v="2118"/>
    <n v="7847.4"/>
    <n v="12831.67"/>
    <n v="3"/>
    <n v="1"/>
    <x v="1"/>
    <n v="5"/>
    <s v="No"/>
    <s v="JPY"/>
  </r>
  <r>
    <s v="JP-00231"/>
    <s v="2025-05-23"/>
    <s v="2025-05-23"/>
    <s v="2025-05-31"/>
    <s v="2025-06-01"/>
    <s v="Kanagawa"/>
    <s v="Yokohama"/>
    <x v="1"/>
    <s v="Fukuoka"/>
    <x v="3"/>
    <x v="1"/>
    <x v="3"/>
    <n v="3.1"/>
    <n v="335"/>
    <n v="2966.5"/>
    <n v="4137.6400000000003"/>
    <n v="9"/>
    <n v="1"/>
    <x v="1"/>
    <n v="5"/>
    <s v="No"/>
    <s v="JPY"/>
  </r>
  <r>
    <s v="JP-00232"/>
    <s v="2025-03-27"/>
    <s v="2025-03-28"/>
    <s v="2025-04-02"/>
    <s v="2025-04-05"/>
    <s v="Kanagawa"/>
    <s v="Yokohama"/>
    <x v="0"/>
    <s v="Tokyo"/>
    <x v="0"/>
    <x v="0"/>
    <x v="1"/>
    <n v="11.9"/>
    <n v="1102"/>
    <n v="5095.1000000000004"/>
    <n v="7728.3"/>
    <n v="8"/>
    <n v="3"/>
    <x v="1"/>
    <n v="4"/>
    <s v="No"/>
    <s v="JPY"/>
  </r>
  <r>
    <s v="JP-00233"/>
    <s v="2025-09-28"/>
    <s v="2025-09-28"/>
    <s v="2025-10-03"/>
    <s v="2025-10-03"/>
    <s v="Tokyo"/>
    <s v="Tokyo"/>
    <x v="2"/>
    <s v="Osaka"/>
    <x v="1"/>
    <x v="0"/>
    <x v="3"/>
    <n v="12"/>
    <n v="1342"/>
    <n v="5535.6"/>
    <n v="7063.09"/>
    <n v="5"/>
    <n v="0"/>
    <x v="0"/>
    <n v="4"/>
    <s v="No"/>
    <s v="JPY"/>
  </r>
  <r>
    <s v="JP-00234"/>
    <s v="2025-03-09"/>
    <s v="2025-03-11"/>
    <s v="2025-03-16"/>
    <s v="2025-03-14"/>
    <s v="Kanagawa"/>
    <s v="Yokohama"/>
    <x v="1"/>
    <s v="Fukuoka"/>
    <x v="3"/>
    <x v="0"/>
    <x v="3"/>
    <n v="18.100000000000001"/>
    <n v="1426"/>
    <n v="6205.3"/>
    <n v="8230.94"/>
    <n v="3"/>
    <n v="0"/>
    <x v="0"/>
    <n v="5"/>
    <s v="No"/>
    <s v="JPY"/>
  </r>
  <r>
    <s v="JP-00235"/>
    <s v="2025-06-07"/>
    <s v="2025-06-09"/>
    <s v="2025-06-14"/>
    <s v="2025-06-14"/>
    <s v="Osaka"/>
    <s v="Osaka"/>
    <x v="3"/>
    <s v="Yokohama"/>
    <x v="0"/>
    <x v="0"/>
    <x v="0"/>
    <n v="6"/>
    <n v="1517"/>
    <n v="5340.6"/>
    <n v="7041.15"/>
    <n v="5"/>
    <n v="0"/>
    <x v="0"/>
    <n v="5"/>
    <s v="No"/>
    <s v="JPY"/>
  </r>
  <r>
    <s v="JP-00236"/>
    <s v="2025-03-31"/>
    <s v="2025-03-31"/>
    <s v="2025-04-02"/>
    <s v="2025-04-01"/>
    <s v="Fukuoka"/>
    <s v="Fukuoka"/>
    <x v="0"/>
    <s v="Tokyo"/>
    <x v="1"/>
    <x v="2"/>
    <x v="0"/>
    <n v="13.3"/>
    <n v="994"/>
    <n v="6699.7"/>
    <n v="13855.9"/>
    <n v="1"/>
    <n v="0"/>
    <x v="0"/>
    <n v="4"/>
    <s v="No"/>
    <s v="JPY"/>
  </r>
  <r>
    <s v="JP-00237"/>
    <s v="2025-01-10"/>
    <s v="2025-01-11"/>
    <s v="2025-01-16"/>
    <s v="2025-01-13"/>
    <s v="Fukuoka"/>
    <s v="Fukuoka"/>
    <x v="0"/>
    <s v="Tokyo"/>
    <x v="0"/>
    <x v="0"/>
    <x v="1"/>
    <n v="14.5"/>
    <n v="504"/>
    <n v="4239.7"/>
    <n v="6831.05"/>
    <n v="2"/>
    <n v="0"/>
    <x v="0"/>
    <n v="4"/>
    <s v="No"/>
    <s v="JPY"/>
  </r>
  <r>
    <s v="JP-00238"/>
    <s v="2025-02-17"/>
    <s v="2025-02-19"/>
    <s v="2025-02-27"/>
    <s v="2025-02-28"/>
    <s v="Aichi"/>
    <s v="Nagoya"/>
    <x v="3"/>
    <s v="Yokohama"/>
    <x v="3"/>
    <x v="1"/>
    <x v="2"/>
    <n v="4.4000000000000004"/>
    <n v="889"/>
    <n v="4074.2"/>
    <n v="6661.83"/>
    <n v="9"/>
    <n v="1"/>
    <x v="1"/>
    <n v="5"/>
    <s v="No"/>
    <s v="JPY"/>
  </r>
  <r>
    <s v="JP-00239"/>
    <s v="2025-12-12"/>
    <s v="2025-12-12"/>
    <s v="2025-12-20"/>
    <s v="2025-12-20"/>
    <s v="Tokyo"/>
    <s v="Tokyo"/>
    <x v="3"/>
    <s v="Yokohama"/>
    <x v="1"/>
    <x v="1"/>
    <x v="0"/>
    <n v="6"/>
    <n v="1488"/>
    <n v="5288.4"/>
    <n v="9529.75"/>
    <n v="8"/>
    <n v="0"/>
    <x v="0"/>
    <n v="5"/>
    <s v="No"/>
    <s v="JPY"/>
  </r>
  <r>
    <s v="JP-00240"/>
    <s v="2025-07-01"/>
    <s v="2025-07-02"/>
    <s v="2025-07-10"/>
    <s v="2025-07-11"/>
    <s v="Osaka"/>
    <s v="Osaka"/>
    <x v="0"/>
    <s v="Tokyo"/>
    <x v="2"/>
    <x v="1"/>
    <x v="3"/>
    <n v="10.199999999999999"/>
    <n v="366"/>
    <n v="3625.8"/>
    <n v="5724.62"/>
    <n v="9"/>
    <n v="1"/>
    <x v="1"/>
    <n v="5"/>
    <s v="No"/>
    <s v="JPY"/>
  </r>
  <r>
    <s v="JP-00241"/>
    <s v="2025-06-01"/>
    <s v="2025-06-01"/>
    <s v="2025-06-03"/>
    <s v="2025-06-04"/>
    <s v="Fukuoka"/>
    <s v="Fukuoka"/>
    <x v="4"/>
    <s v="Nagoya"/>
    <x v="1"/>
    <x v="2"/>
    <x v="3"/>
    <n v="16.899999999999999"/>
    <n v="525"/>
    <n v="6161.5"/>
    <n v="10000.93"/>
    <n v="3"/>
    <n v="1"/>
    <x v="1"/>
    <n v="5"/>
    <s v="No"/>
    <s v="JPY"/>
  </r>
  <r>
    <s v="JP-00242"/>
    <s v="2025-12-29"/>
    <s v="2025-12-30"/>
    <s v="2026-01-01"/>
    <s v="2025-12-31"/>
    <s v="Kanagawa"/>
    <s v="Yokohama"/>
    <x v="2"/>
    <s v="Osaka"/>
    <x v="2"/>
    <x v="2"/>
    <x v="2"/>
    <n v="12.5"/>
    <n v="1339"/>
    <n v="7252.7"/>
    <n v="12194.84"/>
    <n v="1"/>
    <n v="0"/>
    <x v="0"/>
    <n v="4"/>
    <s v="No"/>
    <s v="JPY"/>
  </r>
  <r>
    <s v="JP-00243"/>
    <s v="2025-11-07"/>
    <s v="2025-11-08"/>
    <s v="2025-11-13"/>
    <s v="2025-11-13"/>
    <s v="Fukuoka"/>
    <s v="Fukuoka"/>
    <x v="4"/>
    <s v="Nagoya"/>
    <x v="0"/>
    <x v="0"/>
    <x v="0"/>
    <n v="4.0999999999999996"/>
    <n v="550"/>
    <n v="3438.5"/>
    <n v="5240.3999999999996"/>
    <n v="5"/>
    <n v="0"/>
    <x v="0"/>
    <n v="5"/>
    <s v="No"/>
    <s v="JPY"/>
  </r>
  <r>
    <s v="JP-00244"/>
    <s v="2025-06-11"/>
    <s v="2025-06-12"/>
    <s v="2025-06-14"/>
    <s v="2025-06-13"/>
    <s v="Aichi"/>
    <s v="Nagoya"/>
    <x v="2"/>
    <s v="Osaka"/>
    <x v="3"/>
    <x v="2"/>
    <x v="4"/>
    <n v="12.9"/>
    <n v="1807"/>
    <n v="8129.1"/>
    <n v="13484.8"/>
    <n v="1"/>
    <n v="0"/>
    <x v="0"/>
    <n v="5"/>
    <s v="No"/>
    <s v="JPY"/>
  </r>
  <r>
    <s v="JP-00245"/>
    <s v="2025-02-13"/>
    <s v="2025-02-13"/>
    <s v="2025-02-21"/>
    <s v="2025-02-20"/>
    <s v="Osaka"/>
    <s v="Osaka"/>
    <x v="1"/>
    <s v="Fukuoka"/>
    <x v="1"/>
    <x v="1"/>
    <x v="2"/>
    <n v="6"/>
    <n v="739"/>
    <n v="3940.2"/>
    <n v="8112.08"/>
    <n v="7"/>
    <n v="0"/>
    <x v="0"/>
    <n v="5"/>
    <s v="No"/>
    <s v="JPY"/>
  </r>
  <r>
    <s v="JP-00246"/>
    <s v="2025-09-03"/>
    <s v="2025-09-04"/>
    <s v="2025-09-09"/>
    <s v="2025-09-07"/>
    <s v="Kanagawa"/>
    <s v="Yokohama"/>
    <x v="4"/>
    <s v="Nagoya"/>
    <x v="2"/>
    <x v="0"/>
    <x v="3"/>
    <n v="16.2"/>
    <n v="1035"/>
    <n v="5340"/>
    <n v="7510.81"/>
    <n v="3"/>
    <n v="0"/>
    <x v="0"/>
    <n v="5"/>
    <s v="No"/>
    <s v="JPY"/>
  </r>
  <r>
    <s v="JP-00247"/>
    <s v="2025-03-12"/>
    <s v="2025-03-14"/>
    <s v="2025-03-19"/>
    <s v="2025-03-17"/>
    <s v="Kanagawa"/>
    <s v="Yokohama"/>
    <x v="0"/>
    <s v="Tokyo"/>
    <x v="1"/>
    <x v="0"/>
    <x v="3"/>
    <n v="11.6"/>
    <n v="402"/>
    <n v="3809.6"/>
    <n v="7527.52"/>
    <n v="3"/>
    <n v="0"/>
    <x v="0"/>
    <n v="5"/>
    <s v="No"/>
    <s v="JPY"/>
  </r>
  <r>
    <s v="JP-00248"/>
    <s v="2025-01-02"/>
    <s v="2025-01-04"/>
    <s v="2025-01-06"/>
    <s v="2025-01-09"/>
    <s v="Kanagawa"/>
    <s v="Yokohama"/>
    <x v="4"/>
    <s v="Nagoya"/>
    <x v="3"/>
    <x v="2"/>
    <x v="1"/>
    <n v="12.9"/>
    <n v="1759"/>
    <n v="8042.7"/>
    <n v="14083.37"/>
    <n v="5"/>
    <n v="3"/>
    <x v="1"/>
    <n v="4"/>
    <s v="No"/>
    <s v="JPY"/>
  </r>
  <r>
    <s v="JP-00249"/>
    <s v="2025-06-19"/>
    <s v="2025-06-21"/>
    <s v="2025-06-29"/>
    <s v="2025-06-25"/>
    <s v="Kanagawa"/>
    <s v="Yokohama"/>
    <x v="3"/>
    <s v="Yokohama"/>
    <x v="1"/>
    <x v="1"/>
    <x v="0"/>
    <n v="8.1"/>
    <n v="1727"/>
    <n v="5897.1"/>
    <n v="9138.16"/>
    <n v="4"/>
    <n v="0"/>
    <x v="0"/>
    <n v="5"/>
    <s v="No"/>
    <s v="JPY"/>
  </r>
  <r>
    <s v="JP-00250"/>
    <s v="2025-03-06"/>
    <s v="2025-03-06"/>
    <s v="2025-03-14"/>
    <s v="2025-03-14"/>
    <s v="Tokyo"/>
    <s v="Tokyo"/>
    <x v="2"/>
    <s v="Osaka"/>
    <x v="3"/>
    <x v="1"/>
    <x v="1"/>
    <n v="10.6"/>
    <n v="886"/>
    <n v="4595.8"/>
    <n v="6881.54"/>
    <n v="8"/>
    <n v="0"/>
    <x v="0"/>
    <n v="5"/>
    <s v="No"/>
    <s v="JPY"/>
  </r>
  <r>
    <s v="JP-00251"/>
    <s v="2025-03-22"/>
    <s v="2025-03-24"/>
    <s v="2025-04-01"/>
    <s v="2025-03-31"/>
    <s v="Tokyo"/>
    <s v="Tokyo"/>
    <x v="3"/>
    <s v="Yokohama"/>
    <x v="3"/>
    <x v="1"/>
    <x v="0"/>
    <n v="5.5"/>
    <n v="1900"/>
    <n v="5987.5"/>
    <n v="8179.4"/>
    <n v="7"/>
    <n v="0"/>
    <x v="0"/>
    <n v="5"/>
    <s v="No"/>
    <s v="JPY"/>
  </r>
  <r>
    <s v="JP-00252"/>
    <s v="2025-11-20"/>
    <s v="2025-11-21"/>
    <s v="2025-11-26"/>
    <s v="2025-11-24"/>
    <s v="Tokyo"/>
    <s v="Tokyo"/>
    <x v="0"/>
    <s v="Tokyo"/>
    <x v="1"/>
    <x v="0"/>
    <x v="0"/>
    <n v="0.3"/>
    <n v="430"/>
    <n v="2899.5"/>
    <n v="4452.26"/>
    <n v="3"/>
    <n v="0"/>
    <x v="0"/>
    <n v="5"/>
    <s v="No"/>
    <s v="JPY"/>
  </r>
  <r>
    <s v="JP-00253"/>
    <s v="2025-03-25"/>
    <s v="2025-03-27"/>
    <s v="2025-03-29"/>
    <s v="2025-03-31"/>
    <s v="Tokyo"/>
    <s v="Tokyo"/>
    <x v="2"/>
    <s v="Osaka"/>
    <x v="0"/>
    <x v="2"/>
    <x v="3"/>
    <n v="6.2"/>
    <n v="1854"/>
    <n v="7644.2"/>
    <n v="10343.52"/>
    <n v="4"/>
    <n v="2"/>
    <x v="1"/>
    <n v="4"/>
    <s v="No"/>
    <s v="JPY"/>
  </r>
  <r>
    <s v="JP-00254"/>
    <s v="2025-09-18"/>
    <s v="2025-09-18"/>
    <s v="2025-09-20"/>
    <s v="2025-09-19"/>
    <s v="Kanagawa"/>
    <s v="Yokohama"/>
    <x v="0"/>
    <s v="Tokyo"/>
    <x v="3"/>
    <x v="2"/>
    <x v="3"/>
    <n v="10.6"/>
    <n v="2068"/>
    <n v="8403.4"/>
    <n v="14719.22"/>
    <n v="1"/>
    <n v="0"/>
    <x v="0"/>
    <n v="4"/>
    <s v="No"/>
    <s v="JPY"/>
  </r>
  <r>
    <s v="JP-00255"/>
    <s v="2025-11-27"/>
    <s v="2025-11-29"/>
    <s v="2025-12-07"/>
    <s v="2025-12-03"/>
    <s v="Osaka"/>
    <s v="Osaka"/>
    <x v="2"/>
    <s v="Osaka"/>
    <x v="2"/>
    <x v="1"/>
    <x v="1"/>
    <n v="18"/>
    <n v="670"/>
    <n v="4836"/>
    <n v="8235.1"/>
    <n v="4"/>
    <n v="0"/>
    <x v="0"/>
    <n v="5"/>
    <s v="No"/>
    <s v="JPY"/>
  </r>
  <r>
    <s v="JP-00256"/>
    <s v="2025-08-01"/>
    <s v="2025-08-02"/>
    <s v="2025-08-04"/>
    <s v="2025-08-07"/>
    <s v="Kanagawa"/>
    <s v="Yokohama"/>
    <x v="2"/>
    <s v="Osaka"/>
    <x v="0"/>
    <x v="2"/>
    <x v="1"/>
    <n v="10.9"/>
    <n v="1814"/>
    <n v="7971.7"/>
    <n v="16304.8"/>
    <n v="5"/>
    <n v="3"/>
    <x v="1"/>
    <n v="4"/>
    <s v="No"/>
    <s v="JPY"/>
  </r>
  <r>
    <s v="JP-00257"/>
    <s v="2025-12-22"/>
    <s v="2025-12-23"/>
    <s v="2025-12-31"/>
    <s v="2025-12-28"/>
    <s v="Kanagawa"/>
    <s v="Yokohama"/>
    <x v="3"/>
    <s v="Yokohama"/>
    <x v="3"/>
    <x v="1"/>
    <x v="0"/>
    <n v="3.3"/>
    <n v="1163"/>
    <n v="4473.8999999999996"/>
    <n v="9204.25"/>
    <n v="5"/>
    <n v="0"/>
    <x v="0"/>
    <n v="5"/>
    <s v="No"/>
    <s v="JPY"/>
  </r>
  <r>
    <s v="JP-00258"/>
    <s v="2025-10-03"/>
    <s v="2025-10-03"/>
    <s v="2025-10-11"/>
    <s v="2025-10-13"/>
    <s v="Aichi"/>
    <s v="Nagoya"/>
    <x v="0"/>
    <s v="Tokyo"/>
    <x v="3"/>
    <x v="1"/>
    <x v="4"/>
    <n v="5.6"/>
    <n v="1897"/>
    <n v="5990.6"/>
    <n v="8719.5"/>
    <n v="10"/>
    <n v="2"/>
    <x v="1"/>
    <n v="4"/>
    <s v="Yes"/>
    <s v="JPY"/>
  </r>
  <r>
    <s v="JP-00259"/>
    <s v="2025-08-14"/>
    <s v="2025-08-14"/>
    <s v="2025-08-22"/>
    <s v="2025-08-23"/>
    <s v="Fukuoka"/>
    <s v="Fukuoka"/>
    <x v="4"/>
    <s v="Nagoya"/>
    <x v="0"/>
    <x v="1"/>
    <x v="2"/>
    <n v="0.4"/>
    <n v="855"/>
    <n v="3673"/>
    <n v="4918.32"/>
    <n v="9"/>
    <n v="1"/>
    <x v="1"/>
    <n v="5"/>
    <s v="No"/>
    <s v="JPY"/>
  </r>
  <r>
    <s v="JP-00260"/>
    <s v="2025-11-25"/>
    <s v="2025-11-27"/>
    <s v="2025-12-05"/>
    <s v="2025-12-02"/>
    <s v="Aichi"/>
    <s v="Nagoya"/>
    <x v="1"/>
    <s v="Fukuoka"/>
    <x v="0"/>
    <x v="1"/>
    <x v="4"/>
    <n v="6.1"/>
    <n v="1823"/>
    <n v="5899.9"/>
    <n v="11502.51"/>
    <n v="5"/>
    <n v="0"/>
    <x v="0"/>
    <n v="5"/>
    <s v="No"/>
    <s v="JPY"/>
  </r>
  <r>
    <s v="JP-00261"/>
    <s v="2025-09-26"/>
    <s v="2025-09-26"/>
    <s v="2025-10-01"/>
    <s v="2025-09-29"/>
    <s v="Aichi"/>
    <s v="Nagoya"/>
    <x v="3"/>
    <s v="Yokohama"/>
    <x v="1"/>
    <x v="0"/>
    <x v="0"/>
    <n v="9.1999999999999993"/>
    <n v="2006"/>
    <n v="6492.8"/>
    <n v="13215.76"/>
    <n v="3"/>
    <n v="0"/>
    <x v="0"/>
    <n v="5"/>
    <s v="No"/>
    <s v="JPY"/>
  </r>
  <r>
    <s v="JP-00262"/>
    <s v="2025-01-13"/>
    <s v="2025-01-15"/>
    <s v="2025-01-20"/>
    <s v="2025-01-23"/>
    <s v="Kanagawa"/>
    <s v="Yokohama"/>
    <x v="4"/>
    <s v="Nagoya"/>
    <x v="2"/>
    <x v="0"/>
    <x v="3"/>
    <n v="18.100000000000001"/>
    <n v="1874"/>
    <n v="7011.7"/>
    <n v="9187.1299999999992"/>
    <n v="8"/>
    <n v="3"/>
    <x v="1"/>
    <n v="4"/>
    <s v="No"/>
    <s v="JPY"/>
  </r>
  <r>
    <s v="JP-00263"/>
    <s v="2025-11-26"/>
    <s v="2025-11-28"/>
    <s v="2025-12-06"/>
    <s v="2025-12-03"/>
    <s v="Osaka"/>
    <s v="Osaka"/>
    <x v="3"/>
    <s v="Yokohama"/>
    <x v="1"/>
    <x v="1"/>
    <x v="3"/>
    <n v="3"/>
    <n v="1904"/>
    <n v="5782.2"/>
    <n v="9087.67"/>
    <n v="5"/>
    <n v="0"/>
    <x v="0"/>
    <n v="5"/>
    <s v="No"/>
    <s v="JPY"/>
  </r>
  <r>
    <s v="JP-00264"/>
    <s v="2025-03-21"/>
    <s v="2025-03-23"/>
    <s v="2025-03-25"/>
    <s v="2025-03-27"/>
    <s v="Aichi"/>
    <s v="Nagoya"/>
    <x v="2"/>
    <s v="Osaka"/>
    <x v="0"/>
    <x v="2"/>
    <x v="2"/>
    <n v="7.8"/>
    <n v="1679"/>
    <n v="7465.2"/>
    <n v="13579.57"/>
    <n v="4"/>
    <n v="2"/>
    <x v="1"/>
    <n v="4"/>
    <s v="No"/>
    <s v="JPY"/>
  </r>
  <r>
    <s v="JP-00265"/>
    <s v="2025-08-16"/>
    <s v="2025-08-18"/>
    <s v="2025-08-23"/>
    <s v="2025-08-20"/>
    <s v="Kanagawa"/>
    <s v="Yokohama"/>
    <x v="4"/>
    <s v="Nagoya"/>
    <x v="2"/>
    <x v="0"/>
    <x v="1"/>
    <n v="1.7"/>
    <n v="287"/>
    <n v="2761.1"/>
    <n v="4700.16"/>
    <n v="2"/>
    <n v="0"/>
    <x v="0"/>
    <n v="5"/>
    <s v="No"/>
    <s v="JPY"/>
  </r>
  <r>
    <s v="JP-00266"/>
    <s v="2025-10-18"/>
    <s v="2025-10-19"/>
    <s v="2025-10-27"/>
    <s v="2025-10-30"/>
    <s v="Osaka"/>
    <s v="Osaka"/>
    <x v="1"/>
    <s v="Fukuoka"/>
    <x v="0"/>
    <x v="1"/>
    <x v="3"/>
    <n v="6.1"/>
    <n v="503"/>
    <n v="3523.9"/>
    <n v="5473.73"/>
    <n v="11"/>
    <n v="3"/>
    <x v="1"/>
    <n v="4"/>
    <s v="No"/>
    <s v="JPY"/>
  </r>
  <r>
    <s v="JP-00267"/>
    <s v="2025-07-25"/>
    <s v="2025-07-27"/>
    <s v="2025-08-04"/>
    <s v="2025-08-06"/>
    <s v="Kanagawa"/>
    <s v="Yokohama"/>
    <x v="1"/>
    <s v="Fukuoka"/>
    <x v="1"/>
    <x v="1"/>
    <x v="2"/>
    <n v="14.8"/>
    <n v="1838"/>
    <n v="6666.4"/>
    <n v="11365.25"/>
    <n v="10"/>
    <n v="2"/>
    <x v="1"/>
    <n v="4"/>
    <s v="Yes"/>
    <s v="JPY"/>
  </r>
  <r>
    <s v="JP-00268"/>
    <s v="2025-10-13"/>
    <s v="2025-10-13"/>
    <s v="2025-10-21"/>
    <s v="2025-10-22"/>
    <s v="Fukuoka"/>
    <s v="Fukuoka"/>
    <x v="4"/>
    <s v="Nagoya"/>
    <x v="2"/>
    <x v="1"/>
    <x v="3"/>
    <n v="13.8"/>
    <n v="2106"/>
    <n v="7063.8"/>
    <n v="9559.5400000000009"/>
    <n v="9"/>
    <n v="1"/>
    <x v="1"/>
    <n v="5"/>
    <s v="No"/>
    <s v="JPY"/>
  </r>
  <r>
    <s v="JP-00269"/>
    <s v="2025-03-06"/>
    <s v="2025-03-06"/>
    <s v="2025-03-11"/>
    <s v="2025-03-09"/>
    <s v="Tokyo"/>
    <s v="Tokyo"/>
    <x v="1"/>
    <s v="Fukuoka"/>
    <x v="0"/>
    <x v="0"/>
    <x v="1"/>
    <n v="6.9"/>
    <n v="1056"/>
    <n v="4587.3"/>
    <n v="7730.1"/>
    <n v="3"/>
    <n v="0"/>
    <x v="0"/>
    <n v="5"/>
    <s v="No"/>
    <s v="JPY"/>
  </r>
  <r>
    <s v="JP-00270"/>
    <s v="2025-10-14"/>
    <s v="2025-10-15"/>
    <s v="2025-10-23"/>
    <s v="2025-10-21"/>
    <s v="Aichi"/>
    <s v="Nagoya"/>
    <x v="3"/>
    <s v="Yokohama"/>
    <x v="0"/>
    <x v="1"/>
    <x v="1"/>
    <n v="0.7"/>
    <n v="951"/>
    <n v="3871.3"/>
    <n v="5173.88"/>
    <n v="6"/>
    <n v="0"/>
    <x v="0"/>
    <n v="4"/>
    <s v="No"/>
    <s v="JPY"/>
  </r>
  <r>
    <s v="JP-00271"/>
    <s v="2025-06-30"/>
    <s v="2025-07-02"/>
    <s v="2025-07-07"/>
    <s v="2025-07-09"/>
    <s v="Aichi"/>
    <s v="Nagoya"/>
    <x v="4"/>
    <s v="Nagoya"/>
    <x v="0"/>
    <x v="0"/>
    <x v="1"/>
    <n v="15.6"/>
    <n v="1379"/>
    <n v="5908.2"/>
    <n v="8241.1299999999992"/>
    <n v="7"/>
    <n v="2"/>
    <x v="1"/>
    <n v="4"/>
    <s v="No"/>
    <s v="JPY"/>
  </r>
  <r>
    <s v="JP-00272"/>
    <s v="2025-10-05"/>
    <s v="2025-10-06"/>
    <s v="2025-10-11"/>
    <s v="2025-10-08"/>
    <s v="Tokyo"/>
    <s v="Tokyo"/>
    <x v="0"/>
    <s v="Tokyo"/>
    <x v="1"/>
    <x v="0"/>
    <x v="1"/>
    <n v="14.6"/>
    <n v="1280"/>
    <n v="5645"/>
    <n v="11073.18"/>
    <n v="2"/>
    <n v="0"/>
    <x v="0"/>
    <n v="5"/>
    <s v="No"/>
    <s v="JPY"/>
  </r>
  <r>
    <s v="JP-00273"/>
    <s v="2025-07-25"/>
    <s v="2025-07-27"/>
    <s v="2025-08-04"/>
    <s v="2025-08-04"/>
    <s v="Fukuoka"/>
    <s v="Fukuoka"/>
    <x v="4"/>
    <s v="Nagoya"/>
    <x v="3"/>
    <x v="1"/>
    <x v="2"/>
    <n v="16.8"/>
    <n v="1669"/>
    <n v="6532.2"/>
    <n v="12641.15"/>
    <n v="8"/>
    <n v="0"/>
    <x v="0"/>
    <n v="5"/>
    <s v="No"/>
    <s v="JPY"/>
  </r>
  <r>
    <s v="JP-00274"/>
    <s v="2025-09-30"/>
    <s v="2025-09-30"/>
    <s v="2025-10-08"/>
    <s v="2025-10-09"/>
    <s v="Aichi"/>
    <s v="Nagoya"/>
    <x v="2"/>
    <s v="Osaka"/>
    <x v="1"/>
    <x v="1"/>
    <x v="3"/>
    <n v="11.4"/>
    <n v="1408"/>
    <n v="5603.4"/>
    <n v="11666.1"/>
    <n v="9"/>
    <n v="1"/>
    <x v="1"/>
    <n v="4"/>
    <s v="No"/>
    <s v="JPY"/>
  </r>
  <r>
    <s v="JP-00275"/>
    <s v="2025-12-28"/>
    <s v="2025-12-30"/>
    <s v="2026-01-01"/>
    <s v="2026-01-02"/>
    <s v="Aichi"/>
    <s v="Nagoya"/>
    <x v="0"/>
    <s v="Tokyo"/>
    <x v="2"/>
    <x v="2"/>
    <x v="0"/>
    <n v="4.0999999999999996"/>
    <n v="302"/>
    <n v="4672.1000000000004"/>
    <n v="5883.8"/>
    <n v="3"/>
    <n v="1"/>
    <x v="1"/>
    <n v="5"/>
    <s v="No"/>
    <s v="JPY"/>
  </r>
  <r>
    <s v="JP-00276"/>
    <s v="2025-11-25"/>
    <s v="2025-11-25"/>
    <s v="2025-11-30"/>
    <s v="2025-12-02"/>
    <s v="Aichi"/>
    <s v="Nagoya"/>
    <x v="4"/>
    <s v="Nagoya"/>
    <x v="3"/>
    <x v="0"/>
    <x v="0"/>
    <n v="7.8"/>
    <n v="1431"/>
    <n v="5338.8"/>
    <n v="9611.0300000000007"/>
    <n v="7"/>
    <n v="2"/>
    <x v="1"/>
    <n v="4"/>
    <s v="No"/>
    <s v="JPY"/>
  </r>
  <r>
    <s v="JP-00277"/>
    <s v="2025-11-27"/>
    <s v="2025-11-27"/>
    <s v="2025-11-29"/>
    <s v="2025-12-02"/>
    <s v="Aichi"/>
    <s v="Nagoya"/>
    <x v="2"/>
    <s v="Osaka"/>
    <x v="0"/>
    <x v="2"/>
    <x v="1"/>
    <n v="8"/>
    <n v="1016"/>
    <n v="6288.8"/>
    <n v="8603.18"/>
    <n v="5"/>
    <n v="3"/>
    <x v="1"/>
    <n v="4"/>
    <s v="No"/>
    <s v="JPY"/>
  </r>
  <r>
    <s v="JP-00278"/>
    <s v="2025-06-21"/>
    <s v="2025-06-22"/>
    <s v="2025-06-27"/>
    <s v="2025-06-25"/>
    <s v="Tokyo"/>
    <s v="Tokyo"/>
    <x v="4"/>
    <s v="Nagoya"/>
    <x v="0"/>
    <x v="0"/>
    <x v="4"/>
    <n v="10.1"/>
    <n v="1058"/>
    <n v="4862.8999999999996"/>
    <n v="7792.82"/>
    <n v="3"/>
    <n v="0"/>
    <x v="0"/>
    <n v="5"/>
    <s v="No"/>
    <s v="JPY"/>
  </r>
  <r>
    <s v="JP-00279"/>
    <s v="2025-06-18"/>
    <s v="2025-06-18"/>
    <s v="2025-06-20"/>
    <s v="2025-06-21"/>
    <s v="Tokyo"/>
    <s v="Tokyo"/>
    <x v="1"/>
    <s v="Fukuoka"/>
    <x v="3"/>
    <x v="2"/>
    <x v="1"/>
    <n v="7.9"/>
    <n v="1826"/>
    <n v="7738.3"/>
    <n v="11186.27"/>
    <n v="3"/>
    <n v="1"/>
    <x v="1"/>
    <n v="5"/>
    <s v="No"/>
    <s v="JPY"/>
  </r>
  <r>
    <s v="JP-00280"/>
    <s v="2025-12-08"/>
    <s v="2025-12-08"/>
    <s v="2025-12-13"/>
    <s v="2025-12-15"/>
    <s v="Tokyo"/>
    <s v="Tokyo"/>
    <x v="3"/>
    <s v="Yokohama"/>
    <x v="0"/>
    <x v="0"/>
    <x v="3"/>
    <n v="15.2"/>
    <n v="1745"/>
    <n v="6533"/>
    <n v="13287.08"/>
    <n v="7"/>
    <n v="2"/>
    <x v="1"/>
    <n v="4"/>
    <s v="No"/>
    <s v="JPY"/>
  </r>
  <r>
    <s v="JP-00281"/>
    <s v="2025-05-16"/>
    <s v="2025-05-16"/>
    <s v="2025-05-24"/>
    <s v="2025-05-22"/>
    <s v="Kanagawa"/>
    <s v="Yokohama"/>
    <x v="0"/>
    <s v="Tokyo"/>
    <x v="0"/>
    <x v="1"/>
    <x v="4"/>
    <n v="1.2"/>
    <n v="1015"/>
    <n v="4029"/>
    <n v="8392.1"/>
    <n v="6"/>
    <n v="0"/>
    <x v="0"/>
    <n v="5"/>
    <s v="No"/>
    <s v="JPY"/>
  </r>
  <r>
    <s v="JP-00282"/>
    <s v="2025-08-06"/>
    <s v="2025-08-06"/>
    <s v="2025-08-14"/>
    <s v="2025-08-16"/>
    <s v="Kanagawa"/>
    <s v="Yokohama"/>
    <x v="4"/>
    <s v="Nagoya"/>
    <x v="1"/>
    <x v="1"/>
    <x v="2"/>
    <n v="1.9"/>
    <n v="1874"/>
    <n v="5634.7"/>
    <n v="9480.99"/>
    <n v="10"/>
    <n v="2"/>
    <x v="1"/>
    <n v="4"/>
    <s v="No"/>
    <s v="JPY"/>
  </r>
  <r>
    <s v="JP-00283"/>
    <s v="2025-10-08"/>
    <s v="2025-10-09"/>
    <s v="2025-10-11"/>
    <s v="2025-10-10"/>
    <s v="Kanagawa"/>
    <s v="Yokohama"/>
    <x v="3"/>
    <s v="Yokohama"/>
    <x v="0"/>
    <x v="2"/>
    <x v="3"/>
    <n v="9.6"/>
    <n v="118"/>
    <n v="4808.3999999999996"/>
    <n v="7041.53"/>
    <n v="1"/>
    <n v="0"/>
    <x v="0"/>
    <n v="5"/>
    <s v="No"/>
    <s v="JPY"/>
  </r>
  <r>
    <s v="JP-00284"/>
    <s v="2025-02-21"/>
    <s v="2025-02-23"/>
    <s v="2025-02-25"/>
    <s v="2025-02-28"/>
    <s v="Aichi"/>
    <s v="Nagoya"/>
    <x v="3"/>
    <s v="Yokohama"/>
    <x v="0"/>
    <x v="2"/>
    <x v="3"/>
    <n v="8.4"/>
    <n v="466"/>
    <n v="5332.8"/>
    <n v="8793.1299999999992"/>
    <n v="5"/>
    <n v="3"/>
    <x v="1"/>
    <n v="4"/>
    <s v="No"/>
    <s v="JPY"/>
  </r>
  <r>
    <s v="JP-00285"/>
    <s v="2025-10-25"/>
    <s v="2025-10-27"/>
    <s v="2025-11-04"/>
    <s v="2025-11-01"/>
    <s v="Fukuoka"/>
    <s v="Fukuoka"/>
    <x v="2"/>
    <s v="Osaka"/>
    <x v="3"/>
    <x v="1"/>
    <x v="1"/>
    <n v="4.8"/>
    <n v="1392"/>
    <n v="5013.6000000000004"/>
    <n v="10156.69"/>
    <n v="5"/>
    <n v="0"/>
    <x v="0"/>
    <n v="5"/>
    <s v="No"/>
    <s v="JPY"/>
  </r>
  <r>
    <s v="JP-00286"/>
    <s v="2025-10-09"/>
    <s v="2025-10-10"/>
    <s v="2025-10-12"/>
    <s v="2025-10-11"/>
    <s v="Tokyo"/>
    <s v="Tokyo"/>
    <x v="0"/>
    <s v="Tokyo"/>
    <x v="0"/>
    <x v="2"/>
    <x v="3"/>
    <n v="0.5"/>
    <n v="1840"/>
    <n v="7134.5"/>
    <n v="13423.71"/>
    <n v="1"/>
    <n v="0"/>
    <x v="0"/>
    <n v="5"/>
    <s v="No"/>
    <s v="JPY"/>
  </r>
  <r>
    <s v="JP-00287"/>
    <s v="2025-08-17"/>
    <s v="2025-08-18"/>
    <s v="2025-08-20"/>
    <s v="2025-08-20"/>
    <s v="Osaka"/>
    <s v="Osaka"/>
    <x v="4"/>
    <s v="Nagoya"/>
    <x v="2"/>
    <x v="2"/>
    <x v="3"/>
    <n v="0.8"/>
    <n v="1866"/>
    <n v="7206.8"/>
    <n v="10160.61"/>
    <n v="2"/>
    <n v="0"/>
    <x v="0"/>
    <n v="5"/>
    <s v="No"/>
    <s v="JPY"/>
  </r>
  <r>
    <s v="JP-00288"/>
    <s v="2025-09-07"/>
    <s v="2025-09-08"/>
    <s v="2025-09-16"/>
    <s v="2025-09-12"/>
    <s v="Kanagawa"/>
    <s v="Yokohama"/>
    <x v="3"/>
    <s v="Yokohama"/>
    <x v="3"/>
    <x v="1"/>
    <x v="3"/>
    <n v="8.5"/>
    <n v="1098"/>
    <n v="4798.8999999999996"/>
    <n v="8210.31"/>
    <n v="4"/>
    <n v="0"/>
    <x v="0"/>
    <n v="5"/>
    <s v="No"/>
    <s v="JPY"/>
  </r>
  <r>
    <s v="JP-00289"/>
    <s v="2025-01-22"/>
    <s v="2025-01-22"/>
    <s v="2025-01-27"/>
    <s v="2025-01-28"/>
    <s v="Kanagawa"/>
    <s v="Yokohama"/>
    <x v="0"/>
    <s v="Tokyo"/>
    <x v="0"/>
    <x v="0"/>
    <x v="4"/>
    <n v="7.3"/>
    <n v="333"/>
    <n v="3319.9"/>
    <n v="6043.27"/>
    <n v="6"/>
    <n v="1"/>
    <x v="1"/>
    <n v="5"/>
    <s v="No"/>
    <s v="JPY"/>
  </r>
  <r>
    <s v="JP-00290"/>
    <s v="2025-11-06"/>
    <s v="2025-11-07"/>
    <s v="2025-11-15"/>
    <s v="2025-11-15"/>
    <s v="Aichi"/>
    <s v="Nagoya"/>
    <x v="2"/>
    <s v="Osaka"/>
    <x v="3"/>
    <x v="1"/>
    <x v="4"/>
    <n v="14.9"/>
    <n v="527"/>
    <n v="4315.1000000000004"/>
    <n v="7897.89"/>
    <n v="8"/>
    <n v="0"/>
    <x v="0"/>
    <n v="5"/>
    <s v="No"/>
    <s v="JPY"/>
  </r>
  <r>
    <s v="JP-00291"/>
    <s v="2025-10-15"/>
    <s v="2025-10-16"/>
    <s v="2025-10-24"/>
    <s v="2025-10-25"/>
    <s v="Kanagawa"/>
    <s v="Yokohama"/>
    <x v="2"/>
    <s v="Osaka"/>
    <x v="3"/>
    <x v="1"/>
    <x v="2"/>
    <n v="0.9"/>
    <n v="1705"/>
    <n v="5245.5"/>
    <n v="7846.16"/>
    <n v="9"/>
    <n v="1"/>
    <x v="1"/>
    <n v="5"/>
    <s v="No"/>
    <s v="JPY"/>
  </r>
  <r>
    <s v="JP-00292"/>
    <s v="2025-08-18"/>
    <s v="2025-08-20"/>
    <s v="2025-08-25"/>
    <s v="2025-08-24"/>
    <s v="Aichi"/>
    <s v="Nagoya"/>
    <x v="2"/>
    <s v="Osaka"/>
    <x v="1"/>
    <x v="0"/>
    <x v="4"/>
    <n v="4.5999999999999996"/>
    <n v="1400"/>
    <n v="5011"/>
    <n v="9618.69"/>
    <n v="4"/>
    <n v="0"/>
    <x v="0"/>
    <n v="5"/>
    <s v="No"/>
    <s v="JPY"/>
  </r>
  <r>
    <s v="JP-00293"/>
    <s v="2025-02-22"/>
    <s v="2025-02-24"/>
    <s v="2025-03-04"/>
    <s v="2025-03-04"/>
    <s v="Aichi"/>
    <s v="Nagoya"/>
    <x v="4"/>
    <s v="Nagoya"/>
    <x v="0"/>
    <x v="1"/>
    <x v="0"/>
    <n v="12.5"/>
    <n v="574"/>
    <n v="4195.7"/>
    <n v="6527.41"/>
    <n v="8"/>
    <n v="0"/>
    <x v="0"/>
    <n v="4"/>
    <s v="No"/>
    <s v="JPY"/>
  </r>
  <r>
    <s v="JP-00294"/>
    <s v="2025-03-08"/>
    <s v="2025-03-10"/>
    <s v="2025-03-15"/>
    <s v="2025-03-13"/>
    <s v="Tokyo"/>
    <s v="Tokyo"/>
    <x v="0"/>
    <s v="Tokyo"/>
    <x v="2"/>
    <x v="0"/>
    <x v="2"/>
    <n v="16"/>
    <n v="716"/>
    <n v="4748.8"/>
    <n v="6449.85"/>
    <n v="3"/>
    <n v="0"/>
    <x v="0"/>
    <n v="5"/>
    <s v="No"/>
    <s v="JPY"/>
  </r>
  <r>
    <s v="JP-00295"/>
    <s v="2025-12-15"/>
    <s v="2025-12-17"/>
    <s v="2025-12-25"/>
    <s v="2025-12-22"/>
    <s v="Kanagawa"/>
    <s v="Yokohama"/>
    <x v="1"/>
    <s v="Fukuoka"/>
    <x v="2"/>
    <x v="1"/>
    <x v="4"/>
    <n v="8"/>
    <n v="2090"/>
    <n v="6542"/>
    <n v="8536.42"/>
    <n v="5"/>
    <n v="0"/>
    <x v="0"/>
    <n v="5"/>
    <s v="No"/>
    <s v="JPY"/>
  </r>
  <r>
    <s v="JP-00296"/>
    <s v="2025-10-16"/>
    <s v="2025-10-18"/>
    <s v="2025-10-23"/>
    <s v="2025-10-22"/>
    <s v="Aichi"/>
    <s v="Nagoya"/>
    <x v="4"/>
    <s v="Nagoya"/>
    <x v="2"/>
    <x v="0"/>
    <x v="3"/>
    <n v="2.6"/>
    <n v="1078"/>
    <n v="4261.3999999999996"/>
    <n v="6084.2"/>
    <n v="4"/>
    <n v="0"/>
    <x v="0"/>
    <n v="5"/>
    <s v="Yes"/>
    <s v="JPY"/>
  </r>
  <r>
    <s v="JP-00297"/>
    <s v="2025-02-21"/>
    <s v="2025-02-23"/>
    <s v="2025-03-03"/>
    <s v="2025-03-01"/>
    <s v="Tokyo"/>
    <s v="Tokyo"/>
    <x v="3"/>
    <s v="Yokohama"/>
    <x v="3"/>
    <x v="1"/>
    <x v="2"/>
    <n v="6.8"/>
    <n v="2040"/>
    <n v="6350"/>
    <n v="11321.59"/>
    <n v="6"/>
    <n v="0"/>
    <x v="0"/>
    <n v="4"/>
    <s v="No"/>
    <s v="JPY"/>
  </r>
  <r>
    <s v="JP-00298"/>
    <s v="2025-04-20"/>
    <s v="2025-04-21"/>
    <s v="2025-04-29"/>
    <s v="2025-04-29"/>
    <s v="Fukuoka"/>
    <s v="Fukuoka"/>
    <x v="1"/>
    <s v="Fukuoka"/>
    <x v="0"/>
    <x v="1"/>
    <x v="4"/>
    <n v="2.2999999999999998"/>
    <n v="336"/>
    <n v="2900.3"/>
    <n v="4629.5200000000004"/>
    <n v="8"/>
    <n v="0"/>
    <x v="0"/>
    <n v="4"/>
    <s v="No"/>
    <s v="JPY"/>
  </r>
  <r>
    <s v="JP-00299"/>
    <s v="2025-08-13"/>
    <s v="2025-08-14"/>
    <s v="2025-08-16"/>
    <s v="2025-08-15"/>
    <s v="Osaka"/>
    <s v="Osaka"/>
    <x v="4"/>
    <s v="Nagoya"/>
    <x v="2"/>
    <x v="2"/>
    <x v="2"/>
    <n v="16.5"/>
    <n v="1258"/>
    <n v="7446.9"/>
    <n v="15313.38"/>
    <n v="1"/>
    <n v="0"/>
    <x v="0"/>
    <n v="5"/>
    <s v="No"/>
    <s v="JPY"/>
  </r>
  <r>
    <s v="JP-00300"/>
    <s v="2025-10-09"/>
    <s v="2025-10-11"/>
    <s v="2025-10-19"/>
    <s v="2025-10-18"/>
    <s v="Osaka"/>
    <s v="Osaka"/>
    <x v="3"/>
    <s v="Yokohama"/>
    <x v="0"/>
    <x v="1"/>
    <x v="3"/>
    <n v="0.6"/>
    <n v="1467"/>
    <n v="4791.6000000000004"/>
    <n v="7925"/>
    <n v="7"/>
    <n v="0"/>
    <x v="0"/>
    <n v="4"/>
    <s v="No"/>
    <s v="JPY"/>
  </r>
  <r>
    <s v="JP-00301"/>
    <s v="2025-04-26"/>
    <s v="2025-04-28"/>
    <s v="2025-05-03"/>
    <s v="2025-05-02"/>
    <s v="Tokyo"/>
    <s v="Tokyo"/>
    <x v="3"/>
    <s v="Yokohama"/>
    <x v="1"/>
    <x v="0"/>
    <x v="1"/>
    <n v="1.9"/>
    <n v="1212"/>
    <n v="4443.1000000000004"/>
    <n v="8579.11"/>
    <n v="4"/>
    <n v="0"/>
    <x v="0"/>
    <n v="5"/>
    <s v="No"/>
    <s v="JPY"/>
  </r>
  <r>
    <s v="JP-00302"/>
    <s v="2025-06-04"/>
    <s v="2025-06-04"/>
    <s v="2025-06-06"/>
    <s v="2025-06-09"/>
    <s v="Aichi"/>
    <s v="Nagoya"/>
    <x v="1"/>
    <s v="Fukuoka"/>
    <x v="1"/>
    <x v="2"/>
    <x v="2"/>
    <n v="14.2"/>
    <n v="2038"/>
    <n v="8655.4"/>
    <n v="16597.169999999998"/>
    <n v="5"/>
    <n v="3"/>
    <x v="1"/>
    <n v="4"/>
    <s v="No"/>
    <s v="JPY"/>
  </r>
  <r>
    <s v="JP-00303"/>
    <s v="2025-04-05"/>
    <s v="2025-04-05"/>
    <s v="2025-04-10"/>
    <s v="2025-04-11"/>
    <s v="Fukuoka"/>
    <s v="Fukuoka"/>
    <x v="4"/>
    <s v="Nagoya"/>
    <x v="1"/>
    <x v="0"/>
    <x v="2"/>
    <n v="6"/>
    <n v="1079"/>
    <n v="4552.2"/>
    <n v="8250.5400000000009"/>
    <n v="6"/>
    <n v="1"/>
    <x v="1"/>
    <n v="5"/>
    <s v="No"/>
    <s v="JPY"/>
  </r>
  <r>
    <s v="JP-00304"/>
    <s v="2025-11-09"/>
    <s v="2025-11-11"/>
    <s v="2025-11-19"/>
    <s v="2025-11-19"/>
    <s v="Tokyo"/>
    <s v="Tokyo"/>
    <x v="2"/>
    <s v="Osaka"/>
    <x v="3"/>
    <x v="1"/>
    <x v="0"/>
    <n v="14.7"/>
    <n v="1413"/>
    <n v="5892.9"/>
    <n v="8122.99"/>
    <n v="8"/>
    <n v="0"/>
    <x v="0"/>
    <n v="5"/>
    <s v="No"/>
    <s v="JPY"/>
  </r>
  <r>
    <s v="JP-00305"/>
    <s v="2025-10-10"/>
    <s v="2025-10-10"/>
    <s v="2025-10-18"/>
    <s v="2025-10-18"/>
    <s v="Tokyo"/>
    <s v="Tokyo"/>
    <x v="0"/>
    <s v="Tokyo"/>
    <x v="1"/>
    <x v="1"/>
    <x v="4"/>
    <n v="17.7"/>
    <n v="1265"/>
    <n v="5881.5"/>
    <n v="8646.8700000000008"/>
    <n v="8"/>
    <n v="0"/>
    <x v="0"/>
    <n v="5"/>
    <s v="No"/>
    <s v="JPY"/>
  </r>
  <r>
    <s v="JP-00306"/>
    <s v="2025-08-23"/>
    <s v="2025-08-25"/>
    <s v="2025-08-30"/>
    <s v="2025-08-27"/>
    <s v="Aichi"/>
    <s v="Nagoya"/>
    <x v="0"/>
    <s v="Tokyo"/>
    <x v="3"/>
    <x v="0"/>
    <x v="1"/>
    <n v="8.3000000000000007"/>
    <n v="1798"/>
    <n v="6041.9"/>
    <n v="8386.6299999999992"/>
    <n v="2"/>
    <n v="0"/>
    <x v="0"/>
    <n v="5"/>
    <s v="No"/>
    <s v="JPY"/>
  </r>
  <r>
    <s v="JP-00307"/>
    <s v="2025-09-14"/>
    <s v="2025-09-15"/>
    <s v="2025-09-17"/>
    <s v="2025-09-16"/>
    <s v="Aichi"/>
    <s v="Nagoya"/>
    <x v="0"/>
    <s v="Tokyo"/>
    <x v="3"/>
    <x v="2"/>
    <x v="2"/>
    <n v="8.4"/>
    <n v="317"/>
    <n v="5064.6000000000004"/>
    <n v="9142.4699999999993"/>
    <n v="1"/>
    <n v="0"/>
    <x v="0"/>
    <n v="5"/>
    <s v="No"/>
    <s v="JPY"/>
  </r>
  <r>
    <s v="JP-00308"/>
    <s v="2025-08-22"/>
    <s v="2025-08-22"/>
    <s v="2025-08-27"/>
    <s v="2025-08-25"/>
    <s v="Aichi"/>
    <s v="Nagoya"/>
    <x v="0"/>
    <s v="Tokyo"/>
    <x v="3"/>
    <x v="0"/>
    <x v="2"/>
    <n v="13.8"/>
    <n v="885"/>
    <n v="4866"/>
    <n v="8897.44"/>
    <n v="3"/>
    <n v="0"/>
    <x v="0"/>
    <n v="4"/>
    <s v="No"/>
    <s v="JPY"/>
  </r>
  <r>
    <s v="JP-00309"/>
    <s v="2025-11-10"/>
    <s v="2025-11-12"/>
    <s v="2025-11-17"/>
    <s v="2025-11-15"/>
    <s v="Tokyo"/>
    <s v="Tokyo"/>
    <x v="4"/>
    <s v="Nagoya"/>
    <x v="0"/>
    <x v="0"/>
    <x v="1"/>
    <n v="13.1"/>
    <n v="1040"/>
    <n v="5085.5"/>
    <n v="8703.2199999999993"/>
    <n v="3"/>
    <n v="0"/>
    <x v="0"/>
    <n v="4"/>
    <s v="No"/>
    <s v="JPY"/>
  </r>
  <r>
    <s v="JP-00310"/>
    <s v="2025-09-22"/>
    <s v="2025-09-22"/>
    <s v="2025-09-24"/>
    <s v="2025-09-26"/>
    <s v="Fukuoka"/>
    <s v="Fukuoka"/>
    <x v="1"/>
    <s v="Fukuoka"/>
    <x v="0"/>
    <x v="2"/>
    <x v="4"/>
    <n v="11.1"/>
    <n v="772"/>
    <n v="6113.1"/>
    <n v="10463.969999999999"/>
    <n v="4"/>
    <n v="2"/>
    <x v="1"/>
    <n v="4"/>
    <s v="No"/>
    <s v="JPY"/>
  </r>
  <r>
    <s v="JP-00311"/>
    <s v="2025-06-04"/>
    <s v="2025-06-04"/>
    <s v="2025-06-12"/>
    <s v="2025-06-10"/>
    <s v="Tokyo"/>
    <s v="Tokyo"/>
    <x v="1"/>
    <s v="Fukuoka"/>
    <x v="2"/>
    <x v="1"/>
    <x v="4"/>
    <n v="4.7"/>
    <n v="2073"/>
    <n v="6230.9"/>
    <n v="9212.2099999999991"/>
    <n v="6"/>
    <n v="0"/>
    <x v="0"/>
    <n v="5"/>
    <s v="No"/>
    <s v="JPY"/>
  </r>
  <r>
    <s v="JP-00312"/>
    <s v="2025-07-20"/>
    <s v="2025-07-22"/>
    <s v="2025-07-27"/>
    <s v="2025-07-29"/>
    <s v="Aichi"/>
    <s v="Nagoya"/>
    <x v="2"/>
    <s v="Osaka"/>
    <x v="1"/>
    <x v="0"/>
    <x v="4"/>
    <n v="4.3"/>
    <n v="1731"/>
    <n v="5581.3"/>
    <n v="7913.61"/>
    <n v="7"/>
    <n v="2"/>
    <x v="1"/>
    <n v="4"/>
    <s v="No"/>
    <s v="JPY"/>
  </r>
  <r>
    <s v="JP-00313"/>
    <s v="2025-12-13"/>
    <s v="2025-12-15"/>
    <s v="2025-12-20"/>
    <s v="2025-12-18"/>
    <s v="Fukuoka"/>
    <s v="Fukuoka"/>
    <x v="4"/>
    <s v="Nagoya"/>
    <x v="3"/>
    <x v="0"/>
    <x v="2"/>
    <n v="15.9"/>
    <n v="1145"/>
    <n v="5512.5"/>
    <n v="11516.91"/>
    <n v="3"/>
    <n v="0"/>
    <x v="0"/>
    <n v="5"/>
    <s v="No"/>
    <s v="JPY"/>
  </r>
  <r>
    <s v="JP-00314"/>
    <s v="2025-11-14"/>
    <s v="2025-11-16"/>
    <s v="2025-11-18"/>
    <s v="2025-11-17"/>
    <s v="Aichi"/>
    <s v="Nagoya"/>
    <x v="2"/>
    <s v="Osaka"/>
    <x v="3"/>
    <x v="2"/>
    <x v="3"/>
    <n v="1.6"/>
    <n v="2010"/>
    <n v="7534"/>
    <n v="15583.9"/>
    <n v="1"/>
    <n v="0"/>
    <x v="0"/>
    <n v="5"/>
    <s v="No"/>
    <s v="JPY"/>
  </r>
  <r>
    <s v="JP-00315"/>
    <s v="2025-03-02"/>
    <s v="2025-03-02"/>
    <s v="2025-03-07"/>
    <s v="2025-03-04"/>
    <s v="Kanagawa"/>
    <s v="Yokohama"/>
    <x v="4"/>
    <s v="Nagoya"/>
    <x v="3"/>
    <x v="0"/>
    <x v="1"/>
    <n v="2.7"/>
    <n v="1726"/>
    <n v="5436.3"/>
    <n v="9253.59"/>
    <n v="2"/>
    <n v="0"/>
    <x v="0"/>
    <n v="5"/>
    <s v="No"/>
    <s v="JPY"/>
  </r>
  <r>
    <s v="JP-00316"/>
    <s v="2025-08-16"/>
    <s v="2025-08-17"/>
    <s v="2025-08-25"/>
    <s v="2025-08-24"/>
    <s v="Kanagawa"/>
    <s v="Yokohama"/>
    <x v="2"/>
    <s v="Osaka"/>
    <x v="1"/>
    <x v="1"/>
    <x v="1"/>
    <n v="6.4"/>
    <n v="1970"/>
    <n v="6190"/>
    <n v="10338.48"/>
    <n v="7"/>
    <n v="0"/>
    <x v="0"/>
    <n v="5"/>
    <s v="No"/>
    <s v="JPY"/>
  </r>
  <r>
    <s v="JP-00317"/>
    <s v="2025-05-23"/>
    <s v="2025-05-24"/>
    <s v="2025-06-01"/>
    <s v="2025-06-02"/>
    <s v="Tokyo"/>
    <s v="Tokyo"/>
    <x v="2"/>
    <s v="Osaka"/>
    <x v="3"/>
    <x v="1"/>
    <x v="4"/>
    <n v="0.8"/>
    <n v="698"/>
    <n v="3424.4"/>
    <n v="6835.02"/>
    <n v="9"/>
    <n v="1"/>
    <x v="1"/>
    <n v="5"/>
    <s v="No"/>
    <s v="JPY"/>
  </r>
  <r>
    <s v="JP-00318"/>
    <s v="2025-11-13"/>
    <s v="2025-11-13"/>
    <s v="2025-11-15"/>
    <s v="2025-11-14"/>
    <s v="Aichi"/>
    <s v="Nagoya"/>
    <x v="2"/>
    <s v="Osaka"/>
    <x v="1"/>
    <x v="2"/>
    <x v="2"/>
    <n v="6.4"/>
    <n v="1342"/>
    <n v="6739.6"/>
    <n v="13176.78"/>
    <n v="1"/>
    <n v="0"/>
    <x v="0"/>
    <n v="5"/>
    <s v="No"/>
    <s v="JPY"/>
  </r>
  <r>
    <s v="JP-00319"/>
    <s v="2025-03-22"/>
    <s v="2025-03-22"/>
    <s v="2025-03-27"/>
    <s v="2025-03-29"/>
    <s v="Fukuoka"/>
    <s v="Fukuoka"/>
    <x v="2"/>
    <s v="Osaka"/>
    <x v="2"/>
    <x v="0"/>
    <x v="2"/>
    <n v="0.9"/>
    <n v="1930"/>
    <n v="5650.5"/>
    <n v="10328.540000000001"/>
    <n v="7"/>
    <n v="2"/>
    <x v="1"/>
    <n v="4"/>
    <s v="Yes"/>
    <s v="JPY"/>
  </r>
  <r>
    <s v="JP-00320"/>
    <s v="2025-03-15"/>
    <s v="2025-03-16"/>
    <s v="2025-03-21"/>
    <s v="2025-03-21"/>
    <s v="Osaka"/>
    <s v="Osaka"/>
    <x v="2"/>
    <s v="Osaka"/>
    <x v="2"/>
    <x v="0"/>
    <x v="0"/>
    <n v="10.199999999999999"/>
    <n v="1472"/>
    <n v="5616.6"/>
    <n v="10487.08"/>
    <n v="5"/>
    <n v="0"/>
    <x v="0"/>
    <n v="5"/>
    <s v="No"/>
    <s v="JPY"/>
  </r>
  <r>
    <s v="JP-00321"/>
    <s v="2025-10-04"/>
    <s v="2025-10-06"/>
    <s v="2025-10-14"/>
    <s v="2025-10-13"/>
    <s v="Osaka"/>
    <s v="Osaka"/>
    <x v="1"/>
    <s v="Fukuoka"/>
    <x v="2"/>
    <x v="1"/>
    <x v="2"/>
    <n v="10.3"/>
    <n v="2164"/>
    <n v="6870.7"/>
    <n v="10920.6"/>
    <n v="7"/>
    <n v="0"/>
    <x v="0"/>
    <n v="5"/>
    <s v="No"/>
    <s v="JPY"/>
  </r>
  <r>
    <s v="JP-00322"/>
    <s v="2025-06-28"/>
    <s v="2025-06-28"/>
    <s v="2025-07-03"/>
    <s v="2025-07-06"/>
    <s v="Kanagawa"/>
    <s v="Yokohama"/>
    <x v="4"/>
    <s v="Nagoya"/>
    <x v="1"/>
    <x v="0"/>
    <x v="1"/>
    <n v="10.6"/>
    <n v="743"/>
    <n v="4338.3999999999996"/>
    <n v="8683.52"/>
    <n v="8"/>
    <n v="3"/>
    <x v="1"/>
    <n v="4"/>
    <s v="No"/>
    <s v="JPY"/>
  </r>
  <r>
    <s v="JP-00323"/>
    <s v="2025-02-13"/>
    <s v="2025-02-13"/>
    <s v="2025-02-15"/>
    <s v="2025-02-16"/>
    <s v="Aichi"/>
    <s v="Nagoya"/>
    <x v="0"/>
    <s v="Tokyo"/>
    <x v="1"/>
    <x v="2"/>
    <x v="4"/>
    <n v="0.6"/>
    <n v="1047"/>
    <n v="5715.6"/>
    <n v="11250.4"/>
    <n v="3"/>
    <n v="1"/>
    <x v="1"/>
    <n v="5"/>
    <s v="No"/>
    <s v="JPY"/>
  </r>
  <r>
    <s v="JP-00324"/>
    <s v="2025-06-06"/>
    <s v="2025-06-07"/>
    <s v="2025-06-12"/>
    <s v="2025-06-15"/>
    <s v="Osaka"/>
    <s v="Osaka"/>
    <x v="3"/>
    <s v="Yokohama"/>
    <x v="1"/>
    <x v="0"/>
    <x v="4"/>
    <n v="3.1"/>
    <n v="1464"/>
    <n v="4998.7"/>
    <n v="9127.35"/>
    <n v="8"/>
    <n v="3"/>
    <x v="1"/>
    <n v="3"/>
    <s v="No"/>
    <s v="JPY"/>
  </r>
  <r>
    <s v="JP-00325"/>
    <s v="2025-08-26"/>
    <s v="2025-08-27"/>
    <s v="2025-08-29"/>
    <s v="2025-08-28"/>
    <s v="Tokyo"/>
    <s v="Tokyo"/>
    <x v="3"/>
    <s v="Yokohama"/>
    <x v="1"/>
    <x v="2"/>
    <x v="3"/>
    <n v="4"/>
    <n v="790"/>
    <n v="5542"/>
    <n v="11163.54"/>
    <n v="1"/>
    <n v="0"/>
    <x v="0"/>
    <n v="5"/>
    <s v="No"/>
    <s v="JPY"/>
  </r>
  <r>
    <s v="JP-00326"/>
    <s v="2025-01-26"/>
    <s v="2025-01-28"/>
    <s v="2025-02-02"/>
    <s v="2025-02-04"/>
    <s v="Osaka"/>
    <s v="Osaka"/>
    <x v="3"/>
    <s v="Yokohama"/>
    <x v="2"/>
    <x v="0"/>
    <x v="4"/>
    <n v="13.2"/>
    <n v="2094"/>
    <n v="6991.2"/>
    <n v="10119.67"/>
    <n v="7"/>
    <n v="2"/>
    <x v="1"/>
    <n v="4"/>
    <s v="No"/>
    <s v="JPY"/>
  </r>
  <r>
    <s v="JP-00327"/>
    <s v="2025-09-03"/>
    <s v="2025-09-03"/>
    <s v="2025-09-08"/>
    <s v="2025-09-11"/>
    <s v="Kanagawa"/>
    <s v="Yokohama"/>
    <x v="1"/>
    <s v="Fukuoka"/>
    <x v="0"/>
    <x v="0"/>
    <x v="3"/>
    <n v="15.7"/>
    <n v="629"/>
    <n v="4566.7"/>
    <n v="7741.37"/>
    <n v="8"/>
    <n v="3"/>
    <x v="1"/>
    <n v="4"/>
    <s v="Yes"/>
    <s v="JPY"/>
  </r>
  <r>
    <s v="JP-00328"/>
    <s v="2025-09-08"/>
    <s v="2025-09-09"/>
    <s v="2025-09-11"/>
    <s v="2025-09-12"/>
    <s v="Aichi"/>
    <s v="Nagoya"/>
    <x v="3"/>
    <s v="Yokohama"/>
    <x v="2"/>
    <x v="2"/>
    <x v="1"/>
    <n v="5.4"/>
    <n v="2032"/>
    <n v="7896.6"/>
    <n v="14385.95"/>
    <n v="3"/>
    <n v="1"/>
    <x v="1"/>
    <n v="5"/>
    <s v="No"/>
    <s v="JPY"/>
  </r>
  <r>
    <s v="JP-00329"/>
    <s v="2025-09-17"/>
    <s v="2025-09-19"/>
    <s v="2025-09-24"/>
    <s v="2025-09-23"/>
    <s v="Tokyo"/>
    <s v="Tokyo"/>
    <x v="3"/>
    <s v="Yokohama"/>
    <x v="2"/>
    <x v="0"/>
    <x v="1"/>
    <n v="11.1"/>
    <n v="888"/>
    <n v="4641.8999999999996"/>
    <n v="6672.6"/>
    <n v="4"/>
    <n v="0"/>
    <x v="0"/>
    <n v="5"/>
    <s v="No"/>
    <s v="JPY"/>
  </r>
  <r>
    <s v="JP-00330"/>
    <s v="2025-07-28"/>
    <s v="2025-07-29"/>
    <s v="2025-07-31"/>
    <s v="2025-08-01"/>
    <s v="Aichi"/>
    <s v="Nagoya"/>
    <x v="4"/>
    <s v="Nagoya"/>
    <x v="1"/>
    <x v="2"/>
    <x v="3"/>
    <n v="3"/>
    <n v="745"/>
    <n v="5376"/>
    <n v="7406.24"/>
    <n v="3"/>
    <n v="1"/>
    <x v="1"/>
    <n v="5"/>
    <s v="No"/>
    <s v="JPY"/>
  </r>
  <r>
    <s v="JP-00331"/>
    <s v="2025-07-30"/>
    <s v="2025-07-31"/>
    <s v="2025-08-02"/>
    <s v="2025-08-01"/>
    <s v="Fukuoka"/>
    <s v="Fukuoka"/>
    <x v="2"/>
    <s v="Osaka"/>
    <x v="3"/>
    <x v="2"/>
    <x v="0"/>
    <n v="15.8"/>
    <n v="2055"/>
    <n v="8822"/>
    <n v="16423.53"/>
    <n v="1"/>
    <n v="0"/>
    <x v="0"/>
    <n v="5"/>
    <s v="No"/>
    <s v="JPY"/>
  </r>
  <r>
    <s v="JP-00332"/>
    <s v="2025-05-15"/>
    <s v="2025-05-17"/>
    <s v="2025-05-19"/>
    <s v="2025-05-21"/>
    <s v="Aichi"/>
    <s v="Nagoya"/>
    <x v="3"/>
    <s v="Yokohama"/>
    <x v="1"/>
    <x v="2"/>
    <x v="4"/>
    <n v="15.7"/>
    <n v="1035"/>
    <n v="6977.5"/>
    <n v="11407.71"/>
    <n v="4"/>
    <n v="2"/>
    <x v="1"/>
    <n v="4"/>
    <s v="No"/>
    <s v="JPY"/>
  </r>
  <r>
    <s v="JP-00333"/>
    <s v="2025-08-10"/>
    <s v="2025-08-12"/>
    <s v="2025-08-14"/>
    <s v="2025-08-13"/>
    <s v="Tokyo"/>
    <s v="Tokyo"/>
    <x v="0"/>
    <s v="Tokyo"/>
    <x v="3"/>
    <x v="2"/>
    <x v="3"/>
    <n v="11.1"/>
    <n v="790"/>
    <n v="6145.5"/>
    <n v="8357.98"/>
    <n v="1"/>
    <n v="0"/>
    <x v="0"/>
    <n v="5"/>
    <s v="No"/>
    <s v="JPY"/>
  </r>
  <r>
    <s v="JP-00334"/>
    <s v="2025-09-03"/>
    <s v="2025-09-03"/>
    <s v="2025-09-05"/>
    <s v="2025-09-04"/>
    <s v="Osaka"/>
    <s v="Osaka"/>
    <x v="0"/>
    <s v="Tokyo"/>
    <x v="3"/>
    <x v="2"/>
    <x v="1"/>
    <n v="12.3"/>
    <n v="1337"/>
    <n v="7232.1"/>
    <n v="12838.23"/>
    <n v="1"/>
    <n v="0"/>
    <x v="0"/>
    <n v="4"/>
    <s v="No"/>
    <s v="JPY"/>
  </r>
  <r>
    <s v="JP-00335"/>
    <s v="2025-12-31"/>
    <s v="2026-01-01"/>
    <s v="2026-01-06"/>
    <s v="2026-01-06"/>
    <s v="Aichi"/>
    <s v="Nagoya"/>
    <x v="0"/>
    <s v="Tokyo"/>
    <x v="0"/>
    <x v="0"/>
    <x v="0"/>
    <n v="14.5"/>
    <n v="917"/>
    <n v="4983.1000000000004"/>
    <n v="10068.52"/>
    <n v="5"/>
    <n v="0"/>
    <x v="0"/>
    <n v="5"/>
    <s v="No"/>
    <s v="JPY"/>
  </r>
  <r>
    <s v="JP-00336"/>
    <s v="2025-08-18"/>
    <s v="2025-08-19"/>
    <s v="2025-08-21"/>
    <s v="2025-08-20"/>
    <s v="Kanagawa"/>
    <s v="Yokohama"/>
    <x v="0"/>
    <s v="Tokyo"/>
    <x v="1"/>
    <x v="2"/>
    <x v="1"/>
    <n v="9.1"/>
    <n v="1768"/>
    <n v="7735.9"/>
    <n v="13639.68"/>
    <n v="1"/>
    <n v="0"/>
    <x v="0"/>
    <n v="5"/>
    <s v="No"/>
    <s v="JPY"/>
  </r>
  <r>
    <s v="JP-00337"/>
    <s v="2025-02-14"/>
    <s v="2025-02-16"/>
    <s v="2025-02-21"/>
    <s v="2025-02-20"/>
    <s v="Aichi"/>
    <s v="Nagoya"/>
    <x v="4"/>
    <s v="Nagoya"/>
    <x v="2"/>
    <x v="0"/>
    <x v="4"/>
    <n v="16.399999999999999"/>
    <n v="490"/>
    <n v="4376"/>
    <n v="5833.19"/>
    <n v="4"/>
    <n v="0"/>
    <x v="0"/>
    <n v="4"/>
    <s v="No"/>
    <s v="JPY"/>
  </r>
  <r>
    <s v="JP-00338"/>
    <s v="2025-07-31"/>
    <s v="2025-08-02"/>
    <s v="2025-08-10"/>
    <s v="2025-08-07"/>
    <s v="Fukuoka"/>
    <s v="Fukuoka"/>
    <x v="3"/>
    <s v="Yokohama"/>
    <x v="1"/>
    <x v="1"/>
    <x v="3"/>
    <n v="14.3"/>
    <n v="1659"/>
    <n v="6301.7"/>
    <n v="12075.24"/>
    <n v="5"/>
    <n v="0"/>
    <x v="0"/>
    <n v="5"/>
    <s v="No"/>
    <s v="JPY"/>
  </r>
  <r>
    <s v="JP-00339"/>
    <s v="2025-12-02"/>
    <s v="2025-12-03"/>
    <s v="2025-12-08"/>
    <s v="2025-12-09"/>
    <s v="Tokyo"/>
    <s v="Tokyo"/>
    <x v="0"/>
    <s v="Tokyo"/>
    <x v="2"/>
    <x v="0"/>
    <x v="0"/>
    <n v="12.8"/>
    <n v="1234"/>
    <n v="5409.2"/>
    <n v="7672.66"/>
    <n v="6"/>
    <n v="1"/>
    <x v="1"/>
    <n v="5"/>
    <s v="No"/>
    <s v="JPY"/>
  </r>
  <r>
    <s v="JP-00340"/>
    <s v="2025-12-26"/>
    <s v="2025-12-27"/>
    <s v="2026-01-04"/>
    <s v="2026-01-04"/>
    <s v="Kanagawa"/>
    <s v="Yokohama"/>
    <x v="1"/>
    <s v="Fukuoka"/>
    <x v="2"/>
    <x v="1"/>
    <x v="2"/>
    <n v="9.5"/>
    <n v="1739"/>
    <n v="6037.7"/>
    <n v="9383"/>
    <n v="8"/>
    <n v="0"/>
    <x v="0"/>
    <n v="5"/>
    <s v="No"/>
    <s v="JPY"/>
  </r>
  <r>
    <s v="JP-00341"/>
    <s v="2025-08-17"/>
    <s v="2025-08-17"/>
    <s v="2025-08-22"/>
    <s v="2025-08-23"/>
    <s v="Kanagawa"/>
    <s v="Yokohama"/>
    <x v="0"/>
    <s v="Tokyo"/>
    <x v="2"/>
    <x v="0"/>
    <x v="1"/>
    <n v="6.7"/>
    <n v="1689"/>
    <n v="5709.7"/>
    <n v="11783.94"/>
    <n v="6"/>
    <n v="1"/>
    <x v="1"/>
    <n v="5"/>
    <s v="No"/>
    <s v="JPY"/>
  </r>
  <r>
    <s v="JP-00342"/>
    <s v="2025-08-25"/>
    <s v="2025-08-26"/>
    <s v="2025-08-28"/>
    <s v="2025-08-30"/>
    <s v="Tokyo"/>
    <s v="Tokyo"/>
    <x v="1"/>
    <s v="Fukuoka"/>
    <x v="1"/>
    <x v="2"/>
    <x v="1"/>
    <n v="11.7"/>
    <n v="1385"/>
    <n v="7267.5"/>
    <n v="14103.09"/>
    <n v="4"/>
    <n v="2"/>
    <x v="1"/>
    <n v="4"/>
    <s v="No"/>
    <s v="JPY"/>
  </r>
  <r>
    <s v="JP-00343"/>
    <s v="2025-02-03"/>
    <s v="2025-02-04"/>
    <s v="2025-02-09"/>
    <s v="2025-02-09"/>
    <s v="Kanagawa"/>
    <s v="Yokohama"/>
    <x v="0"/>
    <s v="Tokyo"/>
    <x v="0"/>
    <x v="0"/>
    <x v="3"/>
    <n v="17.8"/>
    <n v="1903"/>
    <n v="7038.4"/>
    <n v="10992.22"/>
    <n v="5"/>
    <n v="0"/>
    <x v="0"/>
    <n v="4"/>
    <s v="No"/>
    <s v="JPY"/>
  </r>
  <r>
    <s v="JP-00344"/>
    <s v="2025-12-07"/>
    <s v="2025-12-09"/>
    <s v="2025-12-14"/>
    <s v="2025-12-15"/>
    <s v="Kanagawa"/>
    <s v="Yokohama"/>
    <x v="4"/>
    <s v="Nagoya"/>
    <x v="3"/>
    <x v="0"/>
    <x v="2"/>
    <n v="6.6"/>
    <n v="627"/>
    <n v="3789.6"/>
    <n v="7477.24"/>
    <n v="6"/>
    <n v="1"/>
    <x v="1"/>
    <n v="5"/>
    <s v="No"/>
    <s v="JPY"/>
  </r>
  <r>
    <s v="JP-00345"/>
    <s v="2025-07-23"/>
    <s v="2025-07-23"/>
    <s v="2025-07-28"/>
    <s v="2025-07-28"/>
    <s v="Osaka"/>
    <s v="Osaka"/>
    <x v="4"/>
    <s v="Nagoya"/>
    <x v="2"/>
    <x v="0"/>
    <x v="1"/>
    <n v="1.4"/>
    <n v="2072"/>
    <n v="5948.6"/>
    <n v="8417.7000000000007"/>
    <n v="5"/>
    <n v="0"/>
    <x v="0"/>
    <n v="5"/>
    <s v="No"/>
    <s v="JPY"/>
  </r>
  <r>
    <s v="JP-00346"/>
    <s v="2025-01-14"/>
    <s v="2025-01-14"/>
    <s v="2025-01-19"/>
    <s v="2025-01-16"/>
    <s v="Aichi"/>
    <s v="Nagoya"/>
    <x v="3"/>
    <s v="Yokohama"/>
    <x v="3"/>
    <x v="0"/>
    <x v="1"/>
    <n v="2.1"/>
    <n v="1460"/>
    <n v="4906.5"/>
    <n v="9550.9500000000007"/>
    <n v="2"/>
    <n v="0"/>
    <x v="0"/>
    <n v="5"/>
    <s v="No"/>
    <s v="JPY"/>
  </r>
  <r>
    <s v="JP-00347"/>
    <s v="2025-11-29"/>
    <s v="2025-11-29"/>
    <s v="2025-12-01"/>
    <s v="2025-11-30"/>
    <s v="Tokyo"/>
    <s v="Tokyo"/>
    <x v="0"/>
    <s v="Tokyo"/>
    <x v="2"/>
    <x v="2"/>
    <x v="2"/>
    <n v="0.9"/>
    <n v="1665"/>
    <n v="6853.5"/>
    <n v="12067.09"/>
    <n v="1"/>
    <n v="0"/>
    <x v="0"/>
    <n v="5"/>
    <s v="No"/>
    <s v="JPY"/>
  </r>
  <r>
    <s v="JP-00348"/>
    <s v="2025-12-16"/>
    <s v="2025-12-18"/>
    <s v="2025-12-23"/>
    <s v="2025-12-22"/>
    <s v="Tokyo"/>
    <s v="Tokyo"/>
    <x v="0"/>
    <s v="Tokyo"/>
    <x v="2"/>
    <x v="0"/>
    <x v="2"/>
    <n v="2.1"/>
    <n v="1214"/>
    <n v="4463.7"/>
    <n v="6189.63"/>
    <n v="4"/>
    <n v="0"/>
    <x v="0"/>
    <n v="5"/>
    <s v="No"/>
    <s v="JPY"/>
  </r>
  <r>
    <s v="JP-00349"/>
    <s v="2025-09-11"/>
    <s v="2025-09-12"/>
    <s v="2025-09-17"/>
    <s v="2025-09-17"/>
    <s v="Osaka"/>
    <s v="Osaka"/>
    <x v="2"/>
    <s v="Osaka"/>
    <x v="2"/>
    <x v="0"/>
    <x v="1"/>
    <n v="0.4"/>
    <n v="1445"/>
    <n v="4735"/>
    <n v="9509.06"/>
    <n v="5"/>
    <n v="0"/>
    <x v="0"/>
    <n v="4"/>
    <s v="No"/>
    <s v="JPY"/>
  </r>
  <r>
    <s v="JP-00350"/>
    <s v="2025-11-29"/>
    <s v="2025-12-01"/>
    <s v="2025-12-06"/>
    <s v="2025-12-07"/>
    <s v="Tokyo"/>
    <s v="Tokyo"/>
    <x v="4"/>
    <s v="Nagoya"/>
    <x v="1"/>
    <x v="0"/>
    <x v="2"/>
    <n v="12.1"/>
    <n v="941"/>
    <n v="4822.3"/>
    <n v="9498"/>
    <n v="6"/>
    <n v="1"/>
    <x v="1"/>
    <n v="5"/>
    <s v="No"/>
    <s v="JPY"/>
  </r>
  <r>
    <s v="JP-00351"/>
    <s v="2025-07-31"/>
    <s v="2025-08-01"/>
    <s v="2025-08-06"/>
    <s v="2025-08-02"/>
    <s v="Fukuoka"/>
    <s v="Fukuoka"/>
    <x v="1"/>
    <s v="Fukuoka"/>
    <x v="3"/>
    <x v="0"/>
    <x v="1"/>
    <n v="6.2"/>
    <n v="1539"/>
    <n v="5397.2"/>
    <n v="7402.97"/>
    <n v="1"/>
    <n v="0"/>
    <x v="0"/>
    <n v="5"/>
    <s v="No"/>
    <s v="JPY"/>
  </r>
  <r>
    <s v="JP-00352"/>
    <s v="2025-08-04"/>
    <s v="2025-08-05"/>
    <s v="2025-08-13"/>
    <s v="2025-08-15"/>
    <s v="Aichi"/>
    <s v="Nagoya"/>
    <x v="0"/>
    <s v="Tokyo"/>
    <x v="2"/>
    <x v="1"/>
    <x v="3"/>
    <n v="0.8"/>
    <n v="2089"/>
    <n v="5928.2"/>
    <n v="10975.9"/>
    <n v="10"/>
    <n v="2"/>
    <x v="1"/>
    <n v="3"/>
    <s v="No"/>
    <s v="JPY"/>
  </r>
  <r>
    <s v="JP-00353"/>
    <s v="2025-05-06"/>
    <s v="2025-05-06"/>
    <s v="2025-05-08"/>
    <s v="2025-05-08"/>
    <s v="Osaka"/>
    <s v="Osaka"/>
    <x v="1"/>
    <s v="Fukuoka"/>
    <x v="0"/>
    <x v="2"/>
    <x v="2"/>
    <n v="15.3"/>
    <n v="2079"/>
    <n v="8822.7000000000007"/>
    <n v="15519.98"/>
    <n v="2"/>
    <n v="0"/>
    <x v="0"/>
    <n v="4"/>
    <s v="No"/>
    <s v="JPY"/>
  </r>
  <r>
    <s v="JP-00354"/>
    <s v="2025-12-30"/>
    <s v="2026-01-01"/>
    <s v="2026-01-06"/>
    <s v="2026-01-08"/>
    <s v="Osaka"/>
    <s v="Osaka"/>
    <x v="4"/>
    <s v="Nagoya"/>
    <x v="2"/>
    <x v="0"/>
    <x v="1"/>
    <n v="4.5999999999999996"/>
    <n v="1112"/>
    <n v="4492.6000000000004"/>
    <n v="5918.45"/>
    <n v="7"/>
    <n v="2"/>
    <x v="1"/>
    <n v="4"/>
    <s v="No"/>
    <s v="JPY"/>
  </r>
  <r>
    <s v="JP-00355"/>
    <s v="2025-04-20"/>
    <s v="2025-04-20"/>
    <s v="2025-04-25"/>
    <s v="2025-04-27"/>
    <s v="Aichi"/>
    <s v="Nagoya"/>
    <x v="2"/>
    <s v="Osaka"/>
    <x v="2"/>
    <x v="0"/>
    <x v="3"/>
    <n v="11.5"/>
    <n v="1509"/>
    <n v="5793.7"/>
    <n v="8220.09"/>
    <n v="7"/>
    <n v="2"/>
    <x v="1"/>
    <n v="4"/>
    <s v="No"/>
    <s v="JPY"/>
  </r>
  <r>
    <s v="JP-00356"/>
    <s v="2025-05-11"/>
    <s v="2025-05-12"/>
    <s v="2025-05-20"/>
    <s v="2025-05-18"/>
    <s v="Fukuoka"/>
    <s v="Fukuoka"/>
    <x v="4"/>
    <s v="Nagoya"/>
    <x v="3"/>
    <x v="1"/>
    <x v="2"/>
    <n v="4.5999999999999996"/>
    <n v="1025"/>
    <n v="4336"/>
    <n v="8516.32"/>
    <n v="6"/>
    <n v="0"/>
    <x v="0"/>
    <n v="5"/>
    <s v="No"/>
    <s v="JPY"/>
  </r>
  <r>
    <s v="JP-00357"/>
    <s v="2025-09-19"/>
    <s v="2025-09-21"/>
    <s v="2025-09-29"/>
    <s v="2025-10-01"/>
    <s v="Aichi"/>
    <s v="Nagoya"/>
    <x v="4"/>
    <s v="Nagoya"/>
    <x v="0"/>
    <x v="1"/>
    <x v="2"/>
    <n v="3.9"/>
    <n v="1060"/>
    <n v="4339.5"/>
    <n v="7732.77"/>
    <n v="10"/>
    <n v="2"/>
    <x v="1"/>
    <n v="3"/>
    <s v="No"/>
    <s v="JPY"/>
  </r>
  <r>
    <s v="JP-00358"/>
    <s v="2025-06-11"/>
    <s v="2025-06-13"/>
    <s v="2025-06-21"/>
    <s v="2025-06-22"/>
    <s v="Aichi"/>
    <s v="Nagoya"/>
    <x v="2"/>
    <s v="Osaka"/>
    <x v="1"/>
    <x v="1"/>
    <x v="0"/>
    <n v="5"/>
    <n v="627"/>
    <n v="3653.6"/>
    <n v="6932.21"/>
    <n v="9"/>
    <n v="1"/>
    <x v="1"/>
    <n v="5"/>
    <s v="No"/>
    <s v="JPY"/>
  </r>
  <r>
    <s v="JP-00359"/>
    <s v="2025-06-15"/>
    <s v="2025-06-15"/>
    <s v="2025-06-17"/>
    <s v="2025-06-19"/>
    <s v="Fukuoka"/>
    <s v="Fukuoka"/>
    <x v="1"/>
    <s v="Fukuoka"/>
    <x v="3"/>
    <x v="2"/>
    <x v="0"/>
    <n v="15.2"/>
    <n v="1904"/>
    <n v="8499.2000000000007"/>
    <n v="16072.43"/>
    <n v="4"/>
    <n v="2"/>
    <x v="1"/>
    <n v="4"/>
    <s v="No"/>
    <s v="JPY"/>
  </r>
  <r>
    <s v="JP-00360"/>
    <s v="2025-11-05"/>
    <s v="2025-11-05"/>
    <s v="2025-11-13"/>
    <s v="2025-11-15"/>
    <s v="Fukuoka"/>
    <s v="Fukuoka"/>
    <x v="2"/>
    <s v="Osaka"/>
    <x v="0"/>
    <x v="1"/>
    <x v="3"/>
    <n v="15.5"/>
    <n v="578"/>
    <n v="4457.8999999999996"/>
    <n v="8189.6"/>
    <n v="10"/>
    <n v="2"/>
    <x v="1"/>
    <n v="4"/>
    <s v="No"/>
    <s v="JPY"/>
  </r>
  <r>
    <s v="JP-00361"/>
    <s v="2025-02-20"/>
    <s v="2025-02-22"/>
    <s v="2025-03-02"/>
    <s v="2025-02-28"/>
    <s v="Aichi"/>
    <s v="Nagoya"/>
    <x v="2"/>
    <s v="Osaka"/>
    <x v="3"/>
    <x v="1"/>
    <x v="4"/>
    <n v="10.199999999999999"/>
    <n v="1009"/>
    <n v="4783.2"/>
    <n v="8200.33"/>
    <n v="6"/>
    <n v="0"/>
    <x v="0"/>
    <n v="5"/>
    <s v="No"/>
    <s v="JPY"/>
  </r>
  <r>
    <s v="JP-00362"/>
    <s v="2025-04-27"/>
    <s v="2025-04-29"/>
    <s v="2025-05-01"/>
    <s v="2025-04-30"/>
    <s v="Osaka"/>
    <s v="Osaka"/>
    <x v="3"/>
    <s v="Yokohama"/>
    <x v="0"/>
    <x v="2"/>
    <x v="2"/>
    <n v="5.8"/>
    <n v="1792"/>
    <n v="7498.6"/>
    <n v="12622.89"/>
    <n v="1"/>
    <n v="0"/>
    <x v="0"/>
    <n v="4"/>
    <s v="No"/>
    <s v="JPY"/>
  </r>
  <r>
    <s v="JP-00363"/>
    <s v="2025-12-15"/>
    <s v="2025-12-15"/>
    <s v="2025-12-23"/>
    <s v="2025-12-23"/>
    <s v="Osaka"/>
    <s v="Osaka"/>
    <x v="3"/>
    <s v="Yokohama"/>
    <x v="1"/>
    <x v="1"/>
    <x v="2"/>
    <n v="13.2"/>
    <n v="479"/>
    <n v="4084.2"/>
    <n v="5798.44"/>
    <n v="8"/>
    <n v="0"/>
    <x v="0"/>
    <n v="5"/>
    <s v="No"/>
    <s v="JPY"/>
  </r>
  <r>
    <s v="JP-00364"/>
    <s v="2025-03-08"/>
    <s v="2025-03-09"/>
    <s v="2025-03-11"/>
    <s v="2025-03-10"/>
    <s v="Tokyo"/>
    <s v="Tokyo"/>
    <x v="2"/>
    <s v="Osaka"/>
    <x v="2"/>
    <x v="2"/>
    <x v="2"/>
    <n v="5.5"/>
    <n v="1846"/>
    <n v="7570.3"/>
    <n v="13480.75"/>
    <n v="1"/>
    <n v="0"/>
    <x v="0"/>
    <n v="5"/>
    <s v="No"/>
    <s v="JPY"/>
  </r>
  <r>
    <s v="JP-00365"/>
    <s v="2025-11-11"/>
    <s v="2025-11-13"/>
    <s v="2025-11-15"/>
    <s v="2025-11-17"/>
    <s v="Fukuoka"/>
    <s v="Fukuoka"/>
    <x v="2"/>
    <s v="Osaka"/>
    <x v="3"/>
    <x v="2"/>
    <x v="3"/>
    <n v="8.3000000000000007"/>
    <n v="1467"/>
    <n v="7126.1"/>
    <n v="14433.13"/>
    <n v="4"/>
    <n v="2"/>
    <x v="1"/>
    <n v="4"/>
    <s v="No"/>
    <s v="JPY"/>
  </r>
  <r>
    <s v="JP-00366"/>
    <s v="2025-03-25"/>
    <s v="2025-03-26"/>
    <s v="2025-04-03"/>
    <s v="2025-04-03"/>
    <s v="Tokyo"/>
    <s v="Tokyo"/>
    <x v="1"/>
    <s v="Fukuoka"/>
    <x v="3"/>
    <x v="1"/>
    <x v="2"/>
    <n v="4.4000000000000004"/>
    <n v="1050"/>
    <n v="4364"/>
    <n v="9085.5300000000007"/>
    <n v="8"/>
    <n v="0"/>
    <x v="0"/>
    <n v="5"/>
    <s v="No"/>
    <s v="JPY"/>
  </r>
  <r>
    <s v="JP-00367"/>
    <s v="2025-03-29"/>
    <s v="2025-03-29"/>
    <s v="2025-03-31"/>
    <s v="2025-03-30"/>
    <s v="Fukuoka"/>
    <s v="Fukuoka"/>
    <x v="1"/>
    <s v="Fukuoka"/>
    <x v="0"/>
    <x v="2"/>
    <x v="2"/>
    <n v="6.3"/>
    <n v="219"/>
    <n v="4709.7"/>
    <n v="9455.4699999999993"/>
    <n v="1"/>
    <n v="0"/>
    <x v="0"/>
    <n v="5"/>
    <s v="No"/>
    <s v="JPY"/>
  </r>
  <r>
    <s v="JP-00368"/>
    <s v="2025-08-22"/>
    <s v="2025-08-22"/>
    <s v="2025-08-24"/>
    <s v="2025-08-23"/>
    <s v="Osaka"/>
    <s v="Osaka"/>
    <x v="0"/>
    <s v="Tokyo"/>
    <x v="2"/>
    <x v="2"/>
    <x v="2"/>
    <n v="13.8"/>
    <n v="2003"/>
    <n v="8558.4"/>
    <n v="16959.2"/>
    <n v="1"/>
    <n v="0"/>
    <x v="0"/>
    <n v="5"/>
    <s v="No"/>
    <s v="JPY"/>
  </r>
  <r>
    <s v="JP-00369"/>
    <s v="2025-07-30"/>
    <s v="2025-08-01"/>
    <s v="2025-08-03"/>
    <s v="2025-08-03"/>
    <s v="Aichi"/>
    <s v="Nagoya"/>
    <x v="4"/>
    <s v="Nagoya"/>
    <x v="0"/>
    <x v="2"/>
    <x v="0"/>
    <n v="12.7"/>
    <n v="1112"/>
    <n v="6861.1"/>
    <n v="11200.71"/>
    <n v="2"/>
    <n v="0"/>
    <x v="0"/>
    <n v="5"/>
    <s v="No"/>
    <s v="JPY"/>
  </r>
  <r>
    <s v="JP-00370"/>
    <s v="2025-10-13"/>
    <s v="2025-10-13"/>
    <s v="2025-10-15"/>
    <s v="2025-10-15"/>
    <s v="Tokyo"/>
    <s v="Tokyo"/>
    <x v="4"/>
    <s v="Nagoya"/>
    <x v="2"/>
    <x v="2"/>
    <x v="4"/>
    <n v="14.8"/>
    <n v="1832"/>
    <n v="8335.6"/>
    <n v="11011.45"/>
    <n v="2"/>
    <n v="0"/>
    <x v="0"/>
    <n v="5"/>
    <s v="No"/>
    <s v="JPY"/>
  </r>
  <r>
    <s v="JP-00371"/>
    <s v="2025-08-03"/>
    <s v="2025-08-03"/>
    <s v="2025-08-11"/>
    <s v="2025-08-09"/>
    <s v="Fukuoka"/>
    <s v="Fukuoka"/>
    <x v="1"/>
    <s v="Fukuoka"/>
    <x v="2"/>
    <x v="1"/>
    <x v="3"/>
    <n v="17.899999999999999"/>
    <n v="1267"/>
    <n v="5902.1"/>
    <n v="7621.18"/>
    <n v="6"/>
    <n v="0"/>
    <x v="0"/>
    <n v="4"/>
    <s v="No"/>
    <s v="JPY"/>
  </r>
  <r>
    <s v="JP-00372"/>
    <s v="2025-03-22"/>
    <s v="2025-03-22"/>
    <s v="2025-03-27"/>
    <s v="2025-03-25"/>
    <s v="Tokyo"/>
    <s v="Tokyo"/>
    <x v="1"/>
    <s v="Fukuoka"/>
    <x v="3"/>
    <x v="0"/>
    <x v="0"/>
    <n v="13.3"/>
    <n v="894"/>
    <n v="4839.7"/>
    <n v="6446.07"/>
    <n v="3"/>
    <n v="0"/>
    <x v="0"/>
    <n v="5"/>
    <s v="No"/>
    <s v="JPY"/>
  </r>
  <r>
    <s v="JP-00373"/>
    <s v="2025-12-26"/>
    <s v="2025-12-28"/>
    <s v="2025-12-30"/>
    <s v="2025-12-30"/>
    <s v="Fukuoka"/>
    <s v="Fukuoka"/>
    <x v="3"/>
    <s v="Yokohama"/>
    <x v="2"/>
    <x v="2"/>
    <x v="0"/>
    <n v="17"/>
    <n v="1850"/>
    <n v="8555"/>
    <n v="12548.29"/>
    <n v="2"/>
    <n v="0"/>
    <x v="0"/>
    <n v="5"/>
    <s v="No"/>
    <s v="JPY"/>
  </r>
  <r>
    <s v="JP-00374"/>
    <s v="2025-01-08"/>
    <s v="2025-01-09"/>
    <s v="2025-01-17"/>
    <s v="2025-01-20"/>
    <s v="Osaka"/>
    <s v="Osaka"/>
    <x v="4"/>
    <s v="Nagoya"/>
    <x v="1"/>
    <x v="1"/>
    <x v="0"/>
    <n v="1.4"/>
    <n v="975"/>
    <n v="3974"/>
    <n v="5747.14"/>
    <n v="11"/>
    <n v="3"/>
    <x v="1"/>
    <n v="4"/>
    <s v="No"/>
    <s v="JPY"/>
  </r>
  <r>
    <s v="JP-00375"/>
    <s v="2025-09-29"/>
    <s v="2025-10-01"/>
    <s v="2025-10-06"/>
    <s v="2025-10-09"/>
    <s v="Fukuoka"/>
    <s v="Fukuoka"/>
    <x v="0"/>
    <s v="Tokyo"/>
    <x v="1"/>
    <x v="0"/>
    <x v="1"/>
    <n v="0.4"/>
    <n v="1271"/>
    <n v="4421.8"/>
    <n v="7871.6"/>
    <n v="8"/>
    <n v="3"/>
    <x v="1"/>
    <n v="4"/>
    <s v="No"/>
    <s v="JPY"/>
  </r>
  <r>
    <s v="JP-00376"/>
    <s v="2025-05-17"/>
    <s v="2025-05-18"/>
    <s v="2025-05-20"/>
    <s v="2025-05-20"/>
    <s v="Tokyo"/>
    <s v="Tokyo"/>
    <x v="3"/>
    <s v="Yokohama"/>
    <x v="3"/>
    <x v="2"/>
    <x v="4"/>
    <n v="3.1"/>
    <n v="1650"/>
    <n v="7013.5"/>
    <n v="10004.200000000001"/>
    <n v="2"/>
    <n v="0"/>
    <x v="0"/>
    <n v="5"/>
    <s v="No"/>
    <s v="JPY"/>
  </r>
  <r>
    <s v="JP-00377"/>
    <s v="2025-12-13"/>
    <s v="2025-12-13"/>
    <s v="2025-12-21"/>
    <s v="2025-12-20"/>
    <s v="Aichi"/>
    <s v="Nagoya"/>
    <x v="4"/>
    <s v="Nagoya"/>
    <x v="0"/>
    <x v="1"/>
    <x v="4"/>
    <n v="8.6999999999999993"/>
    <n v="1741"/>
    <n v="5973.3"/>
    <n v="11264.96"/>
    <n v="7"/>
    <n v="0"/>
    <x v="0"/>
    <n v="5"/>
    <s v="No"/>
    <s v="JPY"/>
  </r>
  <r>
    <s v="JP-00378"/>
    <s v="2025-12-20"/>
    <s v="2025-12-20"/>
    <s v="2025-12-28"/>
    <s v="2025-12-26"/>
    <s v="Fukuoka"/>
    <s v="Fukuoka"/>
    <x v="0"/>
    <s v="Tokyo"/>
    <x v="1"/>
    <x v="1"/>
    <x v="1"/>
    <n v="15.2"/>
    <n v="1134"/>
    <n v="5433.2"/>
    <n v="7996.94"/>
    <n v="6"/>
    <n v="0"/>
    <x v="0"/>
    <n v="5"/>
    <s v="No"/>
    <s v="JPY"/>
  </r>
  <r>
    <s v="JP-00379"/>
    <s v="2025-01-09"/>
    <s v="2025-01-11"/>
    <s v="2025-01-13"/>
    <s v="2025-01-12"/>
    <s v="Kanagawa"/>
    <s v="Yokohama"/>
    <x v="4"/>
    <s v="Nagoya"/>
    <x v="0"/>
    <x v="2"/>
    <x v="1"/>
    <n v="16.3"/>
    <n v="346"/>
    <n v="5788.3"/>
    <n v="7417.91"/>
    <n v="1"/>
    <n v="0"/>
    <x v="0"/>
    <n v="5"/>
    <s v="No"/>
    <s v="JPY"/>
  </r>
  <r>
    <s v="JP-00380"/>
    <s v="2025-03-26"/>
    <s v="2025-03-26"/>
    <s v="2025-03-31"/>
    <s v="2025-03-30"/>
    <s v="Kanagawa"/>
    <s v="Yokohama"/>
    <x v="0"/>
    <s v="Tokyo"/>
    <x v="0"/>
    <x v="0"/>
    <x v="1"/>
    <n v="15.7"/>
    <n v="1899"/>
    <n v="6852.7"/>
    <n v="10655.97"/>
    <n v="4"/>
    <n v="0"/>
    <x v="0"/>
    <n v="5"/>
    <s v="No"/>
    <s v="JPY"/>
  </r>
  <r>
    <s v="JP-00381"/>
    <s v="2025-02-08"/>
    <s v="2025-02-09"/>
    <s v="2025-02-11"/>
    <s v="2025-02-10"/>
    <s v="Tokyo"/>
    <s v="Tokyo"/>
    <x v="3"/>
    <s v="Yokohama"/>
    <x v="0"/>
    <x v="2"/>
    <x v="2"/>
    <n v="7.8"/>
    <n v="1466"/>
    <n v="7081.8"/>
    <n v="11321.93"/>
    <n v="1"/>
    <n v="0"/>
    <x v="0"/>
    <n v="5"/>
    <s v="No"/>
    <s v="JPY"/>
  </r>
  <r>
    <s v="JP-00382"/>
    <s v="2025-11-22"/>
    <s v="2025-11-22"/>
    <s v="2025-11-30"/>
    <s v="2025-12-03"/>
    <s v="Osaka"/>
    <s v="Osaka"/>
    <x v="0"/>
    <s v="Tokyo"/>
    <x v="3"/>
    <x v="1"/>
    <x v="1"/>
    <n v="7.2"/>
    <n v="1327"/>
    <n v="5100.6000000000004"/>
    <n v="6620.14"/>
    <n v="11"/>
    <n v="3"/>
    <x v="1"/>
    <n v="4"/>
    <s v="No"/>
    <s v="JPY"/>
  </r>
  <r>
    <s v="JP-00383"/>
    <s v="2025-05-14"/>
    <s v="2025-05-16"/>
    <s v="2025-05-18"/>
    <s v="2025-05-18"/>
    <s v="Osaka"/>
    <s v="Osaka"/>
    <x v="2"/>
    <s v="Osaka"/>
    <x v="3"/>
    <x v="2"/>
    <x v="1"/>
    <n v="4.7"/>
    <n v="119"/>
    <n v="4393.7"/>
    <n v="8912.06"/>
    <n v="2"/>
    <n v="0"/>
    <x v="0"/>
    <n v="5"/>
    <s v="No"/>
    <s v="JPY"/>
  </r>
  <r>
    <s v="JP-00384"/>
    <s v="2025-01-01"/>
    <s v="2025-01-01"/>
    <s v="2025-01-06"/>
    <s v="2025-01-06"/>
    <s v="Tokyo"/>
    <s v="Tokyo"/>
    <x v="3"/>
    <s v="Yokohama"/>
    <x v="1"/>
    <x v="0"/>
    <x v="1"/>
    <n v="0.3"/>
    <n v="1159"/>
    <n v="4211.7"/>
    <n v="5614.78"/>
    <n v="5"/>
    <n v="0"/>
    <x v="0"/>
    <n v="5"/>
    <s v="No"/>
    <s v="JPY"/>
  </r>
  <r>
    <s v="JP-00385"/>
    <s v="2025-12-23"/>
    <s v="2025-12-25"/>
    <s v="2025-12-27"/>
    <s v="2025-12-26"/>
    <s v="Tokyo"/>
    <s v="Tokyo"/>
    <x v="2"/>
    <s v="Osaka"/>
    <x v="1"/>
    <x v="2"/>
    <x v="2"/>
    <n v="9.6"/>
    <n v="386"/>
    <n v="5290.8"/>
    <n v="9140.2099999999991"/>
    <n v="1"/>
    <n v="0"/>
    <x v="0"/>
    <n v="5"/>
    <s v="No"/>
    <s v="JPY"/>
  </r>
  <r>
    <s v="JP-00386"/>
    <s v="2025-01-01"/>
    <s v="2025-01-01"/>
    <s v="2025-01-09"/>
    <s v="2025-01-06"/>
    <s v="Tokyo"/>
    <s v="Tokyo"/>
    <x v="2"/>
    <s v="Osaka"/>
    <x v="2"/>
    <x v="1"/>
    <x v="1"/>
    <n v="1.1000000000000001"/>
    <n v="1900"/>
    <n v="5613.5"/>
    <n v="7096.24"/>
    <n v="5"/>
    <n v="0"/>
    <x v="0"/>
    <n v="5"/>
    <s v="No"/>
    <s v="JPY"/>
  </r>
  <r>
    <s v="JP-00387"/>
    <s v="2025-01-16"/>
    <s v="2025-01-18"/>
    <s v="2025-01-20"/>
    <s v="2025-01-20"/>
    <s v="Kanagawa"/>
    <s v="Yokohama"/>
    <x v="2"/>
    <s v="Osaka"/>
    <x v="0"/>
    <x v="2"/>
    <x v="1"/>
    <n v="14"/>
    <n v="637"/>
    <n v="6116.6"/>
    <n v="8833.9500000000007"/>
    <n v="2"/>
    <n v="0"/>
    <x v="0"/>
    <n v="4"/>
    <s v="No"/>
    <s v="JPY"/>
  </r>
  <r>
    <s v="JP-00388"/>
    <s v="2025-06-05"/>
    <s v="2025-06-05"/>
    <s v="2025-06-10"/>
    <s v="2025-06-08"/>
    <s v="Fukuoka"/>
    <s v="Fukuoka"/>
    <x v="4"/>
    <s v="Nagoya"/>
    <x v="0"/>
    <x v="0"/>
    <x v="2"/>
    <n v="15.7"/>
    <n v="1023"/>
    <n v="5275.9"/>
    <n v="7775.08"/>
    <n v="3"/>
    <n v="0"/>
    <x v="0"/>
    <n v="5"/>
    <s v="No"/>
    <s v="JPY"/>
  </r>
  <r>
    <s v="JP-00389"/>
    <s v="2025-12-10"/>
    <s v="2025-12-12"/>
    <s v="2025-12-14"/>
    <s v="2025-12-17"/>
    <s v="Kanagawa"/>
    <s v="Yokohama"/>
    <x v="1"/>
    <s v="Fukuoka"/>
    <x v="1"/>
    <x v="2"/>
    <x v="0"/>
    <n v="3.6"/>
    <n v="1701"/>
    <n v="7147.8"/>
    <n v="13191.95"/>
    <n v="5"/>
    <n v="3"/>
    <x v="1"/>
    <n v="4"/>
    <s v="No"/>
    <s v="JPY"/>
  </r>
  <r>
    <s v="JP-00390"/>
    <s v="2025-08-15"/>
    <s v="2025-08-16"/>
    <s v="2025-08-24"/>
    <s v="2025-08-21"/>
    <s v="Fukuoka"/>
    <s v="Fukuoka"/>
    <x v="3"/>
    <s v="Yokohama"/>
    <x v="1"/>
    <x v="1"/>
    <x v="3"/>
    <n v="1.9"/>
    <n v="1701"/>
    <n v="5323.3"/>
    <n v="10528.91"/>
    <n v="5"/>
    <n v="0"/>
    <x v="0"/>
    <n v="4"/>
    <s v="No"/>
    <s v="JPY"/>
  </r>
  <r>
    <s v="JP-00391"/>
    <s v="2025-12-16"/>
    <s v="2025-12-16"/>
    <s v="2025-12-21"/>
    <s v="2025-12-24"/>
    <s v="Tokyo"/>
    <s v="Tokyo"/>
    <x v="4"/>
    <s v="Nagoya"/>
    <x v="0"/>
    <x v="0"/>
    <x v="2"/>
    <n v="4.7"/>
    <n v="996"/>
    <n v="4292.3"/>
    <n v="7033.3"/>
    <n v="8"/>
    <n v="3"/>
    <x v="1"/>
    <n v="3"/>
    <s v="No"/>
    <s v="JPY"/>
  </r>
  <r>
    <s v="JP-00392"/>
    <s v="2025-05-31"/>
    <s v="2025-06-02"/>
    <s v="2025-06-04"/>
    <s v="2025-06-06"/>
    <s v="Fukuoka"/>
    <s v="Fukuoka"/>
    <x v="2"/>
    <s v="Osaka"/>
    <x v="0"/>
    <x v="2"/>
    <x v="0"/>
    <n v="4.0999999999999996"/>
    <n v="1859"/>
    <n v="7474.7"/>
    <n v="14326.17"/>
    <n v="4"/>
    <n v="2"/>
    <x v="1"/>
    <n v="4"/>
    <s v="No"/>
    <s v="JPY"/>
  </r>
  <r>
    <s v="JP-00393"/>
    <s v="2025-08-16"/>
    <s v="2025-08-18"/>
    <s v="2025-08-20"/>
    <s v="2025-08-20"/>
    <s v="Kanagawa"/>
    <s v="Yokohama"/>
    <x v="2"/>
    <s v="Osaka"/>
    <x v="1"/>
    <x v="2"/>
    <x v="1"/>
    <n v="11.4"/>
    <n v="1261"/>
    <n v="7018.8"/>
    <n v="9764"/>
    <n v="2"/>
    <n v="0"/>
    <x v="0"/>
    <n v="5"/>
    <s v="No"/>
    <s v="JPY"/>
  </r>
  <r>
    <s v="JP-00394"/>
    <s v="2025-01-29"/>
    <s v="2025-01-31"/>
    <s v="2025-02-05"/>
    <s v="2025-02-05"/>
    <s v="Osaka"/>
    <s v="Osaka"/>
    <x v="2"/>
    <s v="Osaka"/>
    <x v="1"/>
    <x v="0"/>
    <x v="2"/>
    <n v="9.5"/>
    <n v="1632"/>
    <n v="5845.1"/>
    <n v="9424.83"/>
    <n v="5"/>
    <n v="0"/>
    <x v="0"/>
    <n v="5"/>
    <s v="No"/>
    <s v="JPY"/>
  </r>
  <r>
    <s v="JP-00395"/>
    <s v="2025-10-10"/>
    <s v="2025-10-12"/>
    <s v="2025-10-20"/>
    <s v="2025-10-23"/>
    <s v="Aichi"/>
    <s v="Nagoya"/>
    <x v="1"/>
    <s v="Fukuoka"/>
    <x v="3"/>
    <x v="1"/>
    <x v="4"/>
    <n v="5.2"/>
    <n v="1954"/>
    <n v="6059.2"/>
    <n v="11146.76"/>
    <n v="11"/>
    <n v="3"/>
    <x v="1"/>
    <n v="4"/>
    <s v="No"/>
    <s v="JPY"/>
  </r>
  <r>
    <s v="JP-00396"/>
    <s v="2025-04-08"/>
    <s v="2025-04-08"/>
    <s v="2025-04-16"/>
    <s v="2025-04-18"/>
    <s v="Tokyo"/>
    <s v="Tokyo"/>
    <x v="1"/>
    <s v="Fukuoka"/>
    <x v="1"/>
    <x v="1"/>
    <x v="3"/>
    <n v="1.2"/>
    <n v="2116"/>
    <n v="6010.8"/>
    <n v="11092.12"/>
    <n v="10"/>
    <n v="2"/>
    <x v="1"/>
    <n v="4"/>
    <s v="Yes"/>
    <s v="JPY"/>
  </r>
  <r>
    <s v="JP-00397"/>
    <s v="2025-07-11"/>
    <s v="2025-07-11"/>
    <s v="2025-07-19"/>
    <s v="2025-07-17"/>
    <s v="Osaka"/>
    <s v="Osaka"/>
    <x v="4"/>
    <s v="Nagoya"/>
    <x v="0"/>
    <x v="1"/>
    <x v="1"/>
    <n v="1"/>
    <n v="482"/>
    <n v="3052.6"/>
    <n v="4186.03"/>
    <n v="6"/>
    <n v="0"/>
    <x v="0"/>
    <n v="5"/>
    <s v="No"/>
    <s v="JPY"/>
  </r>
  <r>
    <s v="JP-00398"/>
    <s v="2025-11-14"/>
    <s v="2025-11-16"/>
    <s v="2025-11-21"/>
    <s v="2025-11-18"/>
    <s v="Tokyo"/>
    <s v="Tokyo"/>
    <x v="3"/>
    <s v="Yokohama"/>
    <x v="2"/>
    <x v="0"/>
    <x v="1"/>
    <n v="5.5"/>
    <n v="799"/>
    <n v="4005.7"/>
    <n v="6754.34"/>
    <n v="2"/>
    <n v="0"/>
    <x v="0"/>
    <n v="5"/>
    <s v="No"/>
    <s v="JPY"/>
  </r>
  <r>
    <s v="JP-00399"/>
    <s v="2025-04-09"/>
    <s v="2025-04-09"/>
    <s v="2025-04-11"/>
    <s v="2025-04-12"/>
    <s v="Osaka"/>
    <s v="Osaka"/>
    <x v="0"/>
    <s v="Tokyo"/>
    <x v="0"/>
    <x v="2"/>
    <x v="0"/>
    <n v="1.4"/>
    <n v="1111"/>
    <n v="5898.8"/>
    <n v="11413.86"/>
    <n v="3"/>
    <n v="1"/>
    <x v="1"/>
    <n v="5"/>
    <s v="No"/>
    <s v="JPY"/>
  </r>
  <r>
    <s v="JP-00400"/>
    <s v="2025-02-19"/>
    <s v="2025-02-19"/>
    <s v="2025-02-27"/>
    <s v="2025-02-25"/>
    <s v="Tokyo"/>
    <s v="Tokyo"/>
    <x v="3"/>
    <s v="Yokohama"/>
    <x v="2"/>
    <x v="1"/>
    <x v="3"/>
    <n v="7.8"/>
    <n v="1078"/>
    <n v="4703.3999999999996"/>
    <n v="9790.23"/>
    <n v="6"/>
    <n v="0"/>
    <x v="0"/>
    <n v="4"/>
    <s v="No"/>
    <s v="JPY"/>
  </r>
  <r>
    <s v="JP-00401"/>
    <s v="2025-12-29"/>
    <s v="2025-12-31"/>
    <s v="2026-01-05"/>
    <s v="2026-01-05"/>
    <s v="Aichi"/>
    <s v="Nagoya"/>
    <x v="2"/>
    <s v="Osaka"/>
    <x v="1"/>
    <x v="0"/>
    <x v="3"/>
    <n v="8.6"/>
    <n v="1031"/>
    <n v="4686.8"/>
    <n v="6943.16"/>
    <n v="5"/>
    <n v="0"/>
    <x v="0"/>
    <n v="5"/>
    <s v="No"/>
    <s v="JPY"/>
  </r>
  <r>
    <s v="JP-00402"/>
    <s v="2025-10-21"/>
    <s v="2025-10-21"/>
    <s v="2025-10-23"/>
    <s v="2025-10-22"/>
    <s v="Kanagawa"/>
    <s v="Yokohama"/>
    <x v="3"/>
    <s v="Yokohama"/>
    <x v="3"/>
    <x v="2"/>
    <x v="1"/>
    <n v="5.9"/>
    <n v="800"/>
    <n v="5721.5"/>
    <n v="11131.5"/>
    <n v="1"/>
    <n v="0"/>
    <x v="0"/>
    <n v="5"/>
    <s v="No"/>
    <s v="JPY"/>
  </r>
  <r>
    <s v="JP-00403"/>
    <s v="2025-09-03"/>
    <s v="2025-09-05"/>
    <s v="2025-09-13"/>
    <s v="2025-09-15"/>
    <s v="Fukuoka"/>
    <s v="Fukuoka"/>
    <x v="3"/>
    <s v="Yokohama"/>
    <x v="2"/>
    <x v="1"/>
    <x v="2"/>
    <n v="11.3"/>
    <n v="650"/>
    <n v="4230.5"/>
    <n v="5503.39"/>
    <n v="10"/>
    <n v="2"/>
    <x v="1"/>
    <n v="3"/>
    <s v="No"/>
    <s v="JPY"/>
  </r>
  <r>
    <s v="JP-00404"/>
    <s v="2025-07-30"/>
    <s v="2025-07-31"/>
    <s v="2025-08-02"/>
    <s v="2025-08-04"/>
    <s v="Kanagawa"/>
    <s v="Yokohama"/>
    <x v="2"/>
    <s v="Osaka"/>
    <x v="1"/>
    <x v="2"/>
    <x v="3"/>
    <n v="11.1"/>
    <n v="730"/>
    <n v="6037.5"/>
    <n v="12446.46"/>
    <n v="4"/>
    <n v="2"/>
    <x v="1"/>
    <n v="4"/>
    <s v="No"/>
    <s v="JPY"/>
  </r>
  <r>
    <s v="JP-00405"/>
    <s v="2025-11-09"/>
    <s v="2025-11-10"/>
    <s v="2025-11-15"/>
    <s v="2025-11-12"/>
    <s v="Osaka"/>
    <s v="Osaka"/>
    <x v="4"/>
    <s v="Nagoya"/>
    <x v="2"/>
    <x v="0"/>
    <x v="1"/>
    <n v="7.4"/>
    <n v="320"/>
    <n v="3305"/>
    <n v="5215.1099999999997"/>
    <n v="2"/>
    <n v="0"/>
    <x v="0"/>
    <n v="5"/>
    <s v="No"/>
    <s v="JPY"/>
  </r>
  <r>
    <s v="JP-00406"/>
    <s v="2025-03-14"/>
    <s v="2025-03-14"/>
    <s v="2025-03-22"/>
    <s v="2025-03-25"/>
    <s v="Tokyo"/>
    <s v="Tokyo"/>
    <x v="1"/>
    <s v="Fukuoka"/>
    <x v="3"/>
    <x v="1"/>
    <x v="1"/>
    <n v="2.2000000000000002"/>
    <n v="785"/>
    <n v="3700"/>
    <n v="6425.12"/>
    <n v="11"/>
    <n v="3"/>
    <x v="1"/>
    <n v="4"/>
    <s v="No"/>
    <s v="JPY"/>
  </r>
  <r>
    <s v="JP-00407"/>
    <s v="2025-12-04"/>
    <s v="2025-12-05"/>
    <s v="2025-12-07"/>
    <s v="2025-12-08"/>
    <s v="Osaka"/>
    <s v="Osaka"/>
    <x v="0"/>
    <s v="Tokyo"/>
    <x v="1"/>
    <x v="2"/>
    <x v="0"/>
    <n v="5"/>
    <n v="1236"/>
    <n v="6429.8"/>
    <n v="12642.21"/>
    <n v="3"/>
    <n v="1"/>
    <x v="1"/>
    <n v="5"/>
    <s v="No"/>
    <s v="JPY"/>
  </r>
  <r>
    <s v="JP-00408"/>
    <s v="2025-05-15"/>
    <s v="2025-05-17"/>
    <s v="2025-05-19"/>
    <s v="2025-05-20"/>
    <s v="Fukuoka"/>
    <s v="Fukuoka"/>
    <x v="0"/>
    <s v="Tokyo"/>
    <x v="0"/>
    <x v="2"/>
    <x v="0"/>
    <n v="0.6"/>
    <n v="917"/>
    <n v="5481.6"/>
    <n v="9109.4500000000007"/>
    <n v="3"/>
    <n v="1"/>
    <x v="1"/>
    <n v="5"/>
    <s v="No"/>
    <s v="JPY"/>
  </r>
  <r>
    <s v="JP-00409"/>
    <s v="2025-04-08"/>
    <s v="2025-04-09"/>
    <s v="2025-04-17"/>
    <s v="2025-04-18"/>
    <s v="Tokyo"/>
    <s v="Tokyo"/>
    <x v="2"/>
    <s v="Osaka"/>
    <x v="1"/>
    <x v="1"/>
    <x v="0"/>
    <n v="10"/>
    <n v="1380"/>
    <n v="5434"/>
    <n v="7368.62"/>
    <n v="9"/>
    <n v="1"/>
    <x v="1"/>
    <n v="5"/>
    <s v="No"/>
    <s v="JPY"/>
  </r>
  <r>
    <s v="JP-00410"/>
    <s v="2025-05-13"/>
    <s v="2025-05-14"/>
    <s v="2025-05-22"/>
    <s v="2025-05-21"/>
    <s v="Osaka"/>
    <s v="Osaka"/>
    <x v="4"/>
    <s v="Nagoya"/>
    <x v="2"/>
    <x v="1"/>
    <x v="0"/>
    <n v="18.100000000000001"/>
    <n v="780"/>
    <n v="5042.5"/>
    <n v="8383.1200000000008"/>
    <n v="7"/>
    <n v="0"/>
    <x v="0"/>
    <n v="5"/>
    <s v="No"/>
    <s v="JPY"/>
  </r>
  <r>
    <s v="JP-00411"/>
    <s v="2025-01-11"/>
    <s v="2025-01-11"/>
    <s v="2025-01-16"/>
    <s v="2025-01-15"/>
    <s v="Osaka"/>
    <s v="Osaka"/>
    <x v="4"/>
    <s v="Nagoya"/>
    <x v="1"/>
    <x v="0"/>
    <x v="2"/>
    <n v="2.6"/>
    <n v="1804"/>
    <n v="5568.2"/>
    <n v="8721.4699999999993"/>
    <n v="4"/>
    <n v="0"/>
    <x v="0"/>
    <n v="5"/>
    <s v="No"/>
    <s v="JPY"/>
  </r>
  <r>
    <s v="JP-00412"/>
    <s v="2025-12-22"/>
    <s v="2025-12-23"/>
    <s v="2025-12-28"/>
    <s v="2025-12-25"/>
    <s v="Aichi"/>
    <s v="Nagoya"/>
    <x v="2"/>
    <s v="Osaka"/>
    <x v="2"/>
    <x v="0"/>
    <x v="3"/>
    <n v="8.4"/>
    <n v="1506"/>
    <n v="5524.8"/>
    <n v="7466.61"/>
    <n v="2"/>
    <n v="0"/>
    <x v="0"/>
    <n v="5"/>
    <s v="No"/>
    <s v="JPY"/>
  </r>
  <r>
    <s v="JP-00413"/>
    <s v="2025-08-22"/>
    <s v="2025-08-23"/>
    <s v="2025-08-31"/>
    <s v="2025-08-31"/>
    <s v="Osaka"/>
    <s v="Osaka"/>
    <x v="1"/>
    <s v="Fukuoka"/>
    <x v="3"/>
    <x v="1"/>
    <x v="0"/>
    <n v="7.1"/>
    <n v="1754"/>
    <n v="5860.7"/>
    <n v="9640.4699999999993"/>
    <n v="8"/>
    <n v="0"/>
    <x v="0"/>
    <n v="4"/>
    <s v="No"/>
    <s v="JPY"/>
  </r>
  <r>
    <s v="JP-00414"/>
    <s v="2025-11-17"/>
    <s v="2025-11-17"/>
    <s v="2025-11-25"/>
    <s v="2025-11-24"/>
    <s v="Kanagawa"/>
    <s v="Yokohama"/>
    <x v="0"/>
    <s v="Tokyo"/>
    <x v="2"/>
    <x v="1"/>
    <x v="3"/>
    <n v="5.5"/>
    <n v="352"/>
    <n v="3201.1"/>
    <n v="6686.57"/>
    <n v="7"/>
    <n v="0"/>
    <x v="0"/>
    <n v="5"/>
    <s v="No"/>
    <s v="JPY"/>
  </r>
  <r>
    <s v="JP-00415"/>
    <s v="2025-12-30"/>
    <s v="2026-01-01"/>
    <s v="2026-01-03"/>
    <s v="2026-01-03"/>
    <s v="Osaka"/>
    <s v="Osaka"/>
    <x v="0"/>
    <s v="Tokyo"/>
    <x v="0"/>
    <x v="2"/>
    <x v="1"/>
    <n v="2.9"/>
    <n v="544"/>
    <n v="5005.7"/>
    <n v="8550.19"/>
    <n v="2"/>
    <n v="0"/>
    <x v="0"/>
    <n v="5"/>
    <s v="No"/>
    <s v="JPY"/>
  </r>
  <r>
    <s v="JP-00416"/>
    <s v="2025-04-18"/>
    <s v="2025-04-20"/>
    <s v="2025-04-22"/>
    <s v="2025-04-23"/>
    <s v="Osaka"/>
    <s v="Osaka"/>
    <x v="4"/>
    <s v="Nagoya"/>
    <x v="1"/>
    <x v="2"/>
    <x v="4"/>
    <n v="9.8000000000000007"/>
    <n v="997"/>
    <n v="6407.6"/>
    <n v="12901.72"/>
    <n v="3"/>
    <n v="1"/>
    <x v="1"/>
    <n v="5"/>
    <s v="No"/>
    <s v="JPY"/>
  </r>
  <r>
    <s v="JP-00417"/>
    <s v="2025-09-16"/>
    <s v="2025-09-18"/>
    <s v="2025-09-23"/>
    <s v="2025-09-20"/>
    <s v="Aichi"/>
    <s v="Nagoya"/>
    <x v="2"/>
    <s v="Osaka"/>
    <x v="3"/>
    <x v="0"/>
    <x v="3"/>
    <n v="1"/>
    <n v="629"/>
    <n v="3317.2"/>
    <n v="5297.78"/>
    <n v="2"/>
    <n v="0"/>
    <x v="0"/>
    <n v="5"/>
    <s v="No"/>
    <s v="JPY"/>
  </r>
  <r>
    <s v="JP-00418"/>
    <s v="2025-06-24"/>
    <s v="2025-06-26"/>
    <s v="2025-07-04"/>
    <s v="2025-07-01"/>
    <s v="Fukuoka"/>
    <s v="Fukuoka"/>
    <x v="2"/>
    <s v="Osaka"/>
    <x v="1"/>
    <x v="1"/>
    <x v="2"/>
    <n v="14.8"/>
    <n v="1260"/>
    <n v="5626"/>
    <n v="11625.96"/>
    <n v="5"/>
    <n v="0"/>
    <x v="0"/>
    <n v="5"/>
    <s v="No"/>
    <s v="JPY"/>
  </r>
  <r>
    <s v="JP-00419"/>
    <s v="2025-01-22"/>
    <s v="2025-01-22"/>
    <s v="2025-01-30"/>
    <s v="2025-01-28"/>
    <s v="Osaka"/>
    <s v="Osaka"/>
    <x v="0"/>
    <s v="Tokyo"/>
    <x v="2"/>
    <x v="1"/>
    <x v="3"/>
    <n v="11.4"/>
    <n v="406"/>
    <n v="3799.8"/>
    <n v="5612.59"/>
    <n v="6"/>
    <n v="0"/>
    <x v="0"/>
    <n v="5"/>
    <s v="No"/>
    <s v="JPY"/>
  </r>
  <r>
    <s v="JP-00420"/>
    <s v="2025-08-04"/>
    <s v="2025-08-04"/>
    <s v="2025-08-09"/>
    <s v="2025-08-07"/>
    <s v="Osaka"/>
    <s v="Osaka"/>
    <x v="3"/>
    <s v="Yokohama"/>
    <x v="3"/>
    <x v="0"/>
    <x v="1"/>
    <n v="10.6"/>
    <n v="527"/>
    <n v="3949.6"/>
    <n v="6868.39"/>
    <n v="3"/>
    <n v="0"/>
    <x v="0"/>
    <n v="5"/>
    <s v="No"/>
    <s v="JPY"/>
  </r>
  <r>
    <s v="JP-00421"/>
    <s v="2025-01-25"/>
    <s v="2025-01-25"/>
    <s v="2025-02-02"/>
    <s v="2025-02-05"/>
    <s v="Osaka"/>
    <s v="Osaka"/>
    <x v="3"/>
    <s v="Yokohama"/>
    <x v="0"/>
    <x v="1"/>
    <x v="2"/>
    <n v="1.4"/>
    <n v="1192"/>
    <n v="4364.6000000000004"/>
    <n v="6803.39"/>
    <n v="11"/>
    <n v="3"/>
    <x v="1"/>
    <n v="3"/>
    <s v="No"/>
    <s v="JPY"/>
  </r>
  <r>
    <s v="JP-00422"/>
    <s v="2025-07-03"/>
    <s v="2025-07-05"/>
    <s v="2025-07-07"/>
    <s v="2025-07-10"/>
    <s v="Osaka"/>
    <s v="Osaka"/>
    <x v="1"/>
    <s v="Fukuoka"/>
    <x v="1"/>
    <x v="2"/>
    <x v="2"/>
    <n v="11"/>
    <n v="1216"/>
    <n v="6903.8"/>
    <n v="11114.42"/>
    <n v="5"/>
    <n v="3"/>
    <x v="1"/>
    <n v="4"/>
    <s v="No"/>
    <s v="JPY"/>
  </r>
  <r>
    <s v="JP-00423"/>
    <s v="2025-02-10"/>
    <s v="2025-02-12"/>
    <s v="2025-02-14"/>
    <s v="2025-02-17"/>
    <s v="Fukuoka"/>
    <s v="Fukuoka"/>
    <x v="3"/>
    <s v="Yokohama"/>
    <x v="3"/>
    <x v="2"/>
    <x v="0"/>
    <n v="9.9"/>
    <n v="2086"/>
    <n v="8376.2999999999993"/>
    <n v="10734.48"/>
    <n v="5"/>
    <n v="3"/>
    <x v="1"/>
    <n v="4"/>
    <s v="No"/>
    <s v="JPY"/>
  </r>
  <r>
    <s v="JP-00424"/>
    <s v="2025-09-24"/>
    <s v="2025-09-25"/>
    <s v="2025-10-03"/>
    <s v="2025-10-01"/>
    <s v="Kanagawa"/>
    <s v="Yokohama"/>
    <x v="2"/>
    <s v="Osaka"/>
    <x v="3"/>
    <x v="1"/>
    <x v="0"/>
    <n v="4.8"/>
    <n v="1772"/>
    <n v="5697.6"/>
    <n v="8890.2000000000007"/>
    <n v="6"/>
    <n v="0"/>
    <x v="0"/>
    <n v="5"/>
    <s v="No"/>
    <s v="JPY"/>
  </r>
  <r>
    <s v="JP-00425"/>
    <s v="2025-10-02"/>
    <s v="2025-10-02"/>
    <s v="2025-10-10"/>
    <s v="2025-10-13"/>
    <s v="Tokyo"/>
    <s v="Tokyo"/>
    <x v="4"/>
    <s v="Nagoya"/>
    <x v="3"/>
    <x v="1"/>
    <x v="3"/>
    <n v="15.1"/>
    <n v="893"/>
    <n v="4990.8999999999996"/>
    <n v="10350.780000000001"/>
    <n v="11"/>
    <n v="3"/>
    <x v="1"/>
    <n v="3"/>
    <s v="No"/>
    <s v="JPY"/>
  </r>
  <r>
    <s v="JP-00426"/>
    <s v="2025-03-18"/>
    <s v="2025-03-20"/>
    <s v="2025-03-22"/>
    <s v="2025-03-23"/>
    <s v="Osaka"/>
    <s v="Osaka"/>
    <x v="4"/>
    <s v="Nagoya"/>
    <x v="3"/>
    <x v="2"/>
    <x v="3"/>
    <n v="14.5"/>
    <n v="912"/>
    <n v="6654.1"/>
    <n v="13156.34"/>
    <n v="3"/>
    <n v="1"/>
    <x v="1"/>
    <n v="5"/>
    <s v="No"/>
    <s v="JPY"/>
  </r>
  <r>
    <s v="JP-00427"/>
    <s v="2025-07-28"/>
    <s v="2025-07-28"/>
    <s v="2025-07-30"/>
    <s v="2025-08-02"/>
    <s v="Kanagawa"/>
    <s v="Yokohama"/>
    <x v="4"/>
    <s v="Nagoya"/>
    <x v="0"/>
    <x v="2"/>
    <x v="2"/>
    <n v="1.9"/>
    <n v="2077"/>
    <n v="7680.1"/>
    <n v="12600.33"/>
    <n v="5"/>
    <n v="3"/>
    <x v="1"/>
    <n v="4"/>
    <s v="No"/>
    <s v="JPY"/>
  </r>
  <r>
    <s v="JP-00428"/>
    <s v="2025-02-19"/>
    <s v="2025-02-21"/>
    <s v="2025-02-26"/>
    <s v="2025-02-25"/>
    <s v="Osaka"/>
    <s v="Osaka"/>
    <x v="0"/>
    <s v="Tokyo"/>
    <x v="2"/>
    <x v="0"/>
    <x v="3"/>
    <n v="10.7"/>
    <n v="1041"/>
    <n v="4883.3"/>
    <n v="8312.91"/>
    <n v="4"/>
    <n v="0"/>
    <x v="0"/>
    <n v="5"/>
    <s v="No"/>
    <s v="JPY"/>
  </r>
  <r>
    <s v="JP-00429"/>
    <s v="2025-09-09"/>
    <s v="2025-09-11"/>
    <s v="2025-09-19"/>
    <s v="2025-09-16"/>
    <s v="Aichi"/>
    <s v="Nagoya"/>
    <x v="1"/>
    <s v="Fukuoka"/>
    <x v="2"/>
    <x v="1"/>
    <x v="4"/>
    <n v="13.1"/>
    <n v="736"/>
    <n v="4538.3"/>
    <n v="7186.16"/>
    <n v="5"/>
    <n v="0"/>
    <x v="0"/>
    <n v="5"/>
    <s v="No"/>
    <s v="JPY"/>
  </r>
  <r>
    <s v="JP-00430"/>
    <s v="2025-06-15"/>
    <s v="2025-06-15"/>
    <s v="2025-06-20"/>
    <s v="2025-06-17"/>
    <s v="Osaka"/>
    <s v="Osaka"/>
    <x v="1"/>
    <s v="Fukuoka"/>
    <x v="0"/>
    <x v="0"/>
    <x v="4"/>
    <n v="0.7"/>
    <n v="1422"/>
    <n v="4719.1000000000004"/>
    <n v="6427.84"/>
    <n v="2"/>
    <n v="0"/>
    <x v="0"/>
    <n v="5"/>
    <s v="Yes"/>
    <s v="JPY"/>
  </r>
  <r>
    <s v="JP-00431"/>
    <s v="2025-02-21"/>
    <s v="2025-02-23"/>
    <s v="2025-03-03"/>
    <s v="2025-03-06"/>
    <s v="Fukuoka"/>
    <s v="Fukuoka"/>
    <x v="3"/>
    <s v="Yokohama"/>
    <x v="0"/>
    <x v="1"/>
    <x v="0"/>
    <n v="1.6"/>
    <n v="565"/>
    <n v="3253"/>
    <n v="4183.97"/>
    <n v="11"/>
    <n v="3"/>
    <x v="1"/>
    <n v="4"/>
    <s v="No"/>
    <s v="JPY"/>
  </r>
  <r>
    <s v="JP-00432"/>
    <s v="2025-01-31"/>
    <s v="2025-01-31"/>
    <s v="2025-02-02"/>
    <s v="2025-02-04"/>
    <s v="Tokyo"/>
    <s v="Tokyo"/>
    <x v="1"/>
    <s v="Fukuoka"/>
    <x v="2"/>
    <x v="2"/>
    <x v="1"/>
    <n v="5.3"/>
    <n v="1312"/>
    <n v="6592.1"/>
    <n v="10500.2"/>
    <n v="4"/>
    <n v="2"/>
    <x v="1"/>
    <n v="4"/>
    <s v="No"/>
    <s v="JPY"/>
  </r>
  <r>
    <s v="JP-00433"/>
    <s v="2025-02-14"/>
    <s v="2025-02-16"/>
    <s v="2025-02-18"/>
    <s v="2025-02-18"/>
    <s v="Osaka"/>
    <s v="Osaka"/>
    <x v="1"/>
    <s v="Fukuoka"/>
    <x v="2"/>
    <x v="2"/>
    <x v="0"/>
    <n v="8.6999999999999993"/>
    <n v="634"/>
    <n v="5660.7"/>
    <n v="8753.99"/>
    <n v="2"/>
    <n v="0"/>
    <x v="0"/>
    <n v="5"/>
    <s v="No"/>
    <s v="JPY"/>
  </r>
  <r>
    <s v="JP-00434"/>
    <s v="2025-07-12"/>
    <s v="2025-07-12"/>
    <s v="2025-07-14"/>
    <s v="2025-07-14"/>
    <s v="Tokyo"/>
    <s v="Tokyo"/>
    <x v="2"/>
    <s v="Osaka"/>
    <x v="1"/>
    <x v="2"/>
    <x v="4"/>
    <n v="11.8"/>
    <n v="1641"/>
    <n v="7736.8"/>
    <n v="11381.58"/>
    <n v="2"/>
    <n v="0"/>
    <x v="0"/>
    <n v="5"/>
    <s v="No"/>
    <s v="JPY"/>
  </r>
  <r>
    <s v="JP-00435"/>
    <s v="2025-02-26"/>
    <s v="2025-02-26"/>
    <s v="2025-02-28"/>
    <s v="2025-02-27"/>
    <s v="Osaka"/>
    <s v="Osaka"/>
    <x v="2"/>
    <s v="Osaka"/>
    <x v="0"/>
    <x v="2"/>
    <x v="0"/>
    <n v="3"/>
    <n v="1393"/>
    <n v="6542.4"/>
    <n v="11185.6"/>
    <n v="1"/>
    <n v="0"/>
    <x v="0"/>
    <n v="5"/>
    <s v="No"/>
    <s v="JPY"/>
  </r>
  <r>
    <s v="JP-00436"/>
    <s v="2025-04-01"/>
    <s v="2025-04-01"/>
    <s v="2025-04-06"/>
    <s v="2025-04-09"/>
    <s v="Tokyo"/>
    <s v="Tokyo"/>
    <x v="2"/>
    <s v="Osaka"/>
    <x v="1"/>
    <x v="0"/>
    <x v="2"/>
    <n v="10.7"/>
    <n v="1756"/>
    <n v="6170.3"/>
    <n v="11025.85"/>
    <n v="8"/>
    <n v="3"/>
    <x v="1"/>
    <n v="4"/>
    <s v="No"/>
    <s v="JPY"/>
  </r>
  <r>
    <s v="JP-00437"/>
    <s v="2025-04-21"/>
    <s v="2025-04-23"/>
    <s v="2025-04-25"/>
    <s v="2025-04-24"/>
    <s v="Aichi"/>
    <s v="Nagoya"/>
    <x v="3"/>
    <s v="Yokohama"/>
    <x v="3"/>
    <x v="2"/>
    <x v="3"/>
    <n v="2.1"/>
    <n v="1508"/>
    <n v="6672.9"/>
    <n v="10486.63"/>
    <n v="1"/>
    <n v="0"/>
    <x v="0"/>
    <n v="5"/>
    <s v="No"/>
    <s v="JPY"/>
  </r>
  <r>
    <s v="JP-00438"/>
    <s v="2025-02-16"/>
    <s v="2025-02-18"/>
    <s v="2025-02-23"/>
    <s v="2025-02-21"/>
    <s v="Osaka"/>
    <s v="Osaka"/>
    <x v="2"/>
    <s v="Osaka"/>
    <x v="1"/>
    <x v="0"/>
    <x v="2"/>
    <n v="15.5"/>
    <n v="1827"/>
    <n v="6706.1"/>
    <n v="10530.52"/>
    <n v="3"/>
    <n v="0"/>
    <x v="0"/>
    <n v="5"/>
    <s v="No"/>
    <s v="JPY"/>
  </r>
  <r>
    <s v="JP-00439"/>
    <s v="2025-06-11"/>
    <s v="2025-06-12"/>
    <s v="2025-06-14"/>
    <s v="2025-06-15"/>
    <s v="Aichi"/>
    <s v="Nagoya"/>
    <x v="4"/>
    <s v="Nagoya"/>
    <x v="3"/>
    <x v="2"/>
    <x v="3"/>
    <n v="3.2"/>
    <n v="1800"/>
    <n v="7292"/>
    <n v="12395.4"/>
    <n v="3"/>
    <n v="1"/>
    <x v="1"/>
    <n v="5"/>
    <s v="No"/>
    <s v="JPY"/>
  </r>
  <r>
    <s v="JP-00440"/>
    <s v="2025-08-13"/>
    <s v="2025-08-14"/>
    <s v="2025-08-16"/>
    <s v="2025-08-19"/>
    <s v="Tokyo"/>
    <s v="Tokyo"/>
    <x v="3"/>
    <s v="Yokohama"/>
    <x v="1"/>
    <x v="2"/>
    <x v="4"/>
    <n v="14.4"/>
    <n v="754"/>
    <n v="6361.2"/>
    <n v="12215.42"/>
    <n v="5"/>
    <n v="3"/>
    <x v="1"/>
    <n v="4"/>
    <s v="No"/>
    <s v="JPY"/>
  </r>
  <r>
    <s v="JP-00441"/>
    <s v="2025-01-16"/>
    <s v="2025-01-18"/>
    <s v="2025-01-23"/>
    <s v="2025-01-21"/>
    <s v="Kanagawa"/>
    <s v="Yokohama"/>
    <x v="4"/>
    <s v="Nagoya"/>
    <x v="1"/>
    <x v="0"/>
    <x v="4"/>
    <n v="7.3"/>
    <n v="1104"/>
    <n v="4707.7"/>
    <n v="6396.55"/>
    <n v="3"/>
    <n v="0"/>
    <x v="0"/>
    <n v="5"/>
    <s v="No"/>
    <s v="JPY"/>
  </r>
  <r>
    <s v="JP-00442"/>
    <s v="2025-09-30"/>
    <s v="2025-10-02"/>
    <s v="2025-10-07"/>
    <s v="2025-10-07"/>
    <s v="Osaka"/>
    <s v="Osaka"/>
    <x v="2"/>
    <s v="Osaka"/>
    <x v="3"/>
    <x v="0"/>
    <x v="3"/>
    <n v="7.2"/>
    <n v="644"/>
    <n v="3871.2"/>
    <n v="7161.53"/>
    <n v="5"/>
    <n v="0"/>
    <x v="0"/>
    <n v="5"/>
    <s v="No"/>
    <s v="JPY"/>
  </r>
  <r>
    <s v="JP-00443"/>
    <s v="2025-12-21"/>
    <s v="2025-12-23"/>
    <s v="2025-12-28"/>
    <s v="2025-12-30"/>
    <s v="Tokyo"/>
    <s v="Tokyo"/>
    <x v="3"/>
    <s v="Yokohama"/>
    <x v="0"/>
    <x v="0"/>
    <x v="0"/>
    <n v="17.3"/>
    <n v="1249"/>
    <n v="5818.7"/>
    <n v="7720.45"/>
    <n v="7"/>
    <n v="2"/>
    <x v="1"/>
    <n v="4"/>
    <s v="No"/>
    <s v="JPY"/>
  </r>
  <r>
    <s v="JP-00444"/>
    <s v="2025-03-06"/>
    <s v="2025-03-07"/>
    <s v="2025-03-12"/>
    <s v="2025-03-14"/>
    <s v="Fukuoka"/>
    <s v="Fukuoka"/>
    <x v="2"/>
    <s v="Osaka"/>
    <x v="2"/>
    <x v="0"/>
    <x v="4"/>
    <n v="7.8"/>
    <n v="1396"/>
    <n v="5275.8"/>
    <n v="9347.92"/>
    <n v="7"/>
    <n v="2"/>
    <x v="1"/>
    <n v="4"/>
    <s v="No"/>
    <s v="JPY"/>
  </r>
  <r>
    <s v="JP-00445"/>
    <s v="2025-12-16"/>
    <s v="2025-12-18"/>
    <s v="2025-12-20"/>
    <s v="2025-12-22"/>
    <s v="Kanagawa"/>
    <s v="Yokohama"/>
    <x v="4"/>
    <s v="Nagoya"/>
    <x v="2"/>
    <x v="2"/>
    <x v="2"/>
    <n v="16.600000000000001"/>
    <n v="1367"/>
    <n v="7651.6"/>
    <n v="13893.35"/>
    <n v="4"/>
    <n v="2"/>
    <x v="1"/>
    <n v="3"/>
    <s v="No"/>
    <s v="JPY"/>
  </r>
  <r>
    <s v="JP-00446"/>
    <s v="2025-01-05"/>
    <s v="2025-01-05"/>
    <s v="2025-01-10"/>
    <s v="2025-01-09"/>
    <s v="Fukuoka"/>
    <s v="Fukuoka"/>
    <x v="0"/>
    <s v="Tokyo"/>
    <x v="1"/>
    <x v="0"/>
    <x v="2"/>
    <n v="8.5"/>
    <n v="890"/>
    <n v="4424.5"/>
    <n v="7153.98"/>
    <n v="4"/>
    <n v="0"/>
    <x v="0"/>
    <n v="4"/>
    <s v="No"/>
    <s v="JPY"/>
  </r>
  <r>
    <s v="JP-00447"/>
    <s v="2025-08-30"/>
    <s v="2025-08-31"/>
    <s v="2025-09-05"/>
    <s v="2025-09-05"/>
    <s v="Osaka"/>
    <s v="Osaka"/>
    <x v="1"/>
    <s v="Fukuoka"/>
    <x v="1"/>
    <x v="0"/>
    <x v="4"/>
    <n v="7.5"/>
    <n v="1537"/>
    <n v="5504.1"/>
    <n v="10421.51"/>
    <n v="5"/>
    <n v="0"/>
    <x v="0"/>
    <n v="5"/>
    <s v="No"/>
    <s v="JPY"/>
  </r>
  <r>
    <s v="JP-00448"/>
    <s v="2025-01-11"/>
    <s v="2025-01-13"/>
    <s v="2025-01-21"/>
    <s v="2025-01-23"/>
    <s v="Fukuoka"/>
    <s v="Fukuoka"/>
    <x v="4"/>
    <s v="Nagoya"/>
    <x v="2"/>
    <x v="1"/>
    <x v="3"/>
    <n v="11.6"/>
    <n v="1322"/>
    <n v="5465.6"/>
    <n v="9160.0499999999993"/>
    <n v="10"/>
    <n v="2"/>
    <x v="1"/>
    <n v="4"/>
    <s v="No"/>
    <s v="JPY"/>
  </r>
  <r>
    <s v="JP-00449"/>
    <s v="2025-06-26"/>
    <s v="2025-06-28"/>
    <s v="2025-06-30"/>
    <s v="2025-06-29"/>
    <s v="Fukuoka"/>
    <s v="Fukuoka"/>
    <x v="1"/>
    <s v="Fukuoka"/>
    <x v="0"/>
    <x v="2"/>
    <x v="3"/>
    <n v="17.899999999999999"/>
    <n v="1738"/>
    <n v="8429.9"/>
    <n v="11158.58"/>
    <n v="1"/>
    <n v="0"/>
    <x v="0"/>
    <n v="5"/>
    <s v="Yes"/>
    <s v="JPY"/>
  </r>
  <r>
    <s v="JP-00450"/>
    <s v="2025-09-21"/>
    <s v="2025-09-22"/>
    <s v="2025-09-30"/>
    <s v="2025-10-02"/>
    <s v="Kanagawa"/>
    <s v="Yokohama"/>
    <x v="4"/>
    <s v="Nagoya"/>
    <x v="0"/>
    <x v="1"/>
    <x v="4"/>
    <n v="16.600000000000001"/>
    <n v="939"/>
    <n v="5201.2"/>
    <n v="9556.14"/>
    <n v="10"/>
    <n v="2"/>
    <x v="1"/>
    <n v="4"/>
    <s v="No"/>
    <s v="JPY"/>
  </r>
  <r>
    <s v="JP-00451"/>
    <s v="2025-02-04"/>
    <s v="2025-02-05"/>
    <s v="2025-02-13"/>
    <s v="2025-02-16"/>
    <s v="Kanagawa"/>
    <s v="Yokohama"/>
    <x v="0"/>
    <s v="Tokyo"/>
    <x v="1"/>
    <x v="1"/>
    <x v="3"/>
    <n v="11.9"/>
    <n v="1510"/>
    <n v="5829.5"/>
    <n v="7780.85"/>
    <n v="11"/>
    <n v="3"/>
    <x v="1"/>
    <n v="4"/>
    <s v="No"/>
    <s v="JPY"/>
  </r>
  <r>
    <s v="JP-00452"/>
    <s v="2025-10-08"/>
    <s v="2025-10-09"/>
    <s v="2025-10-14"/>
    <s v="2025-10-16"/>
    <s v="Tokyo"/>
    <s v="Tokyo"/>
    <x v="2"/>
    <s v="Osaka"/>
    <x v="0"/>
    <x v="0"/>
    <x v="3"/>
    <n v="3.5"/>
    <n v="537"/>
    <n v="3364.1"/>
    <n v="4335.72"/>
    <n v="7"/>
    <n v="2"/>
    <x v="1"/>
    <n v="4"/>
    <s v="No"/>
    <s v="JPY"/>
  </r>
  <r>
    <s v="JP-00453"/>
    <s v="2025-12-24"/>
    <s v="2025-12-24"/>
    <s v="2025-12-26"/>
    <s v="2025-12-26"/>
    <s v="Osaka"/>
    <s v="Osaka"/>
    <x v="0"/>
    <s v="Tokyo"/>
    <x v="0"/>
    <x v="2"/>
    <x v="4"/>
    <n v="2.7"/>
    <n v="823"/>
    <n v="5490.9"/>
    <n v="11208.79"/>
    <n v="2"/>
    <n v="0"/>
    <x v="0"/>
    <n v="5"/>
    <s v="No"/>
    <s v="JPY"/>
  </r>
  <r>
    <s v="JP-00454"/>
    <s v="2025-07-28"/>
    <s v="2025-07-28"/>
    <s v="2025-07-30"/>
    <s v="2025-07-29"/>
    <s v="Tokyo"/>
    <s v="Tokyo"/>
    <x v="4"/>
    <s v="Nagoya"/>
    <x v="3"/>
    <x v="2"/>
    <x v="2"/>
    <n v="0.5"/>
    <n v="1043"/>
    <n v="5699.9"/>
    <n v="7780.35"/>
    <n v="1"/>
    <n v="0"/>
    <x v="0"/>
    <n v="5"/>
    <s v="No"/>
    <s v="JPY"/>
  </r>
  <r>
    <s v="JP-00455"/>
    <s v="2025-02-08"/>
    <s v="2025-02-09"/>
    <s v="2025-02-11"/>
    <s v="2025-02-12"/>
    <s v="Tokyo"/>
    <s v="Tokyo"/>
    <x v="0"/>
    <s v="Tokyo"/>
    <x v="2"/>
    <x v="2"/>
    <x v="2"/>
    <n v="11.6"/>
    <n v="1703"/>
    <n v="7831.4"/>
    <n v="13793.46"/>
    <n v="3"/>
    <n v="1"/>
    <x v="1"/>
    <n v="5"/>
    <s v="No"/>
    <s v="JPY"/>
  </r>
  <r>
    <s v="JP-00456"/>
    <s v="2025-05-08"/>
    <s v="2025-05-10"/>
    <s v="2025-05-15"/>
    <s v="2025-05-16"/>
    <s v="Fukuoka"/>
    <s v="Fukuoka"/>
    <x v="2"/>
    <s v="Osaka"/>
    <x v="1"/>
    <x v="0"/>
    <x v="2"/>
    <n v="5.4"/>
    <n v="518"/>
    <n v="3491.4"/>
    <n v="6547.32"/>
    <n v="6"/>
    <n v="1"/>
    <x v="1"/>
    <n v="5"/>
    <s v="No"/>
    <s v="JPY"/>
  </r>
  <r>
    <s v="JP-00457"/>
    <s v="2025-07-02"/>
    <s v="2025-07-03"/>
    <s v="2025-07-11"/>
    <s v="2025-07-08"/>
    <s v="Osaka"/>
    <s v="Osaka"/>
    <x v="3"/>
    <s v="Yokohama"/>
    <x v="1"/>
    <x v="1"/>
    <x v="2"/>
    <n v="15.5"/>
    <n v="1437"/>
    <n v="6004.1"/>
    <n v="8393.98"/>
    <n v="5"/>
    <n v="0"/>
    <x v="0"/>
    <n v="5"/>
    <s v="No"/>
    <s v="JPY"/>
  </r>
  <r>
    <s v="JP-00458"/>
    <s v="2025-11-26"/>
    <s v="2025-11-26"/>
    <s v="2025-12-04"/>
    <s v="2025-12-05"/>
    <s v="Tokyo"/>
    <s v="Tokyo"/>
    <x v="3"/>
    <s v="Yokohama"/>
    <x v="2"/>
    <x v="1"/>
    <x v="2"/>
    <n v="4.7"/>
    <n v="1171"/>
    <n v="4607.3"/>
    <n v="8768.7199999999993"/>
    <n v="9"/>
    <n v="1"/>
    <x v="1"/>
    <n v="5"/>
    <s v="No"/>
    <s v="JPY"/>
  </r>
  <r>
    <s v="JP-00459"/>
    <s v="2025-05-26"/>
    <s v="2025-05-26"/>
    <s v="2025-05-31"/>
    <s v="2025-06-03"/>
    <s v="Tokyo"/>
    <s v="Tokyo"/>
    <x v="4"/>
    <s v="Nagoya"/>
    <x v="2"/>
    <x v="0"/>
    <x v="4"/>
    <n v="9.1"/>
    <n v="1818"/>
    <n v="6145.9"/>
    <n v="11383.09"/>
    <n v="8"/>
    <n v="3"/>
    <x v="1"/>
    <n v="4"/>
    <s v="Yes"/>
    <s v="JPY"/>
  </r>
  <r>
    <s v="JP-00460"/>
    <s v="2025-10-02"/>
    <s v="2025-10-02"/>
    <s v="2025-10-10"/>
    <s v="2025-10-07"/>
    <s v="Aichi"/>
    <s v="Nagoya"/>
    <x v="4"/>
    <s v="Nagoya"/>
    <x v="3"/>
    <x v="1"/>
    <x v="4"/>
    <n v="0.4"/>
    <n v="447"/>
    <n v="2938.6"/>
    <n v="3951.35"/>
    <n v="5"/>
    <n v="0"/>
    <x v="0"/>
    <n v="5"/>
    <s v="No"/>
    <s v="JPY"/>
  </r>
  <r>
    <s v="JP-00461"/>
    <s v="2025-01-30"/>
    <s v="2025-01-31"/>
    <s v="2025-02-05"/>
    <s v="2025-02-02"/>
    <s v="Kanagawa"/>
    <s v="Yokohama"/>
    <x v="0"/>
    <s v="Tokyo"/>
    <x v="1"/>
    <x v="0"/>
    <x v="1"/>
    <n v="12.3"/>
    <n v="1939"/>
    <n v="6635.7"/>
    <n v="12866.2"/>
    <n v="2"/>
    <n v="0"/>
    <x v="0"/>
    <n v="5"/>
    <s v="No"/>
    <s v="JPY"/>
  </r>
  <r>
    <s v="JP-00462"/>
    <s v="2025-12-01"/>
    <s v="2025-12-02"/>
    <s v="2025-12-07"/>
    <s v="2025-12-05"/>
    <s v="Kanagawa"/>
    <s v="Yokohama"/>
    <x v="3"/>
    <s v="Yokohama"/>
    <x v="0"/>
    <x v="0"/>
    <x v="3"/>
    <n v="17.100000000000001"/>
    <n v="924"/>
    <n v="5216.7"/>
    <n v="6570.87"/>
    <n v="3"/>
    <n v="0"/>
    <x v="0"/>
    <n v="5"/>
    <s v="No"/>
    <s v="JPY"/>
  </r>
  <r>
    <s v="JP-00463"/>
    <s v="2025-09-06"/>
    <s v="2025-09-07"/>
    <s v="2025-09-15"/>
    <s v="2025-09-14"/>
    <s v="Tokyo"/>
    <s v="Tokyo"/>
    <x v="1"/>
    <s v="Fukuoka"/>
    <x v="3"/>
    <x v="1"/>
    <x v="4"/>
    <n v="9.3000000000000007"/>
    <n v="505"/>
    <n v="3799.5"/>
    <n v="5387.08"/>
    <n v="7"/>
    <n v="0"/>
    <x v="0"/>
    <n v="5"/>
    <s v="No"/>
    <s v="JPY"/>
  </r>
  <r>
    <s v="JP-00464"/>
    <s v="2025-02-20"/>
    <s v="2025-02-20"/>
    <s v="2025-02-25"/>
    <s v="2025-02-27"/>
    <s v="Fukuoka"/>
    <s v="Fukuoka"/>
    <x v="1"/>
    <s v="Fukuoka"/>
    <x v="0"/>
    <x v="0"/>
    <x v="3"/>
    <n v="1.7"/>
    <n v="525"/>
    <n v="3189.5"/>
    <n v="6626.02"/>
    <n v="7"/>
    <n v="2"/>
    <x v="1"/>
    <n v="3"/>
    <s v="No"/>
    <s v="JPY"/>
  </r>
  <r>
    <s v="JP-00465"/>
    <s v="2025-08-07"/>
    <s v="2025-08-08"/>
    <s v="2025-08-10"/>
    <s v="2025-08-13"/>
    <s v="Kanagawa"/>
    <s v="Yokohama"/>
    <x v="0"/>
    <s v="Tokyo"/>
    <x v="1"/>
    <x v="2"/>
    <x v="3"/>
    <n v="2.2999999999999998"/>
    <n v="494"/>
    <n v="4864.7"/>
    <n v="7287.93"/>
    <n v="5"/>
    <n v="3"/>
    <x v="1"/>
    <n v="4"/>
    <s v="No"/>
    <s v="JPY"/>
  </r>
  <r>
    <s v="JP-00466"/>
    <s v="2025-03-01"/>
    <s v="2025-03-03"/>
    <s v="2025-03-11"/>
    <s v="2025-03-09"/>
    <s v="Aichi"/>
    <s v="Nagoya"/>
    <x v="2"/>
    <s v="Osaka"/>
    <x v="2"/>
    <x v="1"/>
    <x v="4"/>
    <n v="13.4"/>
    <n v="1923"/>
    <n v="6700.4"/>
    <n v="9495.77"/>
    <n v="6"/>
    <n v="0"/>
    <x v="0"/>
    <n v="5"/>
    <s v="No"/>
    <s v="JPY"/>
  </r>
  <r>
    <s v="JP-00467"/>
    <s v="2025-01-09"/>
    <s v="2025-01-09"/>
    <s v="2025-01-17"/>
    <s v="2025-01-18"/>
    <s v="Osaka"/>
    <s v="Osaka"/>
    <x v="4"/>
    <s v="Nagoya"/>
    <x v="1"/>
    <x v="1"/>
    <x v="2"/>
    <n v="8.1"/>
    <n v="2180"/>
    <n v="6712.5"/>
    <n v="9835.86"/>
    <n v="9"/>
    <n v="1"/>
    <x v="1"/>
    <n v="5"/>
    <s v="No"/>
    <s v="JPY"/>
  </r>
  <r>
    <s v="JP-00468"/>
    <s v="2025-05-15"/>
    <s v="2025-05-17"/>
    <s v="2025-05-22"/>
    <s v="2025-05-20"/>
    <s v="Aichi"/>
    <s v="Nagoya"/>
    <x v="2"/>
    <s v="Osaka"/>
    <x v="3"/>
    <x v="0"/>
    <x v="4"/>
    <n v="5.0999999999999996"/>
    <n v="711"/>
    <n v="3813.3"/>
    <n v="6279.22"/>
    <n v="3"/>
    <n v="0"/>
    <x v="0"/>
    <n v="5"/>
    <s v="No"/>
    <s v="JPY"/>
  </r>
  <r>
    <s v="JP-00469"/>
    <s v="2025-07-12"/>
    <s v="2025-07-12"/>
    <s v="2025-07-20"/>
    <s v="2025-07-20"/>
    <s v="Aichi"/>
    <s v="Nagoya"/>
    <x v="0"/>
    <s v="Tokyo"/>
    <x v="0"/>
    <x v="1"/>
    <x v="3"/>
    <n v="14.7"/>
    <n v="2133"/>
    <n v="7188.9"/>
    <n v="11057.24"/>
    <n v="8"/>
    <n v="0"/>
    <x v="0"/>
    <n v="5"/>
    <s v="No"/>
    <s v="JPY"/>
  </r>
  <r>
    <s v="JP-00470"/>
    <s v="2025-04-26"/>
    <s v="2025-04-28"/>
    <s v="2025-05-06"/>
    <s v="2025-05-06"/>
    <s v="Fukuoka"/>
    <s v="Fukuoka"/>
    <x v="4"/>
    <s v="Nagoya"/>
    <x v="3"/>
    <x v="1"/>
    <x v="0"/>
    <n v="3.4"/>
    <n v="677"/>
    <n v="3607.6"/>
    <n v="7420.84"/>
    <n v="8"/>
    <n v="0"/>
    <x v="0"/>
    <n v="5"/>
    <s v="No"/>
    <s v="JPY"/>
  </r>
  <r>
    <s v="JP-00471"/>
    <s v="2025-05-16"/>
    <s v="2025-05-16"/>
    <s v="2025-05-24"/>
    <s v="2025-05-23"/>
    <s v="Tokyo"/>
    <s v="Tokyo"/>
    <x v="4"/>
    <s v="Nagoya"/>
    <x v="2"/>
    <x v="1"/>
    <x v="4"/>
    <n v="12"/>
    <n v="1267"/>
    <n v="5400.6"/>
    <n v="10849.48"/>
    <n v="7"/>
    <n v="0"/>
    <x v="0"/>
    <n v="5"/>
    <s v="No"/>
    <s v="JPY"/>
  </r>
  <r>
    <s v="JP-00472"/>
    <s v="2025-01-06"/>
    <s v="2025-01-07"/>
    <s v="2025-01-12"/>
    <s v="2025-01-11"/>
    <s v="Fukuoka"/>
    <s v="Fukuoka"/>
    <x v="4"/>
    <s v="Nagoya"/>
    <x v="0"/>
    <x v="0"/>
    <x v="0"/>
    <n v="13.7"/>
    <n v="2089"/>
    <n v="7024.7"/>
    <n v="9482.51"/>
    <n v="4"/>
    <n v="0"/>
    <x v="0"/>
    <n v="4"/>
    <s v="No"/>
    <s v="JPY"/>
  </r>
  <r>
    <s v="JP-00473"/>
    <s v="2025-03-14"/>
    <s v="2025-03-14"/>
    <s v="2025-03-19"/>
    <s v="2025-03-22"/>
    <s v="Fukuoka"/>
    <s v="Fukuoka"/>
    <x v="3"/>
    <s v="Yokohama"/>
    <x v="2"/>
    <x v="0"/>
    <x v="1"/>
    <n v="14"/>
    <n v="513"/>
    <n v="4213.3999999999996"/>
    <n v="8452.9699999999993"/>
    <n v="8"/>
    <n v="3"/>
    <x v="1"/>
    <n v="4"/>
    <s v="No"/>
    <s v="JPY"/>
  </r>
  <r>
    <s v="JP-00474"/>
    <s v="2025-06-22"/>
    <s v="2025-06-24"/>
    <s v="2025-07-02"/>
    <s v="2025-07-02"/>
    <s v="Kanagawa"/>
    <s v="Yokohama"/>
    <x v="2"/>
    <s v="Osaka"/>
    <x v="3"/>
    <x v="1"/>
    <x v="4"/>
    <n v="16.7"/>
    <n v="809"/>
    <n v="4975.7"/>
    <n v="6861.46"/>
    <n v="8"/>
    <n v="0"/>
    <x v="0"/>
    <n v="5"/>
    <s v="No"/>
    <s v="JPY"/>
  </r>
  <r>
    <s v="JP-00475"/>
    <s v="2025-06-02"/>
    <s v="2025-06-02"/>
    <s v="2025-06-10"/>
    <s v="2025-06-12"/>
    <s v="Aichi"/>
    <s v="Nagoya"/>
    <x v="2"/>
    <s v="Osaka"/>
    <x v="2"/>
    <x v="1"/>
    <x v="0"/>
    <n v="5.7"/>
    <n v="913"/>
    <n v="4227.8999999999996"/>
    <n v="7547.3"/>
    <n v="10"/>
    <n v="2"/>
    <x v="1"/>
    <n v="4"/>
    <s v="No"/>
    <s v="JPY"/>
  </r>
  <r>
    <s v="JP-00476"/>
    <s v="2025-04-14"/>
    <s v="2025-04-14"/>
    <s v="2025-04-16"/>
    <s v="2025-04-18"/>
    <s v="Kanagawa"/>
    <s v="Yokohama"/>
    <x v="1"/>
    <s v="Fukuoka"/>
    <x v="3"/>
    <x v="2"/>
    <x v="3"/>
    <n v="18.100000000000001"/>
    <n v="1760"/>
    <n v="8486.5"/>
    <n v="11723.67"/>
    <n v="4"/>
    <n v="2"/>
    <x v="1"/>
    <n v="4"/>
    <s v="No"/>
    <s v="JPY"/>
  </r>
  <r>
    <s v="JP-00477"/>
    <s v="2025-05-13"/>
    <s v="2025-05-13"/>
    <s v="2025-05-21"/>
    <s v="2025-05-21"/>
    <s v="Osaka"/>
    <s v="Osaka"/>
    <x v="3"/>
    <s v="Yokohama"/>
    <x v="0"/>
    <x v="1"/>
    <x v="4"/>
    <n v="16.5"/>
    <n v="1869"/>
    <n v="6866.7"/>
    <n v="9760.86"/>
    <n v="8"/>
    <n v="0"/>
    <x v="0"/>
    <n v="5"/>
    <s v="No"/>
    <s v="JPY"/>
  </r>
  <r>
    <s v="JP-00478"/>
    <s v="2025-07-11"/>
    <s v="2025-07-12"/>
    <s v="2025-07-20"/>
    <s v="2025-07-20"/>
    <s v="Aichi"/>
    <s v="Nagoya"/>
    <x v="4"/>
    <s v="Nagoya"/>
    <x v="3"/>
    <x v="1"/>
    <x v="1"/>
    <n v="5.5"/>
    <n v="1077"/>
    <n v="4506.1000000000004"/>
    <n v="7355.93"/>
    <n v="8"/>
    <n v="0"/>
    <x v="0"/>
    <n v="5"/>
    <s v="No"/>
    <s v="JPY"/>
  </r>
  <r>
    <s v="JP-00479"/>
    <s v="2025-04-25"/>
    <s v="2025-04-25"/>
    <s v="2025-04-27"/>
    <s v="2025-04-27"/>
    <s v="Tokyo"/>
    <s v="Tokyo"/>
    <x v="1"/>
    <s v="Fukuoka"/>
    <x v="3"/>
    <x v="2"/>
    <x v="1"/>
    <n v="7.2"/>
    <n v="819"/>
    <n v="5866.2"/>
    <n v="9911.56"/>
    <n v="2"/>
    <n v="0"/>
    <x v="0"/>
    <n v="5"/>
    <s v="No"/>
    <s v="JPY"/>
  </r>
  <r>
    <s v="JP-00480"/>
    <s v="2025-06-20"/>
    <s v="2025-06-22"/>
    <s v="2025-06-27"/>
    <s v="2025-06-26"/>
    <s v="Fukuoka"/>
    <s v="Fukuoka"/>
    <x v="0"/>
    <s v="Tokyo"/>
    <x v="1"/>
    <x v="0"/>
    <x v="3"/>
    <n v="5.0999999999999996"/>
    <n v="1408"/>
    <n v="5067.8999999999996"/>
    <n v="9304.0499999999993"/>
    <n v="4"/>
    <n v="0"/>
    <x v="0"/>
    <n v="4"/>
    <s v="No"/>
    <s v="JPY"/>
  </r>
  <r>
    <s v="JP-00481"/>
    <s v="2025-02-20"/>
    <s v="2025-02-21"/>
    <s v="2025-03-01"/>
    <s v="2025-03-03"/>
    <s v="Fukuoka"/>
    <s v="Fukuoka"/>
    <x v="1"/>
    <s v="Fukuoka"/>
    <x v="1"/>
    <x v="1"/>
    <x v="4"/>
    <n v="1.2"/>
    <n v="930"/>
    <n v="3876"/>
    <n v="6075.51"/>
    <n v="10"/>
    <n v="2"/>
    <x v="1"/>
    <n v="4"/>
    <s v="No"/>
    <s v="JPY"/>
  </r>
  <r>
    <s v="JP-00482"/>
    <s v="2025-05-10"/>
    <s v="2025-05-11"/>
    <s v="2025-05-19"/>
    <s v="2025-05-19"/>
    <s v="Aichi"/>
    <s v="Nagoya"/>
    <x v="1"/>
    <s v="Fukuoka"/>
    <x v="1"/>
    <x v="1"/>
    <x v="0"/>
    <n v="6.2"/>
    <n v="578"/>
    <n v="3667.4"/>
    <n v="6153.22"/>
    <n v="8"/>
    <n v="0"/>
    <x v="0"/>
    <n v="5"/>
    <s v="No"/>
    <s v="JPY"/>
  </r>
  <r>
    <s v="JP-00483"/>
    <s v="2025-11-24"/>
    <s v="2025-11-24"/>
    <s v="2025-12-02"/>
    <s v="2025-12-05"/>
    <s v="Fukuoka"/>
    <s v="Fukuoka"/>
    <x v="4"/>
    <s v="Nagoya"/>
    <x v="0"/>
    <x v="1"/>
    <x v="2"/>
    <n v="10.3"/>
    <n v="1471"/>
    <n v="5623.3"/>
    <n v="11639.59"/>
    <n v="11"/>
    <n v="3"/>
    <x v="1"/>
    <n v="4"/>
    <s v="No"/>
    <s v="JPY"/>
  </r>
  <r>
    <s v="JP-00484"/>
    <s v="2025-10-29"/>
    <s v="2025-10-31"/>
    <s v="2025-11-08"/>
    <s v="2025-11-05"/>
    <s v="Kanagawa"/>
    <s v="Yokohama"/>
    <x v="0"/>
    <s v="Tokyo"/>
    <x v="3"/>
    <x v="1"/>
    <x v="2"/>
    <n v="11.8"/>
    <n v="2082"/>
    <n v="6850.6"/>
    <n v="11964.24"/>
    <n v="5"/>
    <n v="0"/>
    <x v="0"/>
    <n v="5"/>
    <s v="No"/>
    <s v="JPY"/>
  </r>
  <r>
    <s v="JP-00485"/>
    <s v="2025-09-12"/>
    <s v="2025-09-14"/>
    <s v="2025-09-22"/>
    <s v="2025-09-24"/>
    <s v="Osaka"/>
    <s v="Osaka"/>
    <x v="1"/>
    <s v="Fukuoka"/>
    <x v="1"/>
    <x v="1"/>
    <x v="3"/>
    <n v="1.9"/>
    <n v="1542"/>
    <n v="5037.1000000000004"/>
    <n v="9719.58"/>
    <n v="10"/>
    <n v="2"/>
    <x v="1"/>
    <n v="4"/>
    <s v="No"/>
    <s v="JPY"/>
  </r>
  <r>
    <s v="JP-00486"/>
    <s v="2025-11-17"/>
    <s v="2025-11-18"/>
    <s v="2025-11-23"/>
    <s v="2025-11-23"/>
    <s v="Osaka"/>
    <s v="Osaka"/>
    <x v="1"/>
    <s v="Fukuoka"/>
    <x v="3"/>
    <x v="0"/>
    <x v="0"/>
    <n v="7.4"/>
    <n v="1419"/>
    <n v="5283.2"/>
    <n v="8535.44"/>
    <n v="5"/>
    <n v="0"/>
    <x v="0"/>
    <n v="5"/>
    <s v="No"/>
    <s v="JPY"/>
  </r>
  <r>
    <s v="JP-00487"/>
    <s v="2025-05-26"/>
    <s v="2025-05-28"/>
    <s v="2025-05-30"/>
    <s v="2025-05-29"/>
    <s v="Kanagawa"/>
    <s v="Yokohama"/>
    <x v="2"/>
    <s v="Osaka"/>
    <x v="1"/>
    <x v="2"/>
    <x v="2"/>
    <n v="17.8"/>
    <n v="2023"/>
    <n v="8934.4"/>
    <n v="18467.14"/>
    <n v="1"/>
    <n v="0"/>
    <x v="0"/>
    <n v="4"/>
    <s v="No"/>
    <s v="JPY"/>
  </r>
  <r>
    <s v="JP-00488"/>
    <s v="2025-01-08"/>
    <s v="2025-01-08"/>
    <s v="2025-01-13"/>
    <s v="2025-01-16"/>
    <s v="Osaka"/>
    <s v="Osaka"/>
    <x v="4"/>
    <s v="Nagoya"/>
    <x v="0"/>
    <x v="0"/>
    <x v="3"/>
    <n v="1.6"/>
    <n v="703"/>
    <n v="3501.4"/>
    <n v="4640.9399999999996"/>
    <n v="8"/>
    <n v="3"/>
    <x v="1"/>
    <n v="3"/>
    <s v="No"/>
    <s v="JPY"/>
  </r>
  <r>
    <s v="JP-00489"/>
    <s v="2025-03-29"/>
    <s v="2025-03-30"/>
    <s v="2025-04-01"/>
    <s v="2025-04-02"/>
    <s v="Fukuoka"/>
    <s v="Fukuoka"/>
    <x v="3"/>
    <s v="Yokohama"/>
    <x v="3"/>
    <x v="2"/>
    <x v="1"/>
    <n v="0.3"/>
    <n v="1012"/>
    <n v="5627.1"/>
    <n v="8595.7999999999993"/>
    <n v="3"/>
    <n v="1"/>
    <x v="1"/>
    <n v="5"/>
    <s v="No"/>
    <s v="JPY"/>
  </r>
  <r>
    <s v="JP-00490"/>
    <s v="2025-03-06"/>
    <s v="2025-03-08"/>
    <s v="2025-03-10"/>
    <s v="2025-03-10"/>
    <s v="Osaka"/>
    <s v="Osaka"/>
    <x v="3"/>
    <s v="Yokohama"/>
    <x v="1"/>
    <x v="2"/>
    <x v="1"/>
    <n v="1.2"/>
    <n v="1889"/>
    <n v="7282.2"/>
    <n v="10045.530000000001"/>
    <n v="2"/>
    <n v="0"/>
    <x v="0"/>
    <n v="5"/>
    <s v="No"/>
    <s v="JPY"/>
  </r>
  <r>
    <s v="JP-00491"/>
    <s v="2025-10-28"/>
    <s v="2025-10-30"/>
    <s v="2025-11-07"/>
    <s v="2025-11-06"/>
    <s v="Osaka"/>
    <s v="Osaka"/>
    <x v="2"/>
    <s v="Osaka"/>
    <x v="1"/>
    <x v="1"/>
    <x v="2"/>
    <n v="10.7"/>
    <n v="1571"/>
    <n v="5837.3"/>
    <n v="10295.17"/>
    <n v="7"/>
    <n v="0"/>
    <x v="0"/>
    <n v="5"/>
    <s v="No"/>
    <s v="JPY"/>
  </r>
  <r>
    <s v="JP-00492"/>
    <s v="2025-07-16"/>
    <s v="2025-07-17"/>
    <s v="2025-07-22"/>
    <s v="2025-07-22"/>
    <s v="Aichi"/>
    <s v="Nagoya"/>
    <x v="4"/>
    <s v="Nagoya"/>
    <x v="1"/>
    <x v="0"/>
    <x v="4"/>
    <n v="3.6"/>
    <n v="89"/>
    <n v="2566.1999999999998"/>
    <n v="4452.13"/>
    <n v="5"/>
    <n v="0"/>
    <x v="0"/>
    <n v="4"/>
    <s v="No"/>
    <s v="JPY"/>
  </r>
  <r>
    <s v="JP-00493"/>
    <s v="2025-01-28"/>
    <s v="2025-01-29"/>
    <s v="2025-01-31"/>
    <s v="2025-01-30"/>
    <s v="Aichi"/>
    <s v="Nagoya"/>
    <x v="1"/>
    <s v="Fukuoka"/>
    <x v="1"/>
    <x v="2"/>
    <x v="4"/>
    <n v="0.3"/>
    <n v="863"/>
    <n v="5358.9"/>
    <n v="7268.17"/>
    <n v="1"/>
    <n v="0"/>
    <x v="0"/>
    <n v="5"/>
    <s v="No"/>
    <s v="JPY"/>
  </r>
  <r>
    <s v="JP-00494"/>
    <s v="2025-04-08"/>
    <s v="2025-04-08"/>
    <s v="2025-04-16"/>
    <s v="2025-04-14"/>
    <s v="Tokyo"/>
    <s v="Tokyo"/>
    <x v="1"/>
    <s v="Fukuoka"/>
    <x v="0"/>
    <x v="1"/>
    <x v="2"/>
    <n v="15.6"/>
    <n v="1427"/>
    <n v="5994.6"/>
    <n v="10516.8"/>
    <n v="6"/>
    <n v="0"/>
    <x v="0"/>
    <n v="5"/>
    <s v="No"/>
    <s v="JPY"/>
  </r>
  <r>
    <s v="JP-00495"/>
    <s v="2025-06-21"/>
    <s v="2025-06-23"/>
    <s v="2025-06-28"/>
    <s v="2025-06-27"/>
    <s v="Aichi"/>
    <s v="Nagoya"/>
    <x v="3"/>
    <s v="Yokohama"/>
    <x v="0"/>
    <x v="0"/>
    <x v="3"/>
    <n v="9.1"/>
    <n v="850"/>
    <n v="4403.5"/>
    <n v="5764.19"/>
    <n v="4"/>
    <n v="0"/>
    <x v="0"/>
    <n v="5"/>
    <s v="No"/>
    <s v="JPY"/>
  </r>
  <r>
    <s v="JP-00496"/>
    <s v="2025-09-03"/>
    <s v="2025-09-05"/>
    <s v="2025-09-07"/>
    <s v="2025-09-06"/>
    <s v="Tokyo"/>
    <s v="Tokyo"/>
    <x v="3"/>
    <s v="Yokohama"/>
    <x v="1"/>
    <x v="2"/>
    <x v="3"/>
    <n v="9.5"/>
    <n v="894"/>
    <n v="6196.7"/>
    <n v="12574.71"/>
    <n v="1"/>
    <n v="0"/>
    <x v="0"/>
    <n v="5"/>
    <s v="No"/>
    <s v="JPY"/>
  </r>
  <r>
    <s v="JP-00497"/>
    <s v="2025-12-14"/>
    <s v="2025-12-15"/>
    <s v="2025-12-20"/>
    <s v="2025-12-22"/>
    <s v="Tokyo"/>
    <s v="Tokyo"/>
    <x v="3"/>
    <s v="Yokohama"/>
    <x v="1"/>
    <x v="0"/>
    <x v="1"/>
    <n v="17"/>
    <n v="370"/>
    <n v="4211"/>
    <n v="7204.7"/>
    <n v="7"/>
    <n v="2"/>
    <x v="1"/>
    <n v="4"/>
    <s v="No"/>
    <s v="JPY"/>
  </r>
  <r>
    <s v="JP-00498"/>
    <s v="2025-04-02"/>
    <s v="2025-04-04"/>
    <s v="2025-04-09"/>
    <s v="2025-04-06"/>
    <s v="Fukuoka"/>
    <s v="Fukuoka"/>
    <x v="1"/>
    <s v="Fukuoka"/>
    <x v="2"/>
    <x v="0"/>
    <x v="2"/>
    <n v="1.8"/>
    <n v="1655"/>
    <n v="5232"/>
    <n v="10682.14"/>
    <n v="2"/>
    <n v="0"/>
    <x v="0"/>
    <n v="5"/>
    <s v="No"/>
    <s v="JPY"/>
  </r>
  <r>
    <s v="JP-00499"/>
    <s v="2025-04-18"/>
    <s v="2025-04-18"/>
    <s v="2025-04-26"/>
    <s v="2025-04-28"/>
    <s v="Osaka"/>
    <s v="Osaka"/>
    <x v="4"/>
    <s v="Nagoya"/>
    <x v="1"/>
    <x v="1"/>
    <x v="2"/>
    <n v="10.4"/>
    <n v="566"/>
    <n v="4002.8"/>
    <n v="6406.06"/>
    <n v="10"/>
    <n v="2"/>
    <x v="1"/>
    <n v="4"/>
    <s v="No"/>
    <s v="JPY"/>
  </r>
  <r>
    <s v="JP-00500"/>
    <s v="2025-01-14"/>
    <s v="2025-01-15"/>
    <s v="2025-01-20"/>
    <s v="2025-01-18"/>
    <s v="Kanagawa"/>
    <s v="Yokohama"/>
    <x v="4"/>
    <s v="Nagoya"/>
    <x v="1"/>
    <x v="0"/>
    <x v="1"/>
    <n v="9.5"/>
    <n v="1964"/>
    <n v="6442.7"/>
    <n v="10461.89"/>
    <n v="3"/>
    <n v="0"/>
    <x v="0"/>
    <n v="4"/>
    <s v="No"/>
    <s v="JP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81B8B-A484-4717-8144-45329873DCF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0"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axis="axisCol" showAll="0">
      <items count="4">
        <item x="1"/>
        <item x="2"/>
        <item x="0"/>
        <item t="default"/>
      </items>
    </pivotField>
    <pivotField showAll="0"/>
    <pivotField numFmtId="164" showAll="0"/>
    <pivotField showAll="0"/>
    <pivotField numFmtId="4" showAll="0"/>
    <pivotField numFmtId="4" showAll="0"/>
    <pivotField showAll="0"/>
    <pivotField showAll="0"/>
    <pivotField showAll="0"/>
    <pivotField showAll="0"/>
    <pivotField showAll="0"/>
    <pivotField showAll="0"/>
  </pivotFields>
  <rowFields count="1">
    <field x="7"/>
  </rowFields>
  <rowItems count="6">
    <i>
      <x v="2"/>
    </i>
    <i>
      <x v="3"/>
    </i>
    <i>
      <x/>
    </i>
    <i>
      <x v="4"/>
    </i>
    <i>
      <x v="1"/>
    </i>
    <i t="grand">
      <x/>
    </i>
  </rowItems>
  <colFields count="1">
    <field x="10"/>
  </colFields>
  <colItems count="4">
    <i>
      <x/>
    </i>
    <i>
      <x v="1"/>
    </i>
    <i>
      <x v="2"/>
    </i>
    <i t="grand">
      <x/>
    </i>
  </colItems>
  <dataFields count="1">
    <dataField name="Count of Shipment ID" fld="0" subtotal="count" baseField="0" baseItem="0"/>
  </dataField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5" format="9" series="1">
      <pivotArea type="data" outline="0" fieldPosition="0">
        <references count="2">
          <reference field="4294967294" count="1" selected="0">
            <x v="0"/>
          </reference>
          <reference field="10" count="1" selected="0">
            <x v="0"/>
          </reference>
        </references>
      </pivotArea>
    </chartFormat>
    <chartFormat chart="5" format="10" series="1">
      <pivotArea type="data" outline="0" fieldPosition="0">
        <references count="2">
          <reference field="4294967294" count="1" selected="0">
            <x v="0"/>
          </reference>
          <reference field="10" count="1" selected="0">
            <x v="1"/>
          </reference>
        </references>
      </pivotArea>
    </chartFormat>
    <chartFormat chart="5"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C7315-AA48-4379-AAA2-5C7095E05ED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9" firstHeaderRow="1" firstDataRow="2" firstDataCol="1"/>
  <pivotFields count="22">
    <pivotField showAll="0"/>
    <pivotField showAll="0"/>
    <pivotField showAll="0"/>
    <pivotField showAll="0"/>
    <pivotField showAll="0"/>
    <pivotField showAll="0"/>
    <pivotField showAll="0"/>
    <pivotField showAll="0">
      <items count="6">
        <item x="4"/>
        <item x="1"/>
        <item x="3"/>
        <item x="2"/>
        <item x="0"/>
        <item t="default"/>
      </items>
    </pivotField>
    <pivotField showAll="0"/>
    <pivotField axis="axisRow" showAll="0" sortType="descending">
      <items count="5">
        <item x="2"/>
        <item x="3"/>
        <item x="0"/>
        <item x="1"/>
        <item t="default"/>
      </items>
      <autoSortScope>
        <pivotArea dataOnly="0" outline="0" fieldPosition="0">
          <references count="2">
            <reference field="4294967294" count="1" selected="0">
              <x v="0"/>
            </reference>
            <reference field="10" count="1" selected="0">
              <x v="0"/>
            </reference>
          </references>
        </pivotArea>
      </autoSortScope>
    </pivotField>
    <pivotField axis="axisCol" showAll="0">
      <items count="4">
        <item x="1"/>
        <item x="2"/>
        <item x="0"/>
        <item t="default"/>
      </items>
    </pivotField>
    <pivotField showAll="0"/>
    <pivotField numFmtId="164" showAll="0"/>
    <pivotField showAll="0"/>
    <pivotField numFmtId="4" showAll="0"/>
    <pivotField numFmtId="4" showAll="0"/>
    <pivotField dataField="1" showAll="0"/>
    <pivotField showAll="0"/>
    <pivotField showAll="0"/>
    <pivotField showAll="0"/>
    <pivotField showAll="0"/>
    <pivotField showAll="0"/>
  </pivotFields>
  <rowFields count="1">
    <field x="9"/>
  </rowFields>
  <rowItems count="5">
    <i>
      <x v="2"/>
    </i>
    <i>
      <x v="3"/>
    </i>
    <i>
      <x v="1"/>
    </i>
    <i>
      <x/>
    </i>
    <i t="grand">
      <x/>
    </i>
  </rowItems>
  <colFields count="1">
    <field x="10"/>
  </colFields>
  <colItems count="4">
    <i>
      <x/>
    </i>
    <i>
      <x v="1"/>
    </i>
    <i>
      <x v="2"/>
    </i>
    <i t="grand">
      <x/>
    </i>
  </colItems>
  <dataFields count="1">
    <dataField name="Average of Delivery Days" fld="16" subtotal="average" baseField="0" baseItem="0" numFmtId="165"/>
  </dataField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8" format="6" series="1">
      <pivotArea type="data" outline="0" fieldPosition="0">
        <references count="2">
          <reference field="4294967294" count="1" selected="0">
            <x v="0"/>
          </reference>
          <reference field="10" count="1" selected="0">
            <x v="0"/>
          </reference>
        </references>
      </pivotArea>
    </chartFormat>
    <chartFormat chart="8" format="7"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CDC3B9-2E2D-446B-ACD1-D16F97DAAFD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22">
    <pivotField dataField="1" showAll="0"/>
    <pivotField showAll="0"/>
    <pivotField showAll="0"/>
    <pivotField showAll="0"/>
    <pivotField showAll="0"/>
    <pivotField showAll="0"/>
    <pivotField showAll="0"/>
    <pivotField axis="axisRow" showAll="0" sortType="descending">
      <items count="6">
        <item x="4"/>
        <item x="1"/>
        <item x="3"/>
        <item x="2"/>
        <item x="0"/>
        <item t="default"/>
      </items>
      <autoSortScope>
        <pivotArea dataOnly="0" outline="0" fieldPosition="0">
          <references count="2">
            <reference field="4294967294" count="1" selected="0">
              <x v="0"/>
            </reference>
            <reference field="18" count="1" selected="0">
              <x v="0"/>
            </reference>
          </references>
        </pivotArea>
      </autoSortScope>
    </pivotField>
    <pivotField showAll="0"/>
    <pivotField showAll="0">
      <items count="5">
        <item x="2"/>
        <item x="3"/>
        <item x="0"/>
        <item x="1"/>
        <item t="default"/>
      </items>
    </pivotField>
    <pivotField showAll="0"/>
    <pivotField showAll="0"/>
    <pivotField numFmtId="164" showAll="0"/>
    <pivotField showAll="0"/>
    <pivotField numFmtId="4" showAll="0"/>
    <pivotField numFmtId="4" showAll="0"/>
    <pivotField showAll="0"/>
    <pivotField showAll="0"/>
    <pivotField axis="axisCol" showAll="0">
      <items count="3">
        <item x="1"/>
        <item x="0"/>
        <item t="default"/>
      </items>
    </pivotField>
    <pivotField showAll="0"/>
    <pivotField showAll="0"/>
    <pivotField showAll="0"/>
  </pivotFields>
  <rowFields count="1">
    <field x="7"/>
  </rowFields>
  <rowItems count="6">
    <i>
      <x/>
    </i>
    <i>
      <x v="1"/>
    </i>
    <i>
      <x v="2"/>
    </i>
    <i>
      <x v="3"/>
    </i>
    <i>
      <x v="4"/>
    </i>
    <i t="grand">
      <x/>
    </i>
  </rowItems>
  <colFields count="1">
    <field x="18"/>
  </colFields>
  <colItems count="3">
    <i>
      <x/>
    </i>
    <i>
      <x v="1"/>
    </i>
    <i t="grand">
      <x/>
    </i>
  </colItems>
  <dataFields count="1">
    <dataField name="Count of Shipment ID" fld="0" subtotal="count" baseField="0" baseItem="0"/>
  </dataField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6" format="4" series="1">
      <pivotArea type="data" outline="0" fieldPosition="0">
        <references count="2">
          <reference field="4294967294" count="1" selected="0">
            <x v="0"/>
          </reference>
          <reference field="18" count="1" selected="0">
            <x v="0"/>
          </reference>
        </references>
      </pivotArea>
    </chartFormat>
    <chartFormat chart="6"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EF071-D6F3-4584-9B0F-A906317F25A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22">
    <pivotField showAll="0"/>
    <pivotField showAll="0"/>
    <pivotField showAll="0"/>
    <pivotField showAll="0"/>
    <pivotField showAll="0"/>
    <pivotField showAll="0"/>
    <pivotField showAll="0"/>
    <pivotField showAll="0">
      <items count="6">
        <item x="4"/>
        <item x="1"/>
        <item x="3"/>
        <item x="2"/>
        <item x="0"/>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numFmtId="164" showAll="0"/>
    <pivotField showAll="0"/>
    <pivotField dataField="1" numFmtId="4" showAll="0"/>
    <pivotField dataField="1" numFmtId="4" showAll="0"/>
    <pivotField showAll="0"/>
    <pivotField showAll="0"/>
    <pivotField showAll="0"/>
    <pivotField showAll="0"/>
    <pivotField showAll="0"/>
    <pivotField showAll="0"/>
  </pivotFields>
  <rowFields count="1">
    <field x="9"/>
  </rowFields>
  <rowItems count="5">
    <i>
      <x v="3"/>
    </i>
    <i>
      <x v="1"/>
    </i>
    <i>
      <x/>
    </i>
    <i>
      <x v="2"/>
    </i>
    <i t="grand">
      <x/>
    </i>
  </rowItems>
  <colFields count="1">
    <field x="-2"/>
  </colFields>
  <colItems count="2">
    <i>
      <x/>
    </i>
    <i i="1">
      <x v="1"/>
    </i>
  </colItems>
  <dataFields count="2">
    <dataField name="Sum of Shipping Cost" fld="14" baseField="0" baseItem="0" numFmtId="4"/>
    <dataField name="Sum of Revenue" fld="15" baseField="0" baseItem="0" numFmtId="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2AC91-3670-45D9-B202-1DB855E6BC1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8" firstHeaderRow="1" firstDataRow="2" firstDataCol="1"/>
  <pivotFields count="22">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items count="5">
        <item x="2"/>
        <item x="3"/>
        <item x="0"/>
        <item x="1"/>
        <item t="default"/>
      </items>
    </pivotField>
    <pivotField axis="axisRow" showAll="0">
      <items count="4">
        <item x="1"/>
        <item x="2"/>
        <item x="0"/>
        <item t="default"/>
      </items>
    </pivotField>
    <pivotField axis="axisCol" showAll="0">
      <items count="6">
        <item x="4"/>
        <item x="2"/>
        <item x="1"/>
        <item x="0"/>
        <item x="3"/>
        <item t="default"/>
      </items>
    </pivotField>
    <pivotField numFmtId="164" showAll="0"/>
    <pivotField showAll="0"/>
    <pivotField numFmtId="4" showAll="0"/>
    <pivotField numFmtId="4" showAll="0"/>
    <pivotField showAll="0"/>
    <pivotField showAll="0"/>
    <pivotField showAll="0"/>
    <pivotField dataField="1" showAll="0"/>
    <pivotField showAll="0"/>
    <pivotField showAll="0"/>
  </pivotFields>
  <rowFields count="1">
    <field x="10"/>
  </rowFields>
  <rowItems count="4">
    <i>
      <x/>
    </i>
    <i>
      <x v="1"/>
    </i>
    <i>
      <x v="2"/>
    </i>
    <i t="grand">
      <x/>
    </i>
  </rowItems>
  <colFields count="1">
    <field x="11"/>
  </colFields>
  <colItems count="6">
    <i>
      <x/>
    </i>
    <i>
      <x v="1"/>
    </i>
    <i>
      <x v="2"/>
    </i>
    <i>
      <x v="3"/>
    </i>
    <i>
      <x v="4"/>
    </i>
    <i t="grand">
      <x/>
    </i>
  </colItems>
  <dataFields count="1">
    <dataField name="Average of Customer Rating (1-5)" fld="19" subtotal="average" baseField="0" baseItem="0" numFmtId="165"/>
  </dataFields>
  <chartFormats count="2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7" format="3" series="1">
      <pivotArea type="data" outline="0" fieldPosition="0">
        <references count="2">
          <reference field="4294967294" count="1" selected="0">
            <x v="0"/>
          </reference>
          <reference field="10" count="1" selected="0">
            <x v="0"/>
          </reference>
        </references>
      </pivotArea>
    </chartFormat>
    <chartFormat chart="7" format="4" series="1">
      <pivotArea type="data" outline="0" fieldPosition="0">
        <references count="2">
          <reference field="4294967294" count="1" selected="0">
            <x v="0"/>
          </reference>
          <reference field="10" count="1" selected="0">
            <x v="1"/>
          </reference>
        </references>
      </pivotArea>
    </chartFormat>
    <chartFormat chart="7" format="5" series="1">
      <pivotArea type="data" outline="0" fieldPosition="0">
        <references count="2">
          <reference field="4294967294" count="1" selected="0">
            <x v="0"/>
          </reference>
          <reference field="10" count="1" selected="0">
            <x v="2"/>
          </reference>
        </references>
      </pivotArea>
    </chartFormat>
    <chartFormat chart="9" format="6" series="1">
      <pivotArea type="data" outline="0" fieldPosition="0">
        <references count="2">
          <reference field="4294967294" count="1" selected="0">
            <x v="0"/>
          </reference>
          <reference field="10" count="1" selected="0">
            <x v="0"/>
          </reference>
        </references>
      </pivotArea>
    </chartFormat>
    <chartFormat chart="9" format="7" series="1">
      <pivotArea type="data" outline="0" fieldPosition="0">
        <references count="2">
          <reference field="4294967294" count="1" selected="0">
            <x v="0"/>
          </reference>
          <reference field="10" count="1" selected="0">
            <x v="1"/>
          </reference>
        </references>
      </pivotArea>
    </chartFormat>
    <chartFormat chart="9" format="8" series="1">
      <pivotArea type="data" outline="0" fieldPosition="0">
        <references count="2">
          <reference field="4294967294" count="1" selected="0">
            <x v="0"/>
          </reference>
          <reference field="10" count="1" selected="0">
            <x v="2"/>
          </reference>
        </references>
      </pivotArea>
    </chartFormat>
    <chartFormat chart="9" format="9" series="1">
      <pivotArea type="data" outline="0" fieldPosition="0">
        <references count="2">
          <reference field="4294967294" count="1" selected="0">
            <x v="0"/>
          </reference>
          <reference field="11" count="1" selected="0">
            <x v="3"/>
          </reference>
        </references>
      </pivotArea>
    </chartFormat>
    <chartFormat chart="9" format="10" series="1">
      <pivotArea type="data" outline="0" fieldPosition="0">
        <references count="2">
          <reference field="4294967294" count="1" selected="0">
            <x v="0"/>
          </reference>
          <reference field="11" count="1" selected="0">
            <x v="4"/>
          </reference>
        </references>
      </pivotArea>
    </chartFormat>
    <chartFormat chart="9" format="11" series="1">
      <pivotArea type="data" outline="0" fieldPosition="0">
        <references count="2">
          <reference field="4294967294" count="1" selected="0">
            <x v="0"/>
          </reference>
          <reference field="11" count="1" selected="0">
            <x v="0"/>
          </reference>
        </references>
      </pivotArea>
    </chartFormat>
    <chartFormat chart="9" format="12" series="1">
      <pivotArea type="data" outline="0" fieldPosition="0">
        <references count="2">
          <reference field="4294967294" count="1" selected="0">
            <x v="0"/>
          </reference>
          <reference field="11" count="1" selected="0">
            <x v="1"/>
          </reference>
        </references>
      </pivotArea>
    </chartFormat>
    <chartFormat chart="9" format="13"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0"/>
          </reference>
        </references>
      </pivotArea>
    </chartFormat>
    <chartFormat chart="1" format="6" series="1">
      <pivotArea type="data" outline="0" fieldPosition="0">
        <references count="2">
          <reference field="4294967294" count="1" selected="0">
            <x v="0"/>
          </reference>
          <reference field="11" count="1" selected="0">
            <x v="1"/>
          </reference>
        </references>
      </pivotArea>
    </chartFormat>
    <chartFormat chart="1" format="7"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F5E5CB-4EC8-483B-8EF8-CB70C648CD0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22">
    <pivotField dataField="1" showAll="0"/>
    <pivotField showAll="0"/>
    <pivotField showAll="0"/>
    <pivotField showAll="0"/>
    <pivotField showAll="0"/>
    <pivotField showAll="0"/>
    <pivotField showAll="0"/>
    <pivotField showAll="0">
      <items count="6">
        <item x="4"/>
        <item x="1"/>
        <item x="3"/>
        <item x="2"/>
        <item x="0"/>
        <item t="default"/>
      </items>
    </pivotField>
    <pivotField showAll="0"/>
    <pivotField showAll="0">
      <items count="5">
        <item x="2"/>
        <item x="3"/>
        <item x="0"/>
        <item x="1"/>
        <item t="default"/>
      </items>
    </pivotField>
    <pivotField showAll="0"/>
    <pivotField showAll="0"/>
    <pivotField numFmtId="164" showAll="0"/>
    <pivotField showAll="0"/>
    <pivotField numFmtId="4" showAll="0"/>
    <pivotField dataField="1" numFmtId="4" showAll="0"/>
    <pivotField dataField="1" showAll="0"/>
    <pivotField showAll="0"/>
    <pivotField axis="axisRow" showAll="0">
      <items count="3">
        <item x="1"/>
        <item x="0"/>
        <item t="default"/>
      </items>
    </pivotField>
    <pivotField dataField="1" showAll="0"/>
    <pivotField showAll="0"/>
    <pivotField showAll="0"/>
  </pivotFields>
  <rowFields count="1">
    <field x="18"/>
  </rowFields>
  <rowItems count="3">
    <i>
      <x/>
    </i>
    <i>
      <x v="1"/>
    </i>
    <i t="grand">
      <x/>
    </i>
  </rowItems>
  <colFields count="1">
    <field x="-2"/>
  </colFields>
  <colItems count="4">
    <i>
      <x/>
    </i>
    <i i="1">
      <x v="1"/>
    </i>
    <i i="2">
      <x v="2"/>
    </i>
    <i i="3">
      <x v="3"/>
    </i>
  </colItems>
  <dataFields count="4">
    <dataField name="Count of Shipment ID" fld="0" subtotal="count" baseField="0" baseItem="0"/>
    <dataField name="Sum of Revenue" fld="15" baseField="0" baseItem="0" numFmtId="4"/>
    <dataField name="Average of Delivery Days" fld="16" subtotal="average" baseField="0" baseItem="1"/>
    <dataField name="Average of Customer Rating (1-5)" fld="1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Region" xr10:uid="{0D858CA9-2971-46E8-9919-B285001730DD}" sourceName="Destination Region">
  <pivotTables>
    <pivotTable tabId="4" name="PivotTable2"/>
    <pivotTable tabId="8" name="PivotTable6"/>
    <pivotTable tabId="5" name="PivotTable3"/>
    <pivotTable tabId="6" name="PivotTable4"/>
    <pivotTable tabId="10" name="PivotTable1"/>
    <pivotTable tabId="7" name="PivotTable5"/>
  </pivotTables>
  <data>
    <tabular pivotCacheId="656039368">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6F20104F-51BE-42A1-8F88-12C32E315651}" sourceName="Carrier">
  <pivotTables>
    <pivotTable tabId="4" name="PivotTable2"/>
    <pivotTable tabId="8" name="PivotTable6"/>
    <pivotTable tabId="5" name="PivotTable3"/>
    <pivotTable tabId="6" name="PivotTable4"/>
    <pivotTable tabId="10" name="PivotTable1"/>
    <pivotTable tabId="7" name="PivotTable5"/>
  </pivotTables>
  <data>
    <tabular pivotCacheId="65603936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Region" xr10:uid="{1CBC32C8-00B8-462F-B075-401E32C6919E}" cache="Slicer_Destination_Region" caption="Destination Region" rowHeight="241300"/>
  <slicer name="Carrier" xr10:uid="{1D77DC95-50A7-4969-8032-91B9896D1249}" cache="Slicer_Carrier" caption="Carr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PLogisticsData" displayName="JPLogisticsData" ref="A1:V501" totalsRowShown="0">
  <tableColumns count="22">
    <tableColumn id="1" xr3:uid="{00000000-0010-0000-0000-000001000000}" name="Shipment ID"/>
    <tableColumn id="2" xr3:uid="{00000000-0010-0000-0000-000002000000}" name="Order Date"/>
    <tableColumn id="3" xr3:uid="{00000000-0010-0000-0000-000003000000}" name="Dispatch Date"/>
    <tableColumn id="4" xr3:uid="{00000000-0010-0000-0000-000004000000}" name="Promised Delivery Date"/>
    <tableColumn id="5" xr3:uid="{00000000-0010-0000-0000-000005000000}" name="Actual Delivery Date"/>
    <tableColumn id="6" xr3:uid="{00000000-0010-0000-0000-000006000000}" name="Origin Region"/>
    <tableColumn id="7" xr3:uid="{00000000-0010-0000-0000-000007000000}" name="Origin City"/>
    <tableColumn id="8" xr3:uid="{00000000-0010-0000-0000-000008000000}" name="Destination Region"/>
    <tableColumn id="9" xr3:uid="{00000000-0010-0000-0000-000009000000}" name="Destination City"/>
    <tableColumn id="10" xr3:uid="{00000000-0010-0000-0000-00000A000000}" name="Carrier"/>
    <tableColumn id="11" xr3:uid="{00000000-0010-0000-0000-00000B000000}" name="Shipping Mode"/>
    <tableColumn id="12" xr3:uid="{00000000-0010-0000-0000-00000C000000}" name="Product Category"/>
    <tableColumn id="13" xr3:uid="{00000000-0010-0000-0000-00000D000000}" name="Package Weight (kg)"/>
    <tableColumn id="14" xr3:uid="{00000000-0010-0000-0000-00000E000000}" name="Distance (km)"/>
    <tableColumn id="15" xr3:uid="{00000000-0010-0000-0000-00000F000000}" name="Shipping Cost"/>
    <tableColumn id="16" xr3:uid="{00000000-0010-0000-0000-000010000000}" name="Revenue"/>
    <tableColumn id="17" xr3:uid="{00000000-0010-0000-0000-000011000000}" name="Delivery Days"/>
    <tableColumn id="18" xr3:uid="{00000000-0010-0000-0000-000012000000}" name="Delay Days"/>
    <tableColumn id="19" xr3:uid="{00000000-0010-0000-0000-000013000000}" name="Delivery Status"/>
    <tableColumn id="20" xr3:uid="{00000000-0010-0000-0000-000014000000}" name="Customer Rating (1-5)"/>
    <tableColumn id="21" xr3:uid="{00000000-0010-0000-0000-000015000000}" name="Returned"/>
    <tableColumn id="22" xr3:uid="{00000000-0010-0000-0000-000016000000}" name="Currenc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3" topLeftCell="A4" activePane="bottomLeft" state="frozen"/>
      <selection activeCell="P41" sqref="P41"/>
      <selection pane="bottomLeft" activeCell="P41" sqref="P41"/>
    </sheetView>
  </sheetViews>
  <sheetFormatPr defaultRowHeight="14.25"/>
  <cols>
    <col min="1" max="1" width="34" customWidth="1"/>
    <col min="2" max="2" width="110" customWidth="1"/>
  </cols>
  <sheetData>
    <row r="1" spans="1:2" ht="15">
      <c r="A1" s="1" t="s">
        <v>0</v>
      </c>
      <c r="B1" s="1"/>
    </row>
    <row r="3" spans="1:2">
      <c r="A3" t="s">
        <v>1</v>
      </c>
    </row>
    <row r="5" spans="1:2" ht="48" customHeight="1">
      <c r="A5" s="2" t="s">
        <v>2</v>
      </c>
      <c r="B5" s="3" t="s">
        <v>3</v>
      </c>
    </row>
    <row r="6" spans="1:2" ht="48" customHeight="1">
      <c r="A6" s="2" t="s">
        <v>4</v>
      </c>
      <c r="B6" s="3" t="s">
        <v>5</v>
      </c>
    </row>
    <row r="7" spans="1:2" ht="48" customHeight="1">
      <c r="A7" s="2" t="s">
        <v>6</v>
      </c>
      <c r="B7" s="3" t="s">
        <v>7</v>
      </c>
    </row>
    <row r="8" spans="1:2" ht="48" customHeight="1">
      <c r="A8" s="2" t="s">
        <v>8</v>
      </c>
      <c r="B8" s="3" t="s">
        <v>9</v>
      </c>
    </row>
    <row r="9" spans="1:2" ht="48" customHeight="1">
      <c r="A9" s="2" t="s">
        <v>10</v>
      </c>
      <c r="B9" s="3" t="s">
        <v>11</v>
      </c>
    </row>
    <row r="10" spans="1:2" ht="48" customHeight="1">
      <c r="A10" s="2" t="s">
        <v>12</v>
      </c>
      <c r="B10"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DE3D-3D89-482E-BB41-3FA30CF71A0B}">
  <dimension ref="A3:E10"/>
  <sheetViews>
    <sheetView workbookViewId="0">
      <selection activeCell="P41" sqref="P41"/>
    </sheetView>
  </sheetViews>
  <sheetFormatPr defaultRowHeight="14.25"/>
  <cols>
    <col min="1" max="1" width="20" bestFit="1" customWidth="1"/>
    <col min="2" max="2" width="16.125" bestFit="1" customWidth="1"/>
    <col min="3" max="3" width="8.125" bestFit="1" customWidth="1"/>
    <col min="4" max="4" width="8.875" bestFit="1" customWidth="1"/>
    <col min="5" max="5" width="11.375" bestFit="1" customWidth="1"/>
    <col min="6" max="6" width="6.25" bestFit="1" customWidth="1"/>
    <col min="7" max="7" width="11.375" bestFit="1" customWidth="1"/>
  </cols>
  <sheetData>
    <row r="3" spans="1:5">
      <c r="A3" s="6" t="s">
        <v>927</v>
      </c>
      <c r="B3" s="6" t="s">
        <v>924</v>
      </c>
    </row>
    <row r="4" spans="1:5">
      <c r="A4" s="6" t="s">
        <v>926</v>
      </c>
      <c r="B4" t="s">
        <v>65</v>
      </c>
      <c r="C4" t="s">
        <v>72</v>
      </c>
      <c r="D4" t="s">
        <v>42</v>
      </c>
      <c r="E4" t="s">
        <v>925</v>
      </c>
    </row>
    <row r="5" spans="1:5">
      <c r="A5" s="7" t="s">
        <v>52</v>
      </c>
      <c r="B5" s="9">
        <v>36</v>
      </c>
      <c r="C5" s="9">
        <v>39</v>
      </c>
      <c r="D5" s="9">
        <v>34</v>
      </c>
      <c r="E5" s="9">
        <v>109</v>
      </c>
    </row>
    <row r="6" spans="1:5">
      <c r="A6" s="7" t="s">
        <v>82</v>
      </c>
      <c r="B6" s="9">
        <v>32</v>
      </c>
      <c r="C6" s="9">
        <v>39</v>
      </c>
      <c r="D6" s="9">
        <v>31</v>
      </c>
      <c r="E6" s="9">
        <v>102</v>
      </c>
    </row>
    <row r="7" spans="1:5">
      <c r="A7" s="7" t="s">
        <v>70</v>
      </c>
      <c r="B7" s="9">
        <v>36</v>
      </c>
      <c r="C7" s="9">
        <v>25</v>
      </c>
      <c r="D7" s="9">
        <v>41</v>
      </c>
      <c r="E7" s="9">
        <v>102</v>
      </c>
    </row>
    <row r="8" spans="1:5">
      <c r="A8" s="7" t="s">
        <v>40</v>
      </c>
      <c r="B8" s="9">
        <v>31</v>
      </c>
      <c r="C8" s="9">
        <v>26</v>
      </c>
      <c r="D8" s="9">
        <v>37</v>
      </c>
      <c r="E8" s="9">
        <v>94</v>
      </c>
    </row>
    <row r="9" spans="1:5">
      <c r="A9" s="7" t="s">
        <v>54</v>
      </c>
      <c r="B9" s="9">
        <v>37</v>
      </c>
      <c r="C9" s="9">
        <v>34</v>
      </c>
      <c r="D9" s="9">
        <v>22</v>
      </c>
      <c r="E9" s="9">
        <v>93</v>
      </c>
    </row>
    <row r="10" spans="1:5">
      <c r="A10" s="7" t="s">
        <v>925</v>
      </c>
      <c r="B10" s="9">
        <v>172</v>
      </c>
      <c r="C10" s="9">
        <v>163</v>
      </c>
      <c r="D10" s="9">
        <v>165</v>
      </c>
      <c r="E10" s="9">
        <v>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CFB1-85BC-4FEC-96A7-C2631D666ABD}">
  <dimension ref="A3:E9"/>
  <sheetViews>
    <sheetView workbookViewId="0">
      <selection activeCell="P41" sqref="P41"/>
    </sheetView>
  </sheetViews>
  <sheetFormatPr defaultRowHeight="14.25"/>
  <cols>
    <col min="1" max="1" width="23.5" bestFit="1" customWidth="1"/>
    <col min="2" max="2" width="16.125" bestFit="1" customWidth="1"/>
    <col min="3" max="3" width="8.125" bestFit="1" customWidth="1"/>
    <col min="4" max="4" width="8.875" bestFit="1" customWidth="1"/>
    <col min="5" max="5" width="11.375" bestFit="1" customWidth="1"/>
  </cols>
  <sheetData>
    <row r="3" spans="1:5">
      <c r="A3" s="6" t="s">
        <v>928</v>
      </c>
      <c r="B3" s="6" t="s">
        <v>924</v>
      </c>
    </row>
    <row r="4" spans="1:5">
      <c r="A4" s="6" t="s">
        <v>926</v>
      </c>
      <c r="B4" t="s">
        <v>65</v>
      </c>
      <c r="C4" t="s">
        <v>72</v>
      </c>
      <c r="D4" t="s">
        <v>42</v>
      </c>
      <c r="E4" t="s">
        <v>925</v>
      </c>
    </row>
    <row r="5" spans="1:5">
      <c r="A5" s="7" t="s">
        <v>41</v>
      </c>
      <c r="B5" s="8">
        <v>8.0277777777777786</v>
      </c>
      <c r="C5" s="8">
        <v>2.5</v>
      </c>
      <c r="D5" s="8">
        <v>4.8139534883720927</v>
      </c>
      <c r="E5" s="8">
        <v>5.0956521739130434</v>
      </c>
    </row>
    <row r="6" spans="1:5">
      <c r="A6" s="7" t="s">
        <v>55</v>
      </c>
      <c r="B6" s="8">
        <v>8.0217391304347831</v>
      </c>
      <c r="C6" s="8">
        <v>2.3076923076923075</v>
      </c>
      <c r="D6" s="8">
        <v>4.6956521739130439</v>
      </c>
      <c r="E6" s="8">
        <v>4.895833333333333</v>
      </c>
    </row>
    <row r="7" spans="1:5">
      <c r="A7" s="7" t="s">
        <v>141</v>
      </c>
      <c r="B7" s="8">
        <v>7.9807692307692308</v>
      </c>
      <c r="C7" s="8">
        <v>2.3333333333333335</v>
      </c>
      <c r="D7" s="8">
        <v>4.2</v>
      </c>
      <c r="E7" s="8">
        <v>5.1825396825396828</v>
      </c>
    </row>
    <row r="8" spans="1:5">
      <c r="A8" s="7" t="s">
        <v>76</v>
      </c>
      <c r="B8" s="8">
        <v>7.1842105263157894</v>
      </c>
      <c r="C8" s="8">
        <v>2.3055555555555554</v>
      </c>
      <c r="D8" s="8">
        <v>4.4390243902439028</v>
      </c>
      <c r="E8" s="8">
        <v>4.678260869565217</v>
      </c>
    </row>
    <row r="9" spans="1:5">
      <c r="A9" s="7" t="s">
        <v>925</v>
      </c>
      <c r="B9" s="8">
        <v>7.8255813953488369</v>
      </c>
      <c r="C9" s="8">
        <v>2.3558282208588959</v>
      </c>
      <c r="D9" s="8">
        <v>4.5575757575757576</v>
      </c>
      <c r="E9" s="8">
        <v>4.9640000000000004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2299-FF2C-4768-AC58-461118BA530A}">
  <dimension ref="A3:D10"/>
  <sheetViews>
    <sheetView workbookViewId="0">
      <selection activeCell="P41" sqref="P41"/>
    </sheetView>
  </sheetViews>
  <sheetFormatPr defaultRowHeight="14.25"/>
  <cols>
    <col min="1" max="1" width="20" bestFit="1" customWidth="1"/>
    <col min="2" max="2" width="16.125" bestFit="1" customWidth="1"/>
    <col min="3" max="3" width="8.375" bestFit="1" customWidth="1"/>
    <col min="4" max="4" width="11.375" bestFit="1" customWidth="1"/>
  </cols>
  <sheetData>
    <row r="3" spans="1:4">
      <c r="A3" s="6" t="s">
        <v>927</v>
      </c>
      <c r="B3" s="6" t="s">
        <v>924</v>
      </c>
    </row>
    <row r="4" spans="1:4">
      <c r="A4" s="6" t="s">
        <v>926</v>
      </c>
      <c r="B4" t="s">
        <v>56</v>
      </c>
      <c r="C4" t="s">
        <v>44</v>
      </c>
      <c r="D4" t="s">
        <v>925</v>
      </c>
    </row>
    <row r="5" spans="1:4">
      <c r="A5" s="7" t="s">
        <v>70</v>
      </c>
      <c r="B5" s="9">
        <v>46</v>
      </c>
      <c r="C5" s="9">
        <v>56</v>
      </c>
      <c r="D5" s="9">
        <v>102</v>
      </c>
    </row>
    <row r="6" spans="1:4">
      <c r="A6" s="7" t="s">
        <v>54</v>
      </c>
      <c r="B6" s="9">
        <v>41</v>
      </c>
      <c r="C6" s="9">
        <v>52</v>
      </c>
      <c r="D6" s="9">
        <v>93</v>
      </c>
    </row>
    <row r="7" spans="1:4">
      <c r="A7" s="7" t="s">
        <v>52</v>
      </c>
      <c r="B7" s="9">
        <v>40</v>
      </c>
      <c r="C7" s="9">
        <v>69</v>
      </c>
      <c r="D7" s="9">
        <v>109</v>
      </c>
    </row>
    <row r="8" spans="1:4">
      <c r="A8" s="7" t="s">
        <v>82</v>
      </c>
      <c r="B8" s="9">
        <v>33</v>
      </c>
      <c r="C8" s="9">
        <v>69</v>
      </c>
      <c r="D8" s="9">
        <v>102</v>
      </c>
    </row>
    <row r="9" spans="1:4">
      <c r="A9" s="7" t="s">
        <v>40</v>
      </c>
      <c r="B9" s="9">
        <v>32</v>
      </c>
      <c r="C9" s="9">
        <v>62</v>
      </c>
      <c r="D9" s="9">
        <v>94</v>
      </c>
    </row>
    <row r="10" spans="1:4">
      <c r="A10" s="7" t="s">
        <v>925</v>
      </c>
      <c r="B10" s="9">
        <v>192</v>
      </c>
      <c r="C10" s="9">
        <v>308</v>
      </c>
      <c r="D10" s="9">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A68B-90CD-44CD-AA97-86E6D075563E}">
  <dimension ref="A3:C8"/>
  <sheetViews>
    <sheetView workbookViewId="0">
      <selection activeCell="P41" sqref="P41"/>
    </sheetView>
  </sheetViews>
  <sheetFormatPr defaultRowHeight="14.25"/>
  <cols>
    <col min="1" max="1" width="15.625" bestFit="1" customWidth="1"/>
    <col min="2" max="2" width="20.25" bestFit="1" customWidth="1"/>
    <col min="3" max="3" width="15.75" bestFit="1" customWidth="1"/>
  </cols>
  <sheetData>
    <row r="3" spans="1:3">
      <c r="A3" s="6" t="s">
        <v>926</v>
      </c>
      <c r="B3" t="s">
        <v>929</v>
      </c>
      <c r="C3" t="s">
        <v>930</v>
      </c>
    </row>
    <row r="4" spans="1:3">
      <c r="A4" s="7" t="s">
        <v>55</v>
      </c>
      <c r="B4" s="4">
        <v>825959.39999999979</v>
      </c>
      <c r="C4" s="4">
        <v>1376312.1499999997</v>
      </c>
    </row>
    <row r="5" spans="1:3">
      <c r="A5" s="7" t="s">
        <v>141</v>
      </c>
      <c r="B5" s="4">
        <v>680253.59999999963</v>
      </c>
      <c r="C5" s="4">
        <v>1148666.3899999999</v>
      </c>
    </row>
    <row r="6" spans="1:3">
      <c r="A6" s="7" t="s">
        <v>76</v>
      </c>
      <c r="B6" s="4">
        <v>639871.90000000026</v>
      </c>
      <c r="C6" s="4">
        <v>1065317.4599999995</v>
      </c>
    </row>
    <row r="7" spans="1:3">
      <c r="A7" s="7" t="s">
        <v>41</v>
      </c>
      <c r="B7" s="4">
        <v>629365.69999999972</v>
      </c>
      <c r="C7" s="4">
        <v>1041206.9199999996</v>
      </c>
    </row>
    <row r="8" spans="1:3">
      <c r="A8" s="7" t="s">
        <v>925</v>
      </c>
      <c r="B8" s="4">
        <v>2775450.5999999996</v>
      </c>
      <c r="C8" s="4">
        <v>4631502.919999999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A3B0-3376-408B-9DC4-85021947B7A4}">
  <dimension ref="A3:G8"/>
  <sheetViews>
    <sheetView workbookViewId="0">
      <selection activeCell="P41" sqref="P41"/>
    </sheetView>
  </sheetViews>
  <sheetFormatPr defaultRowHeight="14.25"/>
  <cols>
    <col min="1" max="1" width="30.875" bestFit="1" customWidth="1"/>
    <col min="2" max="2" width="16.125" bestFit="1" customWidth="1"/>
    <col min="3" max="3" width="8.375" bestFit="1" customWidth="1"/>
    <col min="4" max="4" width="10.875" bestFit="1" customWidth="1"/>
    <col min="5" max="5" width="10.5" bestFit="1" customWidth="1"/>
    <col min="6" max="6" width="12.375" bestFit="1" customWidth="1"/>
    <col min="7" max="7" width="11.375" bestFit="1" customWidth="1"/>
  </cols>
  <sheetData>
    <row r="3" spans="1:7">
      <c r="A3" s="6" t="s">
        <v>931</v>
      </c>
      <c r="B3" s="6" t="s">
        <v>924</v>
      </c>
    </row>
    <row r="4" spans="1:7">
      <c r="A4" s="6" t="s">
        <v>926</v>
      </c>
      <c r="B4" t="s">
        <v>118</v>
      </c>
      <c r="C4" t="s">
        <v>77</v>
      </c>
      <c r="D4" t="s">
        <v>61</v>
      </c>
      <c r="E4" t="s">
        <v>43</v>
      </c>
      <c r="F4" t="s">
        <v>87</v>
      </c>
      <c r="G4" t="s">
        <v>925</v>
      </c>
    </row>
    <row r="5" spans="1:7">
      <c r="A5" s="7" t="s">
        <v>65</v>
      </c>
      <c r="B5" s="8">
        <v>4.741935483870968</v>
      </c>
      <c r="C5" s="8">
        <v>4.6190476190476186</v>
      </c>
      <c r="D5" s="8">
        <v>4.67741935483871</v>
      </c>
      <c r="E5" s="8">
        <v>4.666666666666667</v>
      </c>
      <c r="F5" s="8">
        <v>4.4473684210526319</v>
      </c>
      <c r="G5" s="8">
        <v>4.6220930232558137</v>
      </c>
    </row>
    <row r="6" spans="1:7">
      <c r="A6" s="7" t="s">
        <v>72</v>
      </c>
      <c r="B6" s="8">
        <v>4.7241379310344831</v>
      </c>
      <c r="C6" s="8">
        <v>4.5714285714285712</v>
      </c>
      <c r="D6" s="8">
        <v>4.6857142857142859</v>
      </c>
      <c r="E6" s="8">
        <v>4.5999999999999996</v>
      </c>
      <c r="F6" s="8">
        <v>4.617647058823529</v>
      </c>
      <c r="G6" s="8">
        <v>4.6380368098159508</v>
      </c>
    </row>
    <row r="7" spans="1:7">
      <c r="A7" s="7" t="s">
        <v>42</v>
      </c>
      <c r="B7" s="8">
        <v>4.5769230769230766</v>
      </c>
      <c r="C7" s="8">
        <v>4.7407407407407405</v>
      </c>
      <c r="D7" s="8">
        <v>4.666666666666667</v>
      </c>
      <c r="E7" s="8">
        <v>4.65625</v>
      </c>
      <c r="F7" s="8">
        <v>4.628571428571429</v>
      </c>
      <c r="G7" s="8">
        <v>4.6545454545454543</v>
      </c>
    </row>
    <row r="8" spans="1:7">
      <c r="A8" s="7" t="s">
        <v>925</v>
      </c>
      <c r="B8" s="8">
        <v>4.6860465116279073</v>
      </c>
      <c r="C8" s="8">
        <v>4.634615384615385</v>
      </c>
      <c r="D8" s="8">
        <v>4.6756756756756754</v>
      </c>
      <c r="E8" s="8">
        <v>4.6413043478260869</v>
      </c>
      <c r="F8" s="8">
        <v>4.5607476635514015</v>
      </c>
      <c r="G8" s="8">
        <v>4.6379999999999999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6690-516E-4BAC-8DFD-A5956816A538}">
  <dimension ref="A1"/>
  <sheetViews>
    <sheetView showGridLines="0" tabSelected="1" topLeftCell="A3" zoomScale="70" zoomScaleNormal="70" workbookViewId="0">
      <selection activeCell="Y58" sqref="Y58"/>
    </sheetView>
  </sheetViews>
  <sheetFormatPr defaultRowHeight="14.25"/>
  <sheetData>
    <row r="1" spans="1:1">
      <c r="A1" t="s">
        <v>932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6EF5B-06C1-4548-96DC-172F570DB004}">
  <dimension ref="A1:G10"/>
  <sheetViews>
    <sheetView workbookViewId="0">
      <selection activeCell="F28" sqref="F28"/>
    </sheetView>
  </sheetViews>
  <sheetFormatPr defaultRowHeight="14.25"/>
  <cols>
    <col min="1" max="1" width="13.125" bestFit="1" customWidth="1"/>
    <col min="2" max="2" width="20" bestFit="1" customWidth="1"/>
    <col min="3" max="3" width="15.75" bestFit="1" customWidth="1"/>
    <col min="4" max="4" width="23.5" bestFit="1" customWidth="1"/>
    <col min="5" max="5" width="30.875" bestFit="1" customWidth="1"/>
  </cols>
  <sheetData>
    <row r="1" spans="1:7">
      <c r="D1" t="s">
        <v>933</v>
      </c>
    </row>
    <row r="3" spans="1:7">
      <c r="A3" s="6" t="s">
        <v>926</v>
      </c>
      <c r="B3" t="s">
        <v>927</v>
      </c>
      <c r="C3" t="s">
        <v>930</v>
      </c>
      <c r="D3" t="s">
        <v>928</v>
      </c>
      <c r="E3" t="s">
        <v>931</v>
      </c>
    </row>
    <row r="4" spans="1:7">
      <c r="A4" s="7" t="s">
        <v>56</v>
      </c>
      <c r="B4" s="9">
        <v>192</v>
      </c>
      <c r="C4" s="4">
        <v>1800993.2700000003</v>
      </c>
      <c r="D4" s="9">
        <v>6.786458333333333</v>
      </c>
      <c r="E4" s="9">
        <v>4.286458333333333</v>
      </c>
      <c r="G4" s="11">
        <f>IFERROR(GETPIVOTDATA("Count of Shipment ID",$A$3,"Delivery Status","On Time")/GETPIVOTDATA("Count of Shipment ID",$A$3),0)</f>
        <v>0.61599999999999999</v>
      </c>
    </row>
    <row r="5" spans="1:7">
      <c r="A5" s="7" t="s">
        <v>44</v>
      </c>
      <c r="B5" s="9">
        <v>308</v>
      </c>
      <c r="C5" s="4">
        <v>2830509.6500000022</v>
      </c>
      <c r="D5" s="9">
        <v>3.8279220779220777</v>
      </c>
      <c r="E5" s="9">
        <v>4.8571428571428568</v>
      </c>
      <c r="G5" s="10"/>
    </row>
    <row r="6" spans="1:7">
      <c r="A6" s="7" t="s">
        <v>925</v>
      </c>
      <c r="B6" s="9">
        <v>500</v>
      </c>
      <c r="C6" s="4">
        <v>4631502.92</v>
      </c>
      <c r="D6" s="9">
        <v>4.9640000000000004</v>
      </c>
      <c r="E6" s="9">
        <v>4.6379999999999999</v>
      </c>
      <c r="G6" s="12" t="str">
        <f>"Total Shipments: "&amp;GETPIVOTDATA("Count of Shipment ID",$A$3)</f>
        <v>Total Shipments: 500</v>
      </c>
    </row>
    <row r="7" spans="1:7">
      <c r="G7" t="str">
        <f>"Total Revenue (JPY): "&amp;TEXT(GETPIVOTDATA("Sum of Revenue",$A$3),"#,##0.00")</f>
        <v>Total Revenue (JPY): 4,631,502.92</v>
      </c>
    </row>
    <row r="8" spans="1:7">
      <c r="G8" t="str">
        <f>"Average Delivery Days: "&amp;TEXT(GETPIVOTDATA("Average of Delivery Days",$A$3),"0.00")</f>
        <v>Average Delivery Days: 4.96</v>
      </c>
    </row>
    <row r="9" spans="1:7">
      <c r="G9" t="str">
        <f>"Average Customer Rating: "&amp;TEXT(GETPIVOTDATA("Average of Customer Rating (1-5)",$A$3),"0.00")</f>
        <v>Average Customer Rating: 4.64</v>
      </c>
    </row>
    <row r="10" spans="1:7">
      <c r="G10" t="str">
        <f>"On-Time Delivery Rate: "&amp;TEXT(G4,"0.0%")</f>
        <v>On-Time Delivery Rate: 61.6%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27A92"/>
  </sheetPr>
  <dimension ref="A1:V501"/>
  <sheetViews>
    <sheetView showGridLines="0" workbookViewId="0">
      <pane ySplit="1" topLeftCell="A2" activePane="bottomLeft" state="frozen"/>
      <selection activeCell="P41" sqref="P41"/>
      <selection pane="bottomLeft" activeCell="P41" sqref="P41"/>
    </sheetView>
  </sheetViews>
  <sheetFormatPr defaultRowHeight="14.25"/>
  <cols>
    <col min="1" max="1" width="18" customWidth="1"/>
    <col min="2" max="5" width="21" customWidth="1"/>
    <col min="6" max="12" width="22" customWidth="1"/>
    <col min="13" max="22" width="18" customWidth="1"/>
  </cols>
  <sheetData>
    <row r="1" spans="1:22">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row>
    <row r="2" spans="1:22">
      <c r="A2" t="s">
        <v>36</v>
      </c>
      <c r="B2" t="s">
        <v>37</v>
      </c>
      <c r="C2" t="s">
        <v>37</v>
      </c>
      <c r="D2" t="s">
        <v>38</v>
      </c>
      <c r="E2" t="s">
        <v>39</v>
      </c>
      <c r="F2" t="s">
        <v>40</v>
      </c>
      <c r="G2" t="s">
        <v>40</v>
      </c>
      <c r="H2" t="s">
        <v>40</v>
      </c>
      <c r="I2" t="s">
        <v>40</v>
      </c>
      <c r="J2" t="s">
        <v>41</v>
      </c>
      <c r="K2" t="s">
        <v>42</v>
      </c>
      <c r="L2" t="s">
        <v>43</v>
      </c>
      <c r="M2" s="5">
        <v>6</v>
      </c>
      <c r="N2">
        <v>495</v>
      </c>
      <c r="O2" s="4">
        <v>3501</v>
      </c>
      <c r="P2" s="4">
        <v>4503.2700000000004</v>
      </c>
      <c r="Q2">
        <v>4</v>
      </c>
      <c r="R2">
        <v>0</v>
      </c>
      <c r="S2" t="s">
        <v>44</v>
      </c>
      <c r="T2">
        <v>5</v>
      </c>
      <c r="U2" t="s">
        <v>45</v>
      </c>
      <c r="V2" t="s">
        <v>46</v>
      </c>
    </row>
    <row r="3" spans="1:22">
      <c r="A3" t="s">
        <v>47</v>
      </c>
      <c r="B3" t="s">
        <v>48</v>
      </c>
      <c r="C3" t="s">
        <v>49</v>
      </c>
      <c r="D3" t="s">
        <v>50</v>
      </c>
      <c r="E3" t="s">
        <v>51</v>
      </c>
      <c r="F3" t="s">
        <v>52</v>
      </c>
      <c r="G3" t="s">
        <v>53</v>
      </c>
      <c r="H3" t="s">
        <v>54</v>
      </c>
      <c r="I3" t="s">
        <v>54</v>
      </c>
      <c r="J3" t="s">
        <v>55</v>
      </c>
      <c r="K3" t="s">
        <v>42</v>
      </c>
      <c r="L3" t="s">
        <v>43</v>
      </c>
      <c r="M3" s="5">
        <v>17.7</v>
      </c>
      <c r="N3">
        <v>1831</v>
      </c>
      <c r="O3" s="4">
        <v>6900.3</v>
      </c>
      <c r="P3" s="4">
        <v>10314.61</v>
      </c>
      <c r="Q3">
        <v>6</v>
      </c>
      <c r="R3">
        <v>1</v>
      </c>
      <c r="S3" t="s">
        <v>56</v>
      </c>
      <c r="T3">
        <v>4</v>
      </c>
      <c r="U3" t="s">
        <v>45</v>
      </c>
      <c r="V3" t="s">
        <v>46</v>
      </c>
    </row>
    <row r="4" spans="1:22">
      <c r="A4" t="s">
        <v>57</v>
      </c>
      <c r="B4" t="s">
        <v>58</v>
      </c>
      <c r="C4" t="s">
        <v>58</v>
      </c>
      <c r="D4" t="s">
        <v>59</v>
      </c>
      <c r="E4" t="s">
        <v>60</v>
      </c>
      <c r="F4" t="s">
        <v>52</v>
      </c>
      <c r="G4" t="s">
        <v>53</v>
      </c>
      <c r="H4" t="s">
        <v>54</v>
      </c>
      <c r="I4" t="s">
        <v>54</v>
      </c>
      <c r="J4" t="s">
        <v>55</v>
      </c>
      <c r="K4" t="s">
        <v>42</v>
      </c>
      <c r="L4" t="s">
        <v>61</v>
      </c>
      <c r="M4" s="5">
        <v>14.6</v>
      </c>
      <c r="N4">
        <v>1437</v>
      </c>
      <c r="O4" s="4">
        <v>5927.6</v>
      </c>
      <c r="P4" s="4">
        <v>9570.86</v>
      </c>
      <c r="Q4">
        <v>6</v>
      </c>
      <c r="R4">
        <v>1</v>
      </c>
      <c r="S4" t="s">
        <v>56</v>
      </c>
      <c r="T4">
        <v>5</v>
      </c>
      <c r="U4" t="s">
        <v>45</v>
      </c>
      <c r="V4" t="s">
        <v>46</v>
      </c>
    </row>
    <row r="5" spans="1:22">
      <c r="A5" t="s">
        <v>62</v>
      </c>
      <c r="B5" t="s">
        <v>63</v>
      </c>
      <c r="C5" t="s">
        <v>48</v>
      </c>
      <c r="D5" t="s">
        <v>51</v>
      </c>
      <c r="E5" t="s">
        <v>64</v>
      </c>
      <c r="F5" t="s">
        <v>52</v>
      </c>
      <c r="G5" t="s">
        <v>53</v>
      </c>
      <c r="H5" t="s">
        <v>40</v>
      </c>
      <c r="I5" t="s">
        <v>40</v>
      </c>
      <c r="J5" t="s">
        <v>55</v>
      </c>
      <c r="K5" t="s">
        <v>65</v>
      </c>
      <c r="L5" t="s">
        <v>43</v>
      </c>
      <c r="M5" s="5">
        <v>18</v>
      </c>
      <c r="N5">
        <v>1172</v>
      </c>
      <c r="O5" s="4">
        <v>5739.6</v>
      </c>
      <c r="P5" s="4">
        <v>7903.63</v>
      </c>
      <c r="Q5">
        <v>5</v>
      </c>
      <c r="R5">
        <v>0</v>
      </c>
      <c r="S5" t="s">
        <v>44</v>
      </c>
      <c r="T5">
        <v>4</v>
      </c>
      <c r="U5" t="s">
        <v>45</v>
      </c>
      <c r="V5" t="s">
        <v>46</v>
      </c>
    </row>
    <row r="6" spans="1:22">
      <c r="A6" t="s">
        <v>66</v>
      </c>
      <c r="B6" t="s">
        <v>67</v>
      </c>
      <c r="C6" t="s">
        <v>67</v>
      </c>
      <c r="D6" t="s">
        <v>68</v>
      </c>
      <c r="E6" t="s">
        <v>69</v>
      </c>
      <c r="F6" t="s">
        <v>70</v>
      </c>
      <c r="G6" t="s">
        <v>71</v>
      </c>
      <c r="H6" t="s">
        <v>54</v>
      </c>
      <c r="I6" t="s">
        <v>54</v>
      </c>
      <c r="J6" t="s">
        <v>41</v>
      </c>
      <c r="K6" t="s">
        <v>72</v>
      </c>
      <c r="L6" t="s">
        <v>61</v>
      </c>
      <c r="M6" s="5">
        <v>2.1</v>
      </c>
      <c r="N6">
        <v>1502</v>
      </c>
      <c r="O6" s="4">
        <v>6662.1</v>
      </c>
      <c r="P6" s="4">
        <v>13907.6</v>
      </c>
      <c r="Q6">
        <v>1</v>
      </c>
      <c r="R6">
        <v>0</v>
      </c>
      <c r="S6" t="s">
        <v>44</v>
      </c>
      <c r="T6">
        <v>5</v>
      </c>
      <c r="U6" t="s">
        <v>45</v>
      </c>
      <c r="V6" t="s">
        <v>46</v>
      </c>
    </row>
    <row r="7" spans="1:22">
      <c r="A7" t="s">
        <v>73</v>
      </c>
      <c r="B7" t="s">
        <v>68</v>
      </c>
      <c r="C7" t="s">
        <v>68</v>
      </c>
      <c r="D7" t="s">
        <v>74</v>
      </c>
      <c r="E7" t="s">
        <v>75</v>
      </c>
      <c r="F7" t="s">
        <v>40</v>
      </c>
      <c r="G7" t="s">
        <v>40</v>
      </c>
      <c r="H7" t="s">
        <v>40</v>
      </c>
      <c r="I7" t="s">
        <v>40</v>
      </c>
      <c r="J7" t="s">
        <v>76</v>
      </c>
      <c r="K7" t="s">
        <v>72</v>
      </c>
      <c r="L7" t="s">
        <v>77</v>
      </c>
      <c r="M7" s="5">
        <v>6</v>
      </c>
      <c r="N7">
        <v>412</v>
      </c>
      <c r="O7" s="4">
        <v>5031.6000000000004</v>
      </c>
      <c r="P7" s="4">
        <v>10365.49</v>
      </c>
      <c r="Q7">
        <v>1</v>
      </c>
      <c r="R7">
        <v>0</v>
      </c>
      <c r="S7" t="s">
        <v>44</v>
      </c>
      <c r="T7">
        <v>5</v>
      </c>
      <c r="U7" t="s">
        <v>45</v>
      </c>
      <c r="V7" t="s">
        <v>46</v>
      </c>
    </row>
    <row r="8" spans="1:22">
      <c r="A8" t="s">
        <v>78</v>
      </c>
      <c r="B8" t="s">
        <v>50</v>
      </c>
      <c r="C8" t="s">
        <v>79</v>
      </c>
      <c r="D8" t="s">
        <v>80</v>
      </c>
      <c r="E8" t="s">
        <v>81</v>
      </c>
      <c r="F8" t="s">
        <v>40</v>
      </c>
      <c r="G8" t="s">
        <v>40</v>
      </c>
      <c r="H8" t="s">
        <v>82</v>
      </c>
      <c r="I8" t="s">
        <v>82</v>
      </c>
      <c r="J8" t="s">
        <v>76</v>
      </c>
      <c r="K8" t="s">
        <v>42</v>
      </c>
      <c r="L8" t="s">
        <v>61</v>
      </c>
      <c r="M8" s="5">
        <v>16.7</v>
      </c>
      <c r="N8">
        <v>291</v>
      </c>
      <c r="O8" s="4">
        <v>4043.3</v>
      </c>
      <c r="P8" s="4">
        <v>8391.93</v>
      </c>
      <c r="Q8">
        <v>6</v>
      </c>
      <c r="R8">
        <v>1</v>
      </c>
      <c r="S8" t="s">
        <v>56</v>
      </c>
      <c r="T8">
        <v>5</v>
      </c>
      <c r="U8" t="s">
        <v>45</v>
      </c>
      <c r="V8" t="s">
        <v>46</v>
      </c>
    </row>
    <row r="9" spans="1:22">
      <c r="A9" t="s">
        <v>83</v>
      </c>
      <c r="B9" t="s">
        <v>84</v>
      </c>
      <c r="C9" t="s">
        <v>84</v>
      </c>
      <c r="D9" t="s">
        <v>85</v>
      </c>
      <c r="E9" t="s">
        <v>86</v>
      </c>
      <c r="F9" t="s">
        <v>52</v>
      </c>
      <c r="G9" t="s">
        <v>53</v>
      </c>
      <c r="H9" t="s">
        <v>52</v>
      </c>
      <c r="I9" t="s">
        <v>53</v>
      </c>
      <c r="J9" t="s">
        <v>55</v>
      </c>
      <c r="K9" t="s">
        <v>65</v>
      </c>
      <c r="L9" t="s">
        <v>87</v>
      </c>
      <c r="M9" s="5">
        <v>6.3</v>
      </c>
      <c r="N9">
        <v>1470</v>
      </c>
      <c r="O9" s="4">
        <v>5281.5</v>
      </c>
      <c r="P9" s="4">
        <v>10467.49</v>
      </c>
      <c r="Q9">
        <v>6</v>
      </c>
      <c r="R9">
        <v>0</v>
      </c>
      <c r="S9" t="s">
        <v>44</v>
      </c>
      <c r="T9">
        <v>5</v>
      </c>
      <c r="U9" t="s">
        <v>45</v>
      </c>
      <c r="V9" t="s">
        <v>46</v>
      </c>
    </row>
    <row r="10" spans="1:22">
      <c r="A10" t="s">
        <v>88</v>
      </c>
      <c r="B10" t="s">
        <v>89</v>
      </c>
      <c r="C10" t="s">
        <v>90</v>
      </c>
      <c r="D10" t="s">
        <v>91</v>
      </c>
      <c r="E10" t="s">
        <v>91</v>
      </c>
      <c r="F10" t="s">
        <v>52</v>
      </c>
      <c r="G10" t="s">
        <v>53</v>
      </c>
      <c r="H10" t="s">
        <v>52</v>
      </c>
      <c r="I10" t="s">
        <v>53</v>
      </c>
      <c r="J10" t="s">
        <v>41</v>
      </c>
      <c r="K10" t="s">
        <v>42</v>
      </c>
      <c r="L10" t="s">
        <v>87</v>
      </c>
      <c r="M10" s="5">
        <v>7.8</v>
      </c>
      <c r="N10">
        <v>1842</v>
      </c>
      <c r="O10" s="4">
        <v>6078.6</v>
      </c>
      <c r="P10" s="4">
        <v>12687.76</v>
      </c>
      <c r="Q10">
        <v>5</v>
      </c>
      <c r="R10">
        <v>0</v>
      </c>
      <c r="S10" t="s">
        <v>44</v>
      </c>
      <c r="T10">
        <v>5</v>
      </c>
      <c r="U10" t="s">
        <v>45</v>
      </c>
      <c r="V10" t="s">
        <v>46</v>
      </c>
    </row>
    <row r="11" spans="1:22">
      <c r="A11" t="s">
        <v>92</v>
      </c>
      <c r="B11" t="s">
        <v>93</v>
      </c>
      <c r="C11" t="s">
        <v>93</v>
      </c>
      <c r="D11" t="s">
        <v>94</v>
      </c>
      <c r="E11" t="s">
        <v>94</v>
      </c>
      <c r="F11" t="s">
        <v>54</v>
      </c>
      <c r="G11" t="s">
        <v>54</v>
      </c>
      <c r="H11" t="s">
        <v>82</v>
      </c>
      <c r="I11" t="s">
        <v>82</v>
      </c>
      <c r="J11" t="s">
        <v>55</v>
      </c>
      <c r="K11" t="s">
        <v>42</v>
      </c>
      <c r="L11" t="s">
        <v>61</v>
      </c>
      <c r="M11" s="5">
        <v>17.600000000000001</v>
      </c>
      <c r="N11">
        <v>2012</v>
      </c>
      <c r="O11" s="4">
        <v>7217.6</v>
      </c>
      <c r="P11" s="4">
        <v>9648.92</v>
      </c>
      <c r="Q11">
        <v>5</v>
      </c>
      <c r="R11">
        <v>0</v>
      </c>
      <c r="S11" t="s">
        <v>44</v>
      </c>
      <c r="T11">
        <v>5</v>
      </c>
      <c r="U11" t="s">
        <v>45</v>
      </c>
      <c r="V11" t="s">
        <v>46</v>
      </c>
    </row>
    <row r="12" spans="1:22">
      <c r="A12" t="s">
        <v>95</v>
      </c>
      <c r="B12" t="s">
        <v>96</v>
      </c>
      <c r="C12" t="s">
        <v>97</v>
      </c>
      <c r="D12" t="s">
        <v>98</v>
      </c>
      <c r="E12" t="s">
        <v>99</v>
      </c>
      <c r="F12" t="s">
        <v>54</v>
      </c>
      <c r="G12" t="s">
        <v>54</v>
      </c>
      <c r="H12" t="s">
        <v>54</v>
      </c>
      <c r="I12" t="s">
        <v>54</v>
      </c>
      <c r="J12" t="s">
        <v>76</v>
      </c>
      <c r="K12" t="s">
        <v>65</v>
      </c>
      <c r="L12" t="s">
        <v>87</v>
      </c>
      <c r="M12" s="5">
        <v>2.6</v>
      </c>
      <c r="N12">
        <v>873</v>
      </c>
      <c r="O12" s="4">
        <v>3892.4</v>
      </c>
      <c r="P12" s="4">
        <v>6268.39</v>
      </c>
      <c r="Q12">
        <v>9</v>
      </c>
      <c r="R12">
        <v>1</v>
      </c>
      <c r="S12" t="s">
        <v>56</v>
      </c>
      <c r="T12">
        <v>5</v>
      </c>
      <c r="U12" t="s">
        <v>45</v>
      </c>
      <c r="V12" t="s">
        <v>46</v>
      </c>
    </row>
    <row r="13" spans="1:22">
      <c r="A13" t="s">
        <v>100</v>
      </c>
      <c r="B13" t="s">
        <v>85</v>
      </c>
      <c r="C13" t="s">
        <v>101</v>
      </c>
      <c r="D13" t="s">
        <v>102</v>
      </c>
      <c r="E13" t="s">
        <v>103</v>
      </c>
      <c r="F13" t="s">
        <v>70</v>
      </c>
      <c r="G13" t="s">
        <v>71</v>
      </c>
      <c r="H13" t="s">
        <v>52</v>
      </c>
      <c r="I13" t="s">
        <v>53</v>
      </c>
      <c r="J13" t="s">
        <v>41</v>
      </c>
      <c r="K13" t="s">
        <v>72</v>
      </c>
      <c r="L13" t="s">
        <v>43</v>
      </c>
      <c r="M13" s="5">
        <v>9.6999999999999993</v>
      </c>
      <c r="N13">
        <v>769</v>
      </c>
      <c r="O13" s="4">
        <v>5988.7</v>
      </c>
      <c r="P13" s="4">
        <v>11392.94</v>
      </c>
      <c r="Q13">
        <v>3</v>
      </c>
      <c r="R13">
        <v>1</v>
      </c>
      <c r="S13" t="s">
        <v>56</v>
      </c>
      <c r="T13">
        <v>5</v>
      </c>
      <c r="U13" t="s">
        <v>45</v>
      </c>
      <c r="V13" t="s">
        <v>46</v>
      </c>
    </row>
    <row r="14" spans="1:22">
      <c r="A14" t="s">
        <v>104</v>
      </c>
      <c r="B14" t="s">
        <v>105</v>
      </c>
      <c r="C14" t="s">
        <v>105</v>
      </c>
      <c r="D14" t="s">
        <v>106</v>
      </c>
      <c r="E14" t="s">
        <v>107</v>
      </c>
      <c r="F14" t="s">
        <v>54</v>
      </c>
      <c r="G14" t="s">
        <v>54</v>
      </c>
      <c r="H14" t="s">
        <v>70</v>
      </c>
      <c r="I14" t="s">
        <v>71</v>
      </c>
      <c r="J14" t="s">
        <v>41</v>
      </c>
      <c r="K14" t="s">
        <v>65</v>
      </c>
      <c r="L14" t="s">
        <v>87</v>
      </c>
      <c r="M14" s="5">
        <v>10.5</v>
      </c>
      <c r="N14">
        <v>1137</v>
      </c>
      <c r="O14" s="4">
        <v>5039.1000000000004</v>
      </c>
      <c r="P14" s="4">
        <v>8754.76</v>
      </c>
      <c r="Q14">
        <v>7</v>
      </c>
      <c r="R14">
        <v>0</v>
      </c>
      <c r="S14" t="s">
        <v>44</v>
      </c>
      <c r="T14">
        <v>5</v>
      </c>
      <c r="U14" t="s">
        <v>45</v>
      </c>
      <c r="V14" t="s">
        <v>46</v>
      </c>
    </row>
    <row r="15" spans="1:22">
      <c r="A15" t="s">
        <v>108</v>
      </c>
      <c r="B15" t="s">
        <v>109</v>
      </c>
      <c r="C15" t="s">
        <v>110</v>
      </c>
      <c r="D15" t="s">
        <v>111</v>
      </c>
      <c r="E15" t="s">
        <v>112</v>
      </c>
      <c r="F15" t="s">
        <v>54</v>
      </c>
      <c r="G15" t="s">
        <v>54</v>
      </c>
      <c r="H15" t="s">
        <v>52</v>
      </c>
      <c r="I15" t="s">
        <v>53</v>
      </c>
      <c r="J15" t="s">
        <v>76</v>
      </c>
      <c r="K15" t="s">
        <v>72</v>
      </c>
      <c r="L15" t="s">
        <v>77</v>
      </c>
      <c r="M15" s="5">
        <v>14.6</v>
      </c>
      <c r="N15">
        <v>504</v>
      </c>
      <c r="O15" s="4">
        <v>5928.2</v>
      </c>
      <c r="P15" s="4">
        <v>7946.63</v>
      </c>
      <c r="Q15">
        <v>4</v>
      </c>
      <c r="R15">
        <v>2</v>
      </c>
      <c r="S15" t="s">
        <v>56</v>
      </c>
      <c r="T15">
        <v>4</v>
      </c>
      <c r="U15" t="s">
        <v>45</v>
      </c>
      <c r="V15" t="s">
        <v>46</v>
      </c>
    </row>
    <row r="16" spans="1:22">
      <c r="A16" t="s">
        <v>113</v>
      </c>
      <c r="B16" t="s">
        <v>114</v>
      </c>
      <c r="C16" t="s">
        <v>115</v>
      </c>
      <c r="D16" t="s">
        <v>116</v>
      </c>
      <c r="E16" t="s">
        <v>117</v>
      </c>
      <c r="F16" t="s">
        <v>82</v>
      </c>
      <c r="G16" t="s">
        <v>82</v>
      </c>
      <c r="H16" t="s">
        <v>70</v>
      </c>
      <c r="I16" t="s">
        <v>71</v>
      </c>
      <c r="J16" t="s">
        <v>41</v>
      </c>
      <c r="K16" t="s">
        <v>72</v>
      </c>
      <c r="L16" t="s">
        <v>118</v>
      </c>
      <c r="M16" s="5">
        <v>10.1</v>
      </c>
      <c r="N16">
        <v>1563</v>
      </c>
      <c r="O16" s="4">
        <v>7451.9</v>
      </c>
      <c r="P16" s="4">
        <v>9481.7000000000007</v>
      </c>
      <c r="Q16">
        <v>4</v>
      </c>
      <c r="R16">
        <v>2</v>
      </c>
      <c r="S16" t="s">
        <v>56</v>
      </c>
      <c r="T16">
        <v>4</v>
      </c>
      <c r="U16" t="s">
        <v>45</v>
      </c>
      <c r="V16" t="s">
        <v>46</v>
      </c>
    </row>
    <row r="17" spans="1:22">
      <c r="A17" t="s">
        <v>119</v>
      </c>
      <c r="B17" t="s">
        <v>120</v>
      </c>
      <c r="C17" t="s">
        <v>121</v>
      </c>
      <c r="D17" t="s">
        <v>122</v>
      </c>
      <c r="E17" t="s">
        <v>123</v>
      </c>
      <c r="F17" t="s">
        <v>82</v>
      </c>
      <c r="G17" t="s">
        <v>82</v>
      </c>
      <c r="H17" t="s">
        <v>40</v>
      </c>
      <c r="I17" t="s">
        <v>40</v>
      </c>
      <c r="J17" t="s">
        <v>76</v>
      </c>
      <c r="K17" t="s">
        <v>65</v>
      </c>
      <c r="L17" t="s">
        <v>77</v>
      </c>
      <c r="M17" s="5">
        <v>1.5</v>
      </c>
      <c r="N17">
        <v>608</v>
      </c>
      <c r="O17" s="4">
        <v>3321.9</v>
      </c>
      <c r="P17" s="4">
        <v>5131.5</v>
      </c>
      <c r="Q17">
        <v>5</v>
      </c>
      <c r="R17">
        <v>0</v>
      </c>
      <c r="S17" t="s">
        <v>44</v>
      </c>
      <c r="T17">
        <v>5</v>
      </c>
      <c r="U17" t="s">
        <v>45</v>
      </c>
      <c r="V17" t="s">
        <v>46</v>
      </c>
    </row>
    <row r="18" spans="1:22">
      <c r="A18" t="s">
        <v>124</v>
      </c>
      <c r="B18" t="s">
        <v>38</v>
      </c>
      <c r="C18" t="s">
        <v>125</v>
      </c>
      <c r="D18" t="s">
        <v>126</v>
      </c>
      <c r="E18" t="s">
        <v>127</v>
      </c>
      <c r="F18" t="s">
        <v>40</v>
      </c>
      <c r="G18" t="s">
        <v>40</v>
      </c>
      <c r="H18" t="s">
        <v>40</v>
      </c>
      <c r="I18" t="s">
        <v>40</v>
      </c>
      <c r="J18" t="s">
        <v>41</v>
      </c>
      <c r="K18" t="s">
        <v>42</v>
      </c>
      <c r="L18" t="s">
        <v>43</v>
      </c>
      <c r="M18" s="5">
        <v>13.2</v>
      </c>
      <c r="N18">
        <v>781</v>
      </c>
      <c r="O18" s="4">
        <v>4627.8</v>
      </c>
      <c r="P18" s="4">
        <v>9650.85</v>
      </c>
      <c r="Q18">
        <v>1</v>
      </c>
      <c r="R18">
        <v>0</v>
      </c>
      <c r="S18" t="s">
        <v>44</v>
      </c>
      <c r="T18">
        <v>5</v>
      </c>
      <c r="U18" t="s">
        <v>45</v>
      </c>
      <c r="V18" t="s">
        <v>46</v>
      </c>
    </row>
    <row r="19" spans="1:22">
      <c r="A19" t="s">
        <v>128</v>
      </c>
      <c r="B19" t="s">
        <v>129</v>
      </c>
      <c r="C19" t="s">
        <v>129</v>
      </c>
      <c r="D19" t="s">
        <v>130</v>
      </c>
      <c r="E19" t="s">
        <v>131</v>
      </c>
      <c r="F19" t="s">
        <v>82</v>
      </c>
      <c r="G19" t="s">
        <v>82</v>
      </c>
      <c r="H19" t="s">
        <v>52</v>
      </c>
      <c r="I19" t="s">
        <v>53</v>
      </c>
      <c r="J19" t="s">
        <v>76</v>
      </c>
      <c r="K19" t="s">
        <v>65</v>
      </c>
      <c r="L19" t="s">
        <v>77</v>
      </c>
      <c r="M19" s="5">
        <v>6.4</v>
      </c>
      <c r="N19">
        <v>1542</v>
      </c>
      <c r="O19" s="4">
        <v>5419.6</v>
      </c>
      <c r="P19" s="4">
        <v>9168.34</v>
      </c>
      <c r="Q19">
        <v>7</v>
      </c>
      <c r="R19">
        <v>0</v>
      </c>
      <c r="S19" t="s">
        <v>44</v>
      </c>
      <c r="T19">
        <v>5</v>
      </c>
      <c r="U19" t="s">
        <v>45</v>
      </c>
      <c r="V19" t="s">
        <v>46</v>
      </c>
    </row>
    <row r="20" spans="1:22">
      <c r="A20" t="s">
        <v>132</v>
      </c>
      <c r="B20" t="s">
        <v>133</v>
      </c>
      <c r="C20" t="s">
        <v>134</v>
      </c>
      <c r="D20" t="s">
        <v>135</v>
      </c>
      <c r="E20" t="s">
        <v>136</v>
      </c>
      <c r="F20" t="s">
        <v>82</v>
      </c>
      <c r="G20" t="s">
        <v>82</v>
      </c>
      <c r="H20" t="s">
        <v>54</v>
      </c>
      <c r="I20" t="s">
        <v>54</v>
      </c>
      <c r="J20" t="s">
        <v>76</v>
      </c>
      <c r="K20" t="s">
        <v>72</v>
      </c>
      <c r="L20" t="s">
        <v>118</v>
      </c>
      <c r="M20" s="5">
        <v>16.7</v>
      </c>
      <c r="N20">
        <v>1316</v>
      </c>
      <c r="O20" s="4">
        <v>7568.3</v>
      </c>
      <c r="P20" s="4">
        <v>13403.58</v>
      </c>
      <c r="Q20">
        <v>1</v>
      </c>
      <c r="R20">
        <v>0</v>
      </c>
      <c r="S20" t="s">
        <v>44</v>
      </c>
      <c r="T20">
        <v>5</v>
      </c>
      <c r="U20" t="s">
        <v>45</v>
      </c>
      <c r="V20" t="s">
        <v>46</v>
      </c>
    </row>
    <row r="21" spans="1:22">
      <c r="A21" t="s">
        <v>137</v>
      </c>
      <c r="B21" t="s">
        <v>138</v>
      </c>
      <c r="C21" t="s">
        <v>138</v>
      </c>
      <c r="D21" t="s">
        <v>139</v>
      </c>
      <c r="E21" t="s">
        <v>140</v>
      </c>
      <c r="F21" t="s">
        <v>52</v>
      </c>
      <c r="G21" t="s">
        <v>53</v>
      </c>
      <c r="H21" t="s">
        <v>40</v>
      </c>
      <c r="I21" t="s">
        <v>40</v>
      </c>
      <c r="J21" t="s">
        <v>141</v>
      </c>
      <c r="K21" t="s">
        <v>65</v>
      </c>
      <c r="L21" t="s">
        <v>77</v>
      </c>
      <c r="M21" s="5">
        <v>3.3</v>
      </c>
      <c r="N21">
        <v>438</v>
      </c>
      <c r="O21" s="4">
        <v>3168.9</v>
      </c>
      <c r="P21" s="4">
        <v>6264.91</v>
      </c>
      <c r="Q21">
        <v>11</v>
      </c>
      <c r="R21">
        <v>3</v>
      </c>
      <c r="S21" t="s">
        <v>56</v>
      </c>
      <c r="T21">
        <v>4</v>
      </c>
      <c r="U21" t="s">
        <v>45</v>
      </c>
      <c r="V21" t="s">
        <v>46</v>
      </c>
    </row>
    <row r="22" spans="1:22">
      <c r="A22" t="s">
        <v>142</v>
      </c>
      <c r="B22" t="s">
        <v>74</v>
      </c>
      <c r="C22" t="s">
        <v>143</v>
      </c>
      <c r="D22" t="s">
        <v>144</v>
      </c>
      <c r="E22" t="s">
        <v>145</v>
      </c>
      <c r="F22" t="s">
        <v>70</v>
      </c>
      <c r="G22" t="s">
        <v>71</v>
      </c>
      <c r="H22" t="s">
        <v>70</v>
      </c>
      <c r="I22" t="s">
        <v>71</v>
      </c>
      <c r="J22" t="s">
        <v>55</v>
      </c>
      <c r="K22" t="s">
        <v>65</v>
      </c>
      <c r="L22" t="s">
        <v>61</v>
      </c>
      <c r="M22" s="5">
        <v>5.7</v>
      </c>
      <c r="N22">
        <v>1821</v>
      </c>
      <c r="O22" s="4">
        <v>5862.3</v>
      </c>
      <c r="P22" s="4">
        <v>9375.2099999999991</v>
      </c>
      <c r="Q22">
        <v>7</v>
      </c>
      <c r="R22">
        <v>0</v>
      </c>
      <c r="S22" t="s">
        <v>44</v>
      </c>
      <c r="T22">
        <v>5</v>
      </c>
      <c r="U22" t="s">
        <v>45</v>
      </c>
      <c r="V22" t="s">
        <v>46</v>
      </c>
    </row>
    <row r="23" spans="1:22">
      <c r="A23" t="s">
        <v>146</v>
      </c>
      <c r="B23" t="s">
        <v>147</v>
      </c>
      <c r="C23" t="s">
        <v>111</v>
      </c>
      <c r="D23" t="s">
        <v>112</v>
      </c>
      <c r="E23" t="s">
        <v>112</v>
      </c>
      <c r="F23" t="s">
        <v>40</v>
      </c>
      <c r="G23" t="s">
        <v>40</v>
      </c>
      <c r="H23" t="s">
        <v>52</v>
      </c>
      <c r="I23" t="s">
        <v>53</v>
      </c>
      <c r="J23" t="s">
        <v>41</v>
      </c>
      <c r="K23" t="s">
        <v>72</v>
      </c>
      <c r="L23" t="s">
        <v>77</v>
      </c>
      <c r="M23" s="5">
        <v>9.1</v>
      </c>
      <c r="N23">
        <v>1514</v>
      </c>
      <c r="O23" s="4">
        <v>7278.7</v>
      </c>
      <c r="P23" s="4">
        <v>9706.76</v>
      </c>
      <c r="Q23">
        <v>2</v>
      </c>
      <c r="R23">
        <v>0</v>
      </c>
      <c r="S23" t="s">
        <v>44</v>
      </c>
      <c r="T23">
        <v>5</v>
      </c>
      <c r="U23" t="s">
        <v>45</v>
      </c>
      <c r="V23" t="s">
        <v>46</v>
      </c>
    </row>
    <row r="24" spans="1:22">
      <c r="A24" t="s">
        <v>148</v>
      </c>
      <c r="B24" t="s">
        <v>149</v>
      </c>
      <c r="C24" t="s">
        <v>149</v>
      </c>
      <c r="D24" t="s">
        <v>150</v>
      </c>
      <c r="E24" t="s">
        <v>151</v>
      </c>
      <c r="F24" t="s">
        <v>70</v>
      </c>
      <c r="G24" t="s">
        <v>71</v>
      </c>
      <c r="H24" t="s">
        <v>40</v>
      </c>
      <c r="I24" t="s">
        <v>40</v>
      </c>
      <c r="J24" t="s">
        <v>55</v>
      </c>
      <c r="K24" t="s">
        <v>42</v>
      </c>
      <c r="L24" t="s">
        <v>118</v>
      </c>
      <c r="M24" s="5">
        <v>1.6</v>
      </c>
      <c r="N24">
        <v>875</v>
      </c>
      <c r="O24" s="4">
        <v>3811</v>
      </c>
      <c r="P24" s="4">
        <v>5144.8</v>
      </c>
      <c r="Q24">
        <v>4</v>
      </c>
      <c r="R24">
        <v>0</v>
      </c>
      <c r="S24" t="s">
        <v>44</v>
      </c>
      <c r="T24">
        <v>5</v>
      </c>
      <c r="U24" t="s">
        <v>45</v>
      </c>
      <c r="V24" t="s">
        <v>46</v>
      </c>
    </row>
    <row r="25" spans="1:22">
      <c r="A25" t="s">
        <v>152</v>
      </c>
      <c r="B25" t="s">
        <v>153</v>
      </c>
      <c r="C25" t="s">
        <v>153</v>
      </c>
      <c r="D25" t="s">
        <v>154</v>
      </c>
      <c r="E25" t="s">
        <v>155</v>
      </c>
      <c r="F25" t="s">
        <v>82</v>
      </c>
      <c r="G25" t="s">
        <v>82</v>
      </c>
      <c r="H25" t="s">
        <v>82</v>
      </c>
      <c r="I25" t="s">
        <v>82</v>
      </c>
      <c r="J25" t="s">
        <v>41</v>
      </c>
      <c r="K25" t="s">
        <v>42</v>
      </c>
      <c r="L25" t="s">
        <v>61</v>
      </c>
      <c r="M25" s="5">
        <v>15.3</v>
      </c>
      <c r="N25">
        <v>1560</v>
      </c>
      <c r="O25" s="4">
        <v>6208.5</v>
      </c>
      <c r="P25" s="4">
        <v>8456.0300000000007</v>
      </c>
      <c r="Q25">
        <v>4</v>
      </c>
      <c r="R25">
        <v>0</v>
      </c>
      <c r="S25" t="s">
        <v>44</v>
      </c>
      <c r="T25">
        <v>4</v>
      </c>
      <c r="U25" t="s">
        <v>45</v>
      </c>
      <c r="V25" t="s">
        <v>46</v>
      </c>
    </row>
    <row r="26" spans="1:22">
      <c r="A26" t="s">
        <v>156</v>
      </c>
      <c r="B26" t="s">
        <v>101</v>
      </c>
      <c r="C26" t="s">
        <v>101</v>
      </c>
      <c r="D26" t="s">
        <v>157</v>
      </c>
      <c r="E26" t="s">
        <v>158</v>
      </c>
      <c r="F26" t="s">
        <v>54</v>
      </c>
      <c r="G26" t="s">
        <v>54</v>
      </c>
      <c r="H26" t="s">
        <v>52</v>
      </c>
      <c r="I26" t="s">
        <v>53</v>
      </c>
      <c r="J26" t="s">
        <v>55</v>
      </c>
      <c r="K26" t="s">
        <v>65</v>
      </c>
      <c r="L26" t="s">
        <v>118</v>
      </c>
      <c r="M26" s="5">
        <v>15.5</v>
      </c>
      <c r="N26">
        <v>512</v>
      </c>
      <c r="O26" s="4">
        <v>4339.1000000000004</v>
      </c>
      <c r="P26" s="4">
        <v>7901.71</v>
      </c>
      <c r="Q26">
        <v>11</v>
      </c>
      <c r="R26">
        <v>3</v>
      </c>
      <c r="S26" t="s">
        <v>56</v>
      </c>
      <c r="T26">
        <v>4</v>
      </c>
      <c r="U26" t="s">
        <v>45</v>
      </c>
      <c r="V26" t="s">
        <v>46</v>
      </c>
    </row>
    <row r="27" spans="1:22">
      <c r="A27" t="s">
        <v>159</v>
      </c>
      <c r="B27" t="s">
        <v>160</v>
      </c>
      <c r="C27" t="s">
        <v>161</v>
      </c>
      <c r="D27" t="s">
        <v>162</v>
      </c>
      <c r="E27" t="s">
        <v>162</v>
      </c>
      <c r="F27" t="s">
        <v>82</v>
      </c>
      <c r="G27" t="s">
        <v>82</v>
      </c>
      <c r="H27" t="s">
        <v>54</v>
      </c>
      <c r="I27" t="s">
        <v>54</v>
      </c>
      <c r="J27" t="s">
        <v>141</v>
      </c>
      <c r="K27" t="s">
        <v>65</v>
      </c>
      <c r="L27" t="s">
        <v>118</v>
      </c>
      <c r="M27" s="5">
        <v>4</v>
      </c>
      <c r="N27">
        <v>1809</v>
      </c>
      <c r="O27" s="4">
        <v>5696.2</v>
      </c>
      <c r="P27" s="4">
        <v>10308.549999999999</v>
      </c>
      <c r="Q27">
        <v>8</v>
      </c>
      <c r="R27">
        <v>0</v>
      </c>
      <c r="S27" t="s">
        <v>44</v>
      </c>
      <c r="T27">
        <v>5</v>
      </c>
      <c r="U27" t="s">
        <v>45</v>
      </c>
      <c r="V27" t="s">
        <v>46</v>
      </c>
    </row>
    <row r="28" spans="1:22">
      <c r="A28" t="s">
        <v>163</v>
      </c>
      <c r="B28" t="s">
        <v>103</v>
      </c>
      <c r="C28" t="s">
        <v>164</v>
      </c>
      <c r="D28" t="s">
        <v>165</v>
      </c>
      <c r="E28" t="s">
        <v>166</v>
      </c>
      <c r="F28" t="s">
        <v>54</v>
      </c>
      <c r="G28" t="s">
        <v>54</v>
      </c>
      <c r="H28" t="s">
        <v>52</v>
      </c>
      <c r="I28" t="s">
        <v>53</v>
      </c>
      <c r="J28" t="s">
        <v>141</v>
      </c>
      <c r="K28" t="s">
        <v>72</v>
      </c>
      <c r="L28" t="s">
        <v>77</v>
      </c>
      <c r="M28" s="5">
        <v>15.2</v>
      </c>
      <c r="N28">
        <v>1367</v>
      </c>
      <c r="O28" s="4">
        <v>7532.6</v>
      </c>
      <c r="P28" s="4">
        <v>13035.04</v>
      </c>
      <c r="Q28">
        <v>1</v>
      </c>
      <c r="R28">
        <v>0</v>
      </c>
      <c r="S28" t="s">
        <v>44</v>
      </c>
      <c r="T28">
        <v>5</v>
      </c>
      <c r="U28" t="s">
        <v>45</v>
      </c>
      <c r="V28" t="s">
        <v>46</v>
      </c>
    </row>
    <row r="29" spans="1:22">
      <c r="A29" t="s">
        <v>167</v>
      </c>
      <c r="B29" t="s">
        <v>168</v>
      </c>
      <c r="C29" t="s">
        <v>168</v>
      </c>
      <c r="D29" t="s">
        <v>49</v>
      </c>
      <c r="E29" t="s">
        <v>48</v>
      </c>
      <c r="F29" t="s">
        <v>40</v>
      </c>
      <c r="H29" t="s">
        <v>40</v>
      </c>
      <c r="I29" t="s">
        <v>40</v>
      </c>
      <c r="J29" t="s">
        <v>41</v>
      </c>
      <c r="K29" t="s">
        <v>42</v>
      </c>
      <c r="L29" t="s">
        <v>77</v>
      </c>
      <c r="M29" s="5">
        <v>17.100000000000001</v>
      </c>
      <c r="N29">
        <v>854</v>
      </c>
      <c r="O29" s="4">
        <v>5090.7</v>
      </c>
      <c r="P29" s="4">
        <v>10399.51</v>
      </c>
      <c r="Q29">
        <v>3</v>
      </c>
      <c r="R29">
        <v>0</v>
      </c>
      <c r="S29" t="s">
        <v>44</v>
      </c>
      <c r="T29">
        <v>5</v>
      </c>
      <c r="U29" t="s">
        <v>45</v>
      </c>
      <c r="V29" t="s">
        <v>46</v>
      </c>
    </row>
    <row r="30" spans="1:22">
      <c r="A30" t="s">
        <v>169</v>
      </c>
      <c r="B30" t="s">
        <v>170</v>
      </c>
      <c r="C30" t="s">
        <v>170</v>
      </c>
      <c r="D30" t="s">
        <v>171</v>
      </c>
      <c r="E30" t="s">
        <v>172</v>
      </c>
      <c r="F30" t="s">
        <v>40</v>
      </c>
      <c r="G30" t="s">
        <v>40</v>
      </c>
      <c r="H30" t="s">
        <v>82</v>
      </c>
      <c r="I30" t="s">
        <v>82</v>
      </c>
      <c r="J30" t="s">
        <v>141</v>
      </c>
      <c r="K30" t="s">
        <v>72</v>
      </c>
      <c r="L30" t="s">
        <v>87</v>
      </c>
      <c r="M30" s="5">
        <v>4.3</v>
      </c>
      <c r="N30">
        <v>795</v>
      </c>
      <c r="O30" s="4">
        <v>5576.5</v>
      </c>
      <c r="P30" s="4">
        <v>8165.97</v>
      </c>
      <c r="Q30">
        <v>1</v>
      </c>
      <c r="R30">
        <v>0</v>
      </c>
      <c r="S30" t="s">
        <v>44</v>
      </c>
      <c r="T30">
        <v>5</v>
      </c>
      <c r="U30" t="s">
        <v>45</v>
      </c>
      <c r="V30" t="s">
        <v>46</v>
      </c>
    </row>
    <row r="31" spans="1:22">
      <c r="A31" t="s">
        <v>173</v>
      </c>
      <c r="B31" t="s">
        <v>120</v>
      </c>
      <c r="C31" t="s">
        <v>174</v>
      </c>
      <c r="D31" t="s">
        <v>175</v>
      </c>
      <c r="E31" t="s">
        <v>176</v>
      </c>
      <c r="F31" t="s">
        <v>40</v>
      </c>
      <c r="G31" t="s">
        <v>40</v>
      </c>
      <c r="H31" t="s">
        <v>54</v>
      </c>
      <c r="I31" t="s">
        <v>54</v>
      </c>
      <c r="J31" t="s">
        <v>76</v>
      </c>
      <c r="K31" t="s">
        <v>42</v>
      </c>
      <c r="L31" t="s">
        <v>118</v>
      </c>
      <c r="M31" s="5">
        <v>14.4</v>
      </c>
      <c r="N31">
        <v>1236</v>
      </c>
      <c r="O31" s="4">
        <v>5548.8</v>
      </c>
      <c r="P31" s="4">
        <v>10343.08</v>
      </c>
      <c r="Q31">
        <v>2</v>
      </c>
      <c r="R31">
        <v>0</v>
      </c>
      <c r="S31" t="s">
        <v>44</v>
      </c>
      <c r="T31">
        <v>5</v>
      </c>
      <c r="U31" t="s">
        <v>45</v>
      </c>
      <c r="V31" t="s">
        <v>46</v>
      </c>
    </row>
    <row r="32" spans="1:22">
      <c r="A32" t="s">
        <v>177</v>
      </c>
      <c r="B32" t="s">
        <v>178</v>
      </c>
      <c r="C32" t="s">
        <v>178</v>
      </c>
      <c r="D32" t="s">
        <v>179</v>
      </c>
      <c r="E32" t="s">
        <v>180</v>
      </c>
      <c r="F32" t="s">
        <v>40</v>
      </c>
      <c r="G32" t="s">
        <v>40</v>
      </c>
      <c r="H32" t="s">
        <v>52</v>
      </c>
      <c r="I32" t="s">
        <v>53</v>
      </c>
      <c r="J32" t="s">
        <v>41</v>
      </c>
      <c r="K32" t="s">
        <v>72</v>
      </c>
      <c r="L32" t="s">
        <v>118</v>
      </c>
      <c r="M32" s="5">
        <v>15.9</v>
      </c>
      <c r="N32">
        <v>846</v>
      </c>
      <c r="O32" s="4">
        <v>6654.3</v>
      </c>
      <c r="P32" s="4">
        <v>12243.89</v>
      </c>
      <c r="Q32">
        <v>1</v>
      </c>
      <c r="R32">
        <v>0</v>
      </c>
      <c r="S32" t="s">
        <v>44</v>
      </c>
      <c r="T32">
        <v>5</v>
      </c>
      <c r="U32" t="s">
        <v>45</v>
      </c>
      <c r="V32" t="s">
        <v>46</v>
      </c>
    </row>
    <row r="33" spans="1:22">
      <c r="A33" t="s">
        <v>181</v>
      </c>
      <c r="B33" t="s">
        <v>182</v>
      </c>
      <c r="C33" t="s">
        <v>183</v>
      </c>
      <c r="D33" t="s">
        <v>184</v>
      </c>
      <c r="E33" t="s">
        <v>185</v>
      </c>
      <c r="F33" t="s">
        <v>52</v>
      </c>
      <c r="G33" t="s">
        <v>53</v>
      </c>
      <c r="H33" t="s">
        <v>52</v>
      </c>
      <c r="I33" t="s">
        <v>53</v>
      </c>
      <c r="J33" t="s">
        <v>141</v>
      </c>
      <c r="K33" t="s">
        <v>42</v>
      </c>
      <c r="L33" t="s">
        <v>61</v>
      </c>
      <c r="M33" s="5">
        <v>17</v>
      </c>
      <c r="N33">
        <v>62</v>
      </c>
      <c r="O33" s="4">
        <v>3656.6</v>
      </c>
      <c r="P33" s="4">
        <v>5747.99</v>
      </c>
      <c r="Q33">
        <v>1</v>
      </c>
      <c r="R33">
        <v>0</v>
      </c>
      <c r="S33" t="s">
        <v>44</v>
      </c>
      <c r="T33">
        <v>5</v>
      </c>
      <c r="U33" t="s">
        <v>45</v>
      </c>
      <c r="V33" t="s">
        <v>46</v>
      </c>
    </row>
    <row r="34" spans="1:22">
      <c r="A34" t="s">
        <v>186</v>
      </c>
      <c r="B34" t="s">
        <v>187</v>
      </c>
      <c r="C34" t="s">
        <v>188</v>
      </c>
      <c r="D34" t="s">
        <v>189</v>
      </c>
      <c r="E34" t="s">
        <v>136</v>
      </c>
      <c r="F34" t="s">
        <v>82</v>
      </c>
      <c r="G34" t="s">
        <v>82</v>
      </c>
      <c r="H34" t="s">
        <v>70</v>
      </c>
      <c r="I34" t="s">
        <v>71</v>
      </c>
      <c r="J34" t="s">
        <v>76</v>
      </c>
      <c r="K34" t="s">
        <v>65</v>
      </c>
      <c r="L34" t="s">
        <v>43</v>
      </c>
      <c r="M34" s="5">
        <v>12.4</v>
      </c>
      <c r="N34">
        <v>1365</v>
      </c>
      <c r="O34" s="4">
        <v>5611</v>
      </c>
      <c r="P34" s="4">
        <v>7179.5</v>
      </c>
      <c r="Q34">
        <v>6</v>
      </c>
      <c r="R34">
        <v>0</v>
      </c>
      <c r="S34" t="s">
        <v>44</v>
      </c>
      <c r="T34">
        <v>5</v>
      </c>
      <c r="U34" t="s">
        <v>45</v>
      </c>
      <c r="V34" t="s">
        <v>46</v>
      </c>
    </row>
    <row r="35" spans="1:22">
      <c r="A35" t="s">
        <v>190</v>
      </c>
      <c r="B35" t="s">
        <v>114</v>
      </c>
      <c r="C35" t="s">
        <v>114</v>
      </c>
      <c r="D35" t="s">
        <v>191</v>
      </c>
      <c r="E35" t="s">
        <v>115</v>
      </c>
      <c r="F35" t="s">
        <v>54</v>
      </c>
      <c r="G35" t="s">
        <v>54</v>
      </c>
      <c r="H35" t="s">
        <v>70</v>
      </c>
      <c r="I35" t="s">
        <v>71</v>
      </c>
      <c r="J35" t="s">
        <v>55</v>
      </c>
      <c r="K35" t="s">
        <v>72</v>
      </c>
      <c r="L35" t="s">
        <v>43</v>
      </c>
      <c r="M35" s="5">
        <v>14.6</v>
      </c>
      <c r="N35">
        <v>1168</v>
      </c>
      <c r="O35" s="4">
        <v>7123.4</v>
      </c>
      <c r="P35" s="4">
        <v>9863.34</v>
      </c>
      <c r="Q35">
        <v>1</v>
      </c>
      <c r="R35">
        <v>0</v>
      </c>
      <c r="S35" t="s">
        <v>44</v>
      </c>
      <c r="T35">
        <v>5</v>
      </c>
      <c r="U35" t="s">
        <v>45</v>
      </c>
      <c r="V35" t="s">
        <v>46</v>
      </c>
    </row>
    <row r="36" spans="1:22">
      <c r="A36" t="s">
        <v>192</v>
      </c>
      <c r="B36" t="s">
        <v>109</v>
      </c>
      <c r="C36" t="s">
        <v>193</v>
      </c>
      <c r="D36" t="s">
        <v>112</v>
      </c>
      <c r="E36" t="s">
        <v>111</v>
      </c>
      <c r="F36" t="s">
        <v>82</v>
      </c>
      <c r="G36" t="s">
        <v>82</v>
      </c>
      <c r="H36" t="s">
        <v>40</v>
      </c>
      <c r="I36" t="s">
        <v>40</v>
      </c>
      <c r="J36" t="s">
        <v>55</v>
      </c>
      <c r="K36" t="s">
        <v>42</v>
      </c>
      <c r="L36" t="s">
        <v>61</v>
      </c>
      <c r="M36" s="5">
        <v>13.7</v>
      </c>
      <c r="N36">
        <v>1760</v>
      </c>
      <c r="O36" s="4">
        <v>6432.5</v>
      </c>
      <c r="P36" s="4">
        <v>11312.02</v>
      </c>
      <c r="Q36">
        <v>3</v>
      </c>
      <c r="R36">
        <v>0</v>
      </c>
      <c r="S36" t="s">
        <v>44</v>
      </c>
      <c r="T36">
        <v>5</v>
      </c>
      <c r="U36" t="s">
        <v>45</v>
      </c>
      <c r="V36" t="s">
        <v>46</v>
      </c>
    </row>
    <row r="37" spans="1:22">
      <c r="A37" t="s">
        <v>194</v>
      </c>
      <c r="B37" t="s">
        <v>59</v>
      </c>
      <c r="C37" t="s">
        <v>59</v>
      </c>
      <c r="D37" t="s">
        <v>195</v>
      </c>
      <c r="E37" t="s">
        <v>196</v>
      </c>
      <c r="F37" t="s">
        <v>40</v>
      </c>
      <c r="G37" t="s">
        <v>40</v>
      </c>
      <c r="H37" t="s">
        <v>52</v>
      </c>
      <c r="I37" t="s">
        <v>53</v>
      </c>
      <c r="J37" t="s">
        <v>55</v>
      </c>
      <c r="K37" t="s">
        <v>42</v>
      </c>
      <c r="L37" t="s">
        <v>118</v>
      </c>
      <c r="M37" s="5">
        <v>9.8000000000000007</v>
      </c>
      <c r="N37">
        <v>1367</v>
      </c>
      <c r="O37" s="4">
        <v>5393.6</v>
      </c>
      <c r="P37" s="4">
        <v>8295.67</v>
      </c>
      <c r="Q37">
        <v>6</v>
      </c>
      <c r="R37">
        <v>1</v>
      </c>
      <c r="S37" t="s">
        <v>56</v>
      </c>
      <c r="T37">
        <v>5</v>
      </c>
      <c r="U37" t="s">
        <v>45</v>
      </c>
      <c r="V37" t="s">
        <v>46</v>
      </c>
    </row>
    <row r="38" spans="1:22">
      <c r="A38" t="s">
        <v>197</v>
      </c>
      <c r="B38" t="s">
        <v>198</v>
      </c>
      <c r="C38" t="s">
        <v>199</v>
      </c>
      <c r="D38" t="s">
        <v>200</v>
      </c>
      <c r="E38" t="s">
        <v>149</v>
      </c>
      <c r="F38" t="s">
        <v>52</v>
      </c>
      <c r="G38" t="s">
        <v>53</v>
      </c>
      <c r="H38" t="s">
        <v>52</v>
      </c>
      <c r="I38" t="s">
        <v>53</v>
      </c>
      <c r="J38" t="s">
        <v>76</v>
      </c>
      <c r="K38" t="s">
        <v>65</v>
      </c>
      <c r="L38" t="s">
        <v>61</v>
      </c>
      <c r="M38" s="5">
        <v>4.3</v>
      </c>
      <c r="N38">
        <v>1111</v>
      </c>
      <c r="O38" s="4">
        <v>4465.3</v>
      </c>
      <c r="P38" s="4">
        <v>6368.86</v>
      </c>
      <c r="Q38">
        <v>9</v>
      </c>
      <c r="R38">
        <v>1</v>
      </c>
      <c r="S38" t="s">
        <v>56</v>
      </c>
      <c r="T38">
        <v>5</v>
      </c>
      <c r="U38" t="s">
        <v>45</v>
      </c>
      <c r="V38" t="s">
        <v>46</v>
      </c>
    </row>
    <row r="39" spans="1:22">
      <c r="A39" t="s">
        <v>201</v>
      </c>
      <c r="B39" t="s">
        <v>51</v>
      </c>
      <c r="C39" t="s">
        <v>51</v>
      </c>
      <c r="D39" t="s">
        <v>202</v>
      </c>
      <c r="E39" t="s">
        <v>202</v>
      </c>
      <c r="F39" t="s">
        <v>82</v>
      </c>
      <c r="G39" t="s">
        <v>82</v>
      </c>
      <c r="H39" t="s">
        <v>52</v>
      </c>
      <c r="I39" t="s">
        <v>53</v>
      </c>
      <c r="J39" t="s">
        <v>141</v>
      </c>
      <c r="K39" t="s">
        <v>42</v>
      </c>
      <c r="L39" t="s">
        <v>77</v>
      </c>
      <c r="M39" s="5">
        <v>17.899999999999999</v>
      </c>
      <c r="N39">
        <v>1249</v>
      </c>
      <c r="O39" s="4">
        <v>5869.7</v>
      </c>
      <c r="P39" s="4">
        <v>8671.42</v>
      </c>
      <c r="Q39">
        <v>5</v>
      </c>
      <c r="R39">
        <v>0</v>
      </c>
      <c r="S39" t="s">
        <v>44</v>
      </c>
      <c r="T39">
        <v>5</v>
      </c>
      <c r="U39" t="s">
        <v>45</v>
      </c>
      <c r="V39" t="s">
        <v>46</v>
      </c>
    </row>
    <row r="40" spans="1:22">
      <c r="A40" t="s">
        <v>203</v>
      </c>
      <c r="B40" t="s">
        <v>204</v>
      </c>
      <c r="C40" t="s">
        <v>37</v>
      </c>
      <c r="D40" t="s">
        <v>205</v>
      </c>
      <c r="E40" t="s">
        <v>206</v>
      </c>
      <c r="F40" t="s">
        <v>70</v>
      </c>
      <c r="G40" t="s">
        <v>71</v>
      </c>
      <c r="H40" t="s">
        <v>40</v>
      </c>
      <c r="I40" t="s">
        <v>40</v>
      </c>
      <c r="J40" t="s">
        <v>55</v>
      </c>
      <c r="K40" t="s">
        <v>72</v>
      </c>
      <c r="L40" t="s">
        <v>118</v>
      </c>
      <c r="M40" s="5">
        <v>2</v>
      </c>
      <c r="N40">
        <v>1144</v>
      </c>
      <c r="O40" s="4">
        <v>6009.2</v>
      </c>
      <c r="P40" s="4">
        <v>7673.86</v>
      </c>
      <c r="Q40">
        <v>1</v>
      </c>
      <c r="R40">
        <v>0</v>
      </c>
      <c r="S40" t="s">
        <v>44</v>
      </c>
      <c r="T40">
        <v>5</v>
      </c>
      <c r="U40" t="s">
        <v>45</v>
      </c>
      <c r="V40" t="s">
        <v>46</v>
      </c>
    </row>
    <row r="41" spans="1:22">
      <c r="A41" t="s">
        <v>207</v>
      </c>
      <c r="B41" t="s">
        <v>208</v>
      </c>
      <c r="C41" t="s">
        <v>93</v>
      </c>
      <c r="D41" t="s">
        <v>209</v>
      </c>
      <c r="E41" t="s">
        <v>210</v>
      </c>
      <c r="F41" t="s">
        <v>52</v>
      </c>
      <c r="G41" t="s">
        <v>53</v>
      </c>
      <c r="H41" t="s">
        <v>52</v>
      </c>
      <c r="I41" t="s">
        <v>53</v>
      </c>
      <c r="J41" t="s">
        <v>141</v>
      </c>
      <c r="K41" t="s">
        <v>65</v>
      </c>
      <c r="L41" t="s">
        <v>87</v>
      </c>
      <c r="M41" s="5">
        <v>10.9</v>
      </c>
      <c r="N41">
        <v>765</v>
      </c>
      <c r="O41" s="4">
        <v>4403.5</v>
      </c>
      <c r="P41" s="4">
        <v>8618.49</v>
      </c>
      <c r="Q41">
        <v>10</v>
      </c>
      <c r="R41">
        <v>2</v>
      </c>
      <c r="S41" t="s">
        <v>56</v>
      </c>
      <c r="T41">
        <v>3</v>
      </c>
      <c r="U41" t="s">
        <v>45</v>
      </c>
      <c r="V41" t="s">
        <v>46</v>
      </c>
    </row>
    <row r="42" spans="1:22">
      <c r="A42" t="s">
        <v>211</v>
      </c>
      <c r="B42" t="s">
        <v>212</v>
      </c>
      <c r="C42" t="s">
        <v>212</v>
      </c>
      <c r="D42" t="s">
        <v>213</v>
      </c>
      <c r="E42" t="s">
        <v>214</v>
      </c>
      <c r="F42" t="s">
        <v>54</v>
      </c>
      <c r="G42" t="s">
        <v>54</v>
      </c>
      <c r="H42" t="s">
        <v>52</v>
      </c>
      <c r="I42" t="s">
        <v>53</v>
      </c>
      <c r="J42" t="s">
        <v>141</v>
      </c>
      <c r="K42" t="s">
        <v>72</v>
      </c>
      <c r="L42" t="s">
        <v>61</v>
      </c>
      <c r="M42" s="5">
        <v>5</v>
      </c>
      <c r="N42">
        <v>1862</v>
      </c>
      <c r="O42" s="4">
        <v>7556.6</v>
      </c>
      <c r="P42" s="4">
        <v>10229.74</v>
      </c>
      <c r="Q42">
        <v>4</v>
      </c>
      <c r="R42">
        <v>2</v>
      </c>
      <c r="S42" t="s">
        <v>56</v>
      </c>
      <c r="T42">
        <v>4</v>
      </c>
      <c r="U42" t="s">
        <v>45</v>
      </c>
      <c r="V42" t="s">
        <v>46</v>
      </c>
    </row>
    <row r="43" spans="1:22">
      <c r="A43" t="s">
        <v>215</v>
      </c>
      <c r="B43" t="s">
        <v>216</v>
      </c>
      <c r="C43" t="s">
        <v>217</v>
      </c>
      <c r="D43" t="s">
        <v>218</v>
      </c>
      <c r="E43" t="s">
        <v>218</v>
      </c>
      <c r="F43" t="s">
        <v>40</v>
      </c>
      <c r="G43" t="s">
        <v>40</v>
      </c>
      <c r="H43" t="s">
        <v>70</v>
      </c>
      <c r="I43" t="s">
        <v>71</v>
      </c>
      <c r="J43" t="s">
        <v>41</v>
      </c>
      <c r="K43" t="s">
        <v>72</v>
      </c>
      <c r="L43" t="s">
        <v>43</v>
      </c>
      <c r="M43" s="5">
        <v>9.5</v>
      </c>
      <c r="N43">
        <v>1970</v>
      </c>
      <c r="O43" s="4">
        <v>8133.5</v>
      </c>
      <c r="P43" s="4">
        <v>10294.379999999999</v>
      </c>
      <c r="Q43">
        <v>2</v>
      </c>
      <c r="R43">
        <v>0</v>
      </c>
      <c r="S43" t="s">
        <v>44</v>
      </c>
      <c r="T43">
        <v>4</v>
      </c>
      <c r="U43" t="s">
        <v>45</v>
      </c>
      <c r="V43" t="s">
        <v>46</v>
      </c>
    </row>
    <row r="44" spans="1:22">
      <c r="A44" t="s">
        <v>219</v>
      </c>
      <c r="B44" t="s">
        <v>59</v>
      </c>
      <c r="C44" t="s">
        <v>60</v>
      </c>
      <c r="D44" t="s">
        <v>196</v>
      </c>
      <c r="E44" t="s">
        <v>196</v>
      </c>
      <c r="F44" t="s">
        <v>70</v>
      </c>
      <c r="G44" t="s">
        <v>71</v>
      </c>
      <c r="H44" t="s">
        <v>40</v>
      </c>
      <c r="I44" t="s">
        <v>40</v>
      </c>
      <c r="J44" t="s">
        <v>55</v>
      </c>
      <c r="K44" t="s">
        <v>42</v>
      </c>
      <c r="L44" t="s">
        <v>61</v>
      </c>
      <c r="M44" s="5">
        <v>10.199999999999999</v>
      </c>
      <c r="N44">
        <v>2031</v>
      </c>
      <c r="O44" s="4">
        <v>6622.8</v>
      </c>
      <c r="P44" s="4">
        <v>9762.66</v>
      </c>
      <c r="Q44">
        <v>5</v>
      </c>
      <c r="R44">
        <v>0</v>
      </c>
      <c r="S44" t="s">
        <v>44</v>
      </c>
      <c r="T44">
        <v>5</v>
      </c>
      <c r="U44" t="s">
        <v>220</v>
      </c>
      <c r="V44" t="s">
        <v>46</v>
      </c>
    </row>
    <row r="45" spans="1:22">
      <c r="A45" t="s">
        <v>221</v>
      </c>
      <c r="B45" t="s">
        <v>222</v>
      </c>
      <c r="C45" t="s">
        <v>223</v>
      </c>
      <c r="D45" t="s">
        <v>174</v>
      </c>
      <c r="E45" t="s">
        <v>224</v>
      </c>
      <c r="F45" t="s">
        <v>54</v>
      </c>
      <c r="G45" t="s">
        <v>54</v>
      </c>
      <c r="H45" t="s">
        <v>54</v>
      </c>
      <c r="I45" t="s">
        <v>54</v>
      </c>
      <c r="J45" t="s">
        <v>41</v>
      </c>
      <c r="K45" t="s">
        <v>65</v>
      </c>
      <c r="L45" t="s">
        <v>61</v>
      </c>
      <c r="M45" s="5">
        <v>17.100000000000001</v>
      </c>
      <c r="N45">
        <v>1579</v>
      </c>
      <c r="O45" s="4">
        <v>6395.7</v>
      </c>
      <c r="P45" s="4">
        <v>12194.58</v>
      </c>
      <c r="Q45">
        <v>5</v>
      </c>
      <c r="R45">
        <v>0</v>
      </c>
      <c r="S45" t="s">
        <v>44</v>
      </c>
      <c r="T45">
        <v>5</v>
      </c>
      <c r="U45" t="s">
        <v>45</v>
      </c>
      <c r="V45" t="s">
        <v>46</v>
      </c>
    </row>
    <row r="46" spans="1:22">
      <c r="A46" t="s">
        <v>225</v>
      </c>
      <c r="B46" t="s">
        <v>226</v>
      </c>
      <c r="C46" t="s">
        <v>69</v>
      </c>
      <c r="D46" t="s">
        <v>223</v>
      </c>
      <c r="E46" t="s">
        <v>227</v>
      </c>
      <c r="F46" t="s">
        <v>54</v>
      </c>
      <c r="G46" t="s">
        <v>54</v>
      </c>
      <c r="H46" t="s">
        <v>40</v>
      </c>
      <c r="I46" t="s">
        <v>40</v>
      </c>
      <c r="J46" t="s">
        <v>41</v>
      </c>
      <c r="K46" t="s">
        <v>65</v>
      </c>
      <c r="L46" t="s">
        <v>43</v>
      </c>
      <c r="M46" s="5">
        <v>7.6</v>
      </c>
      <c r="N46">
        <v>515</v>
      </c>
      <c r="O46" s="4">
        <v>3673</v>
      </c>
      <c r="P46" s="4">
        <v>4963.95</v>
      </c>
      <c r="Q46">
        <v>9</v>
      </c>
      <c r="R46">
        <v>1</v>
      </c>
      <c r="S46" t="s">
        <v>56</v>
      </c>
      <c r="T46">
        <v>5</v>
      </c>
      <c r="U46" t="s">
        <v>45</v>
      </c>
      <c r="V46" t="s">
        <v>46</v>
      </c>
    </row>
    <row r="47" spans="1:22">
      <c r="A47" t="s">
        <v>228</v>
      </c>
      <c r="B47" t="s">
        <v>229</v>
      </c>
      <c r="C47" t="s">
        <v>230</v>
      </c>
      <c r="D47" t="s">
        <v>231</v>
      </c>
      <c r="E47" t="s">
        <v>232</v>
      </c>
      <c r="F47" t="s">
        <v>82</v>
      </c>
      <c r="G47" t="s">
        <v>82</v>
      </c>
      <c r="H47" t="s">
        <v>82</v>
      </c>
      <c r="I47" t="s">
        <v>82</v>
      </c>
      <c r="J47" t="s">
        <v>141</v>
      </c>
      <c r="K47" t="s">
        <v>42</v>
      </c>
      <c r="L47" t="s">
        <v>118</v>
      </c>
      <c r="M47" s="5">
        <v>9.9</v>
      </c>
      <c r="N47">
        <v>217</v>
      </c>
      <c r="O47" s="4">
        <v>3332.1</v>
      </c>
      <c r="P47" s="4">
        <v>5260.31</v>
      </c>
      <c r="Q47">
        <v>3</v>
      </c>
      <c r="R47">
        <v>0</v>
      </c>
      <c r="S47" t="s">
        <v>44</v>
      </c>
      <c r="T47">
        <v>5</v>
      </c>
      <c r="U47" t="s">
        <v>45</v>
      </c>
      <c r="V47" t="s">
        <v>46</v>
      </c>
    </row>
    <row r="48" spans="1:22">
      <c r="A48" t="s">
        <v>233</v>
      </c>
      <c r="B48" t="s">
        <v>234</v>
      </c>
      <c r="C48" t="s">
        <v>122</v>
      </c>
      <c r="D48" t="s">
        <v>235</v>
      </c>
      <c r="E48" t="s">
        <v>236</v>
      </c>
      <c r="F48" t="s">
        <v>82</v>
      </c>
      <c r="G48" t="s">
        <v>82</v>
      </c>
      <c r="H48" t="s">
        <v>70</v>
      </c>
      <c r="I48" t="s">
        <v>71</v>
      </c>
      <c r="J48" t="s">
        <v>76</v>
      </c>
      <c r="K48" t="s">
        <v>42</v>
      </c>
      <c r="L48" t="s">
        <v>77</v>
      </c>
      <c r="M48" s="5">
        <v>1.2</v>
      </c>
      <c r="N48">
        <v>1461</v>
      </c>
      <c r="O48" s="4">
        <v>4831.8</v>
      </c>
      <c r="P48" s="4">
        <v>8611.56</v>
      </c>
      <c r="Q48">
        <v>2</v>
      </c>
      <c r="R48">
        <v>0</v>
      </c>
      <c r="S48" t="s">
        <v>44</v>
      </c>
      <c r="T48">
        <v>5</v>
      </c>
      <c r="U48" t="s">
        <v>45</v>
      </c>
      <c r="V48" t="s">
        <v>46</v>
      </c>
    </row>
    <row r="49" spans="1:22">
      <c r="A49" t="s">
        <v>237</v>
      </c>
      <c r="B49" t="s">
        <v>238</v>
      </c>
      <c r="C49" t="s">
        <v>170</v>
      </c>
      <c r="D49" t="s">
        <v>239</v>
      </c>
      <c r="E49" t="s">
        <v>240</v>
      </c>
      <c r="F49" t="s">
        <v>54</v>
      </c>
      <c r="G49" t="s">
        <v>54</v>
      </c>
      <c r="H49" t="s">
        <v>40</v>
      </c>
      <c r="I49" t="s">
        <v>40</v>
      </c>
      <c r="J49" t="s">
        <v>141</v>
      </c>
      <c r="K49" t="s">
        <v>42</v>
      </c>
      <c r="L49" t="s">
        <v>87</v>
      </c>
      <c r="M49" s="5">
        <v>18.100000000000001</v>
      </c>
      <c r="N49">
        <v>321</v>
      </c>
      <c r="O49" s="4">
        <v>4216.3</v>
      </c>
      <c r="P49" s="4">
        <v>7562.52</v>
      </c>
      <c r="Q49">
        <v>6</v>
      </c>
      <c r="R49">
        <v>1</v>
      </c>
      <c r="S49" t="s">
        <v>56</v>
      </c>
      <c r="T49">
        <v>5</v>
      </c>
      <c r="U49" t="s">
        <v>45</v>
      </c>
      <c r="V49" t="s">
        <v>46</v>
      </c>
    </row>
    <row r="50" spans="1:22">
      <c r="A50" t="s">
        <v>241</v>
      </c>
      <c r="B50" t="s">
        <v>242</v>
      </c>
      <c r="C50" t="s">
        <v>242</v>
      </c>
      <c r="D50" t="s">
        <v>243</v>
      </c>
      <c r="E50" t="s">
        <v>243</v>
      </c>
      <c r="F50" t="s">
        <v>70</v>
      </c>
      <c r="G50" t="s">
        <v>71</v>
      </c>
      <c r="H50" t="s">
        <v>70</v>
      </c>
      <c r="I50" t="s">
        <v>71</v>
      </c>
      <c r="J50" t="s">
        <v>41</v>
      </c>
      <c r="K50" t="s">
        <v>42</v>
      </c>
      <c r="L50" t="s">
        <v>61</v>
      </c>
      <c r="M50" s="5">
        <v>17.2</v>
      </c>
      <c r="N50">
        <v>1420</v>
      </c>
      <c r="O50" s="4">
        <v>6118</v>
      </c>
      <c r="P50" s="4">
        <v>10689.98</v>
      </c>
      <c r="Q50">
        <v>5</v>
      </c>
      <c r="R50">
        <v>0</v>
      </c>
      <c r="S50" t="s">
        <v>44</v>
      </c>
      <c r="T50">
        <v>5</v>
      </c>
      <c r="U50" t="s">
        <v>45</v>
      </c>
      <c r="V50" t="s">
        <v>46</v>
      </c>
    </row>
    <row r="51" spans="1:22">
      <c r="A51" t="s">
        <v>244</v>
      </c>
      <c r="B51" t="s">
        <v>245</v>
      </c>
      <c r="C51" t="s">
        <v>245</v>
      </c>
      <c r="D51" t="s">
        <v>246</v>
      </c>
      <c r="E51" t="s">
        <v>247</v>
      </c>
      <c r="F51" t="s">
        <v>82</v>
      </c>
      <c r="G51" t="s">
        <v>82</v>
      </c>
      <c r="H51" t="s">
        <v>82</v>
      </c>
      <c r="I51" t="s">
        <v>82</v>
      </c>
      <c r="J51" t="s">
        <v>141</v>
      </c>
      <c r="K51" t="s">
        <v>65</v>
      </c>
      <c r="L51" t="s">
        <v>87</v>
      </c>
      <c r="M51" s="5">
        <v>15.3</v>
      </c>
      <c r="N51">
        <v>357</v>
      </c>
      <c r="O51" s="4">
        <v>4043.1</v>
      </c>
      <c r="P51" s="4">
        <v>8482.09</v>
      </c>
      <c r="Q51">
        <v>10</v>
      </c>
      <c r="R51">
        <v>2</v>
      </c>
      <c r="S51" t="s">
        <v>56</v>
      </c>
      <c r="T51">
        <v>4</v>
      </c>
      <c r="U51" t="s">
        <v>45</v>
      </c>
      <c r="V51" t="s">
        <v>46</v>
      </c>
    </row>
    <row r="52" spans="1:22">
      <c r="A52" t="s">
        <v>248</v>
      </c>
      <c r="B52" t="s">
        <v>249</v>
      </c>
      <c r="C52" t="s">
        <v>249</v>
      </c>
      <c r="D52" t="s">
        <v>204</v>
      </c>
      <c r="E52" t="s">
        <v>204</v>
      </c>
      <c r="F52" t="s">
        <v>70</v>
      </c>
      <c r="G52" t="s">
        <v>71</v>
      </c>
      <c r="H52" t="s">
        <v>82</v>
      </c>
      <c r="I52" t="s">
        <v>82</v>
      </c>
      <c r="J52" t="s">
        <v>55</v>
      </c>
      <c r="K52" t="s">
        <v>72</v>
      </c>
      <c r="L52" t="s">
        <v>61</v>
      </c>
      <c r="M52" s="5">
        <v>9.5</v>
      </c>
      <c r="N52">
        <v>2146</v>
      </c>
      <c r="O52" s="4">
        <v>8450.2999999999993</v>
      </c>
      <c r="P52" s="4">
        <v>11610.22</v>
      </c>
      <c r="Q52">
        <v>2</v>
      </c>
      <c r="R52">
        <v>0</v>
      </c>
      <c r="S52" t="s">
        <v>44</v>
      </c>
      <c r="T52">
        <v>4</v>
      </c>
      <c r="U52" t="s">
        <v>45</v>
      </c>
      <c r="V52" t="s">
        <v>46</v>
      </c>
    </row>
    <row r="53" spans="1:22">
      <c r="A53" t="s">
        <v>250</v>
      </c>
      <c r="B53" t="s">
        <v>251</v>
      </c>
      <c r="C53" t="s">
        <v>252</v>
      </c>
      <c r="D53" t="s">
        <v>147</v>
      </c>
      <c r="E53" t="s">
        <v>110</v>
      </c>
      <c r="F53" t="s">
        <v>54</v>
      </c>
      <c r="G53" t="s">
        <v>54</v>
      </c>
      <c r="H53" t="s">
        <v>54</v>
      </c>
      <c r="I53" t="s">
        <v>54</v>
      </c>
      <c r="J53" t="s">
        <v>55</v>
      </c>
      <c r="K53" t="s">
        <v>42</v>
      </c>
      <c r="L53" t="s">
        <v>87</v>
      </c>
      <c r="M53" s="5">
        <v>6</v>
      </c>
      <c r="N53">
        <v>733</v>
      </c>
      <c r="O53" s="4">
        <v>3929.4</v>
      </c>
      <c r="P53" s="4">
        <v>7904.75</v>
      </c>
      <c r="Q53">
        <v>4</v>
      </c>
      <c r="R53">
        <v>0</v>
      </c>
      <c r="S53" t="s">
        <v>44</v>
      </c>
      <c r="T53">
        <v>5</v>
      </c>
      <c r="U53" t="s">
        <v>45</v>
      </c>
      <c r="V53" t="s">
        <v>46</v>
      </c>
    </row>
    <row r="54" spans="1:22">
      <c r="A54" t="s">
        <v>253</v>
      </c>
      <c r="B54" t="s">
        <v>254</v>
      </c>
      <c r="C54" t="s">
        <v>255</v>
      </c>
      <c r="D54" t="s">
        <v>134</v>
      </c>
      <c r="E54" t="s">
        <v>136</v>
      </c>
      <c r="F54" t="s">
        <v>40</v>
      </c>
      <c r="G54" t="s">
        <v>40</v>
      </c>
      <c r="H54" t="s">
        <v>70</v>
      </c>
      <c r="I54" t="s">
        <v>71</v>
      </c>
      <c r="J54" t="s">
        <v>141</v>
      </c>
      <c r="K54" t="s">
        <v>65</v>
      </c>
      <c r="L54" t="s">
        <v>87</v>
      </c>
      <c r="M54" s="5">
        <v>8.1999999999999993</v>
      </c>
      <c r="N54">
        <v>1918</v>
      </c>
      <c r="O54" s="4">
        <v>6249.4</v>
      </c>
      <c r="P54" s="4">
        <v>11812.1</v>
      </c>
      <c r="Q54">
        <v>9</v>
      </c>
      <c r="R54">
        <v>1</v>
      </c>
      <c r="S54" t="s">
        <v>56</v>
      </c>
      <c r="T54">
        <v>5</v>
      </c>
      <c r="U54" t="s">
        <v>45</v>
      </c>
      <c r="V54" t="s">
        <v>46</v>
      </c>
    </row>
    <row r="55" spans="1:22">
      <c r="A55" t="s">
        <v>256</v>
      </c>
      <c r="B55" t="s">
        <v>257</v>
      </c>
      <c r="C55" t="s">
        <v>105</v>
      </c>
      <c r="D55" t="s">
        <v>93</v>
      </c>
      <c r="E55" t="s">
        <v>93</v>
      </c>
      <c r="F55" t="s">
        <v>40</v>
      </c>
      <c r="G55" t="s">
        <v>40</v>
      </c>
      <c r="H55" t="s">
        <v>70</v>
      </c>
      <c r="I55" t="s">
        <v>71</v>
      </c>
      <c r="J55" t="s">
        <v>141</v>
      </c>
      <c r="K55" t="s">
        <v>42</v>
      </c>
      <c r="L55" t="s">
        <v>43</v>
      </c>
      <c r="M55" s="5">
        <v>1.7</v>
      </c>
      <c r="N55">
        <v>1876</v>
      </c>
      <c r="O55" s="4">
        <v>5621.3</v>
      </c>
      <c r="P55" s="4">
        <v>9555.4599999999991</v>
      </c>
      <c r="Q55">
        <v>5</v>
      </c>
      <c r="R55">
        <v>0</v>
      </c>
      <c r="S55" t="s">
        <v>44</v>
      </c>
      <c r="T55">
        <v>5</v>
      </c>
      <c r="U55" t="s">
        <v>45</v>
      </c>
      <c r="V55" t="s">
        <v>46</v>
      </c>
    </row>
    <row r="56" spans="1:22">
      <c r="A56" t="s">
        <v>258</v>
      </c>
      <c r="B56" t="s">
        <v>259</v>
      </c>
      <c r="C56" t="s">
        <v>259</v>
      </c>
      <c r="D56" t="s">
        <v>260</v>
      </c>
      <c r="E56" t="s">
        <v>261</v>
      </c>
      <c r="F56" t="s">
        <v>52</v>
      </c>
      <c r="G56" t="s">
        <v>53</v>
      </c>
      <c r="H56" t="s">
        <v>82</v>
      </c>
      <c r="I56" t="s">
        <v>82</v>
      </c>
      <c r="J56" t="s">
        <v>141</v>
      </c>
      <c r="K56" t="s">
        <v>42</v>
      </c>
      <c r="L56" t="s">
        <v>118</v>
      </c>
      <c r="M56" s="5">
        <v>1.1000000000000001</v>
      </c>
      <c r="N56">
        <v>326</v>
      </c>
      <c r="O56" s="4">
        <v>2780.3</v>
      </c>
      <c r="P56" s="4">
        <v>5596.42</v>
      </c>
      <c r="Q56">
        <v>8</v>
      </c>
      <c r="R56">
        <v>3</v>
      </c>
      <c r="S56" t="s">
        <v>56</v>
      </c>
      <c r="T56">
        <v>4</v>
      </c>
      <c r="U56" t="s">
        <v>45</v>
      </c>
      <c r="V56" t="s">
        <v>46</v>
      </c>
    </row>
    <row r="57" spans="1:22">
      <c r="A57" t="s">
        <v>262</v>
      </c>
      <c r="B57" t="s">
        <v>263</v>
      </c>
      <c r="C57" t="s">
        <v>264</v>
      </c>
      <c r="D57" t="s">
        <v>265</v>
      </c>
      <c r="E57" t="s">
        <v>266</v>
      </c>
      <c r="F57" t="s">
        <v>40</v>
      </c>
      <c r="G57" t="s">
        <v>40</v>
      </c>
      <c r="H57" t="s">
        <v>40</v>
      </c>
      <c r="I57" t="s">
        <v>40</v>
      </c>
      <c r="J57" t="s">
        <v>141</v>
      </c>
      <c r="K57" t="s">
        <v>65</v>
      </c>
      <c r="L57" t="s">
        <v>118</v>
      </c>
      <c r="M57" s="5">
        <v>10.1</v>
      </c>
      <c r="N57">
        <v>832</v>
      </c>
      <c r="O57" s="4">
        <v>4456.1000000000004</v>
      </c>
      <c r="P57" s="4">
        <v>6472.67</v>
      </c>
      <c r="Q57">
        <v>9</v>
      </c>
      <c r="R57">
        <v>1</v>
      </c>
      <c r="S57" t="s">
        <v>56</v>
      </c>
      <c r="T57">
        <v>5</v>
      </c>
      <c r="U57" t="s">
        <v>45</v>
      </c>
      <c r="V57" t="s">
        <v>46</v>
      </c>
    </row>
    <row r="58" spans="1:22">
      <c r="A58" t="s">
        <v>267</v>
      </c>
      <c r="B58" t="s">
        <v>268</v>
      </c>
      <c r="C58" t="s">
        <v>269</v>
      </c>
      <c r="D58" t="s">
        <v>270</v>
      </c>
      <c r="E58" t="s">
        <v>271</v>
      </c>
      <c r="F58" t="s">
        <v>82</v>
      </c>
      <c r="G58" t="s">
        <v>82</v>
      </c>
      <c r="H58" t="s">
        <v>82</v>
      </c>
      <c r="I58" t="s">
        <v>82</v>
      </c>
      <c r="J58" t="s">
        <v>41</v>
      </c>
      <c r="K58" t="s">
        <v>42</v>
      </c>
      <c r="L58" t="s">
        <v>87</v>
      </c>
      <c r="M58" s="5">
        <v>7.2</v>
      </c>
      <c r="N58">
        <v>442</v>
      </c>
      <c r="O58" s="4">
        <v>3507.6</v>
      </c>
      <c r="P58" s="4">
        <v>4449.13</v>
      </c>
      <c r="Q58">
        <v>6</v>
      </c>
      <c r="R58">
        <v>1</v>
      </c>
      <c r="S58" t="s">
        <v>56</v>
      </c>
      <c r="T58">
        <v>5</v>
      </c>
      <c r="U58" t="s">
        <v>45</v>
      </c>
      <c r="V58" t="s">
        <v>46</v>
      </c>
    </row>
    <row r="59" spans="1:22">
      <c r="A59" t="s">
        <v>272</v>
      </c>
      <c r="B59" t="s">
        <v>273</v>
      </c>
      <c r="C59" t="s">
        <v>274</v>
      </c>
      <c r="D59" t="s">
        <v>275</v>
      </c>
      <c r="E59" t="s">
        <v>276</v>
      </c>
      <c r="F59" t="s">
        <v>52</v>
      </c>
      <c r="G59" t="s">
        <v>53</v>
      </c>
      <c r="H59" t="s">
        <v>52</v>
      </c>
      <c r="I59" t="s">
        <v>53</v>
      </c>
      <c r="J59" t="s">
        <v>41</v>
      </c>
      <c r="K59" t="s">
        <v>42</v>
      </c>
      <c r="L59" t="s">
        <v>43</v>
      </c>
      <c r="M59" s="5">
        <v>17.899999999999999</v>
      </c>
      <c r="N59">
        <v>223</v>
      </c>
      <c r="O59" s="4">
        <v>4022.9</v>
      </c>
      <c r="P59" s="4">
        <v>7002.89</v>
      </c>
      <c r="Q59">
        <v>3</v>
      </c>
      <c r="R59">
        <v>0</v>
      </c>
      <c r="S59" t="s">
        <v>44</v>
      </c>
      <c r="T59">
        <v>5</v>
      </c>
      <c r="U59" t="s">
        <v>45</v>
      </c>
      <c r="V59" t="s">
        <v>46</v>
      </c>
    </row>
    <row r="60" spans="1:22">
      <c r="A60" t="s">
        <v>277</v>
      </c>
      <c r="B60" t="s">
        <v>254</v>
      </c>
      <c r="C60" t="s">
        <v>255</v>
      </c>
      <c r="D60" t="s">
        <v>278</v>
      </c>
      <c r="E60" t="s">
        <v>279</v>
      </c>
      <c r="F60" t="s">
        <v>70</v>
      </c>
      <c r="G60" t="s">
        <v>71</v>
      </c>
      <c r="H60" t="s">
        <v>54</v>
      </c>
      <c r="I60" t="s">
        <v>54</v>
      </c>
      <c r="J60" t="s">
        <v>76</v>
      </c>
      <c r="K60" t="s">
        <v>72</v>
      </c>
      <c r="L60" t="s">
        <v>77</v>
      </c>
      <c r="M60" s="5">
        <v>3.9</v>
      </c>
      <c r="N60">
        <v>1607</v>
      </c>
      <c r="O60" s="4">
        <v>7004.1</v>
      </c>
      <c r="P60" s="4">
        <v>14552.27</v>
      </c>
      <c r="Q60">
        <v>4</v>
      </c>
      <c r="R60">
        <v>2</v>
      </c>
      <c r="S60" t="s">
        <v>56</v>
      </c>
      <c r="T60">
        <v>4</v>
      </c>
      <c r="U60" t="s">
        <v>45</v>
      </c>
      <c r="V60" t="s">
        <v>46</v>
      </c>
    </row>
    <row r="61" spans="1:22">
      <c r="A61" t="s">
        <v>280</v>
      </c>
      <c r="B61" t="s">
        <v>281</v>
      </c>
      <c r="C61" t="s">
        <v>282</v>
      </c>
      <c r="D61" t="s">
        <v>260</v>
      </c>
      <c r="E61" t="s">
        <v>283</v>
      </c>
      <c r="F61" t="s">
        <v>82</v>
      </c>
      <c r="G61" t="s">
        <v>82</v>
      </c>
      <c r="H61" t="s">
        <v>52</v>
      </c>
      <c r="I61" t="s">
        <v>53</v>
      </c>
      <c r="J61" t="s">
        <v>55</v>
      </c>
      <c r="K61" t="s">
        <v>72</v>
      </c>
      <c r="L61" t="s">
        <v>77</v>
      </c>
      <c r="M61" s="5">
        <v>4.0999999999999996</v>
      </c>
      <c r="N61">
        <v>1675</v>
      </c>
      <c r="O61" s="4">
        <v>7143.5</v>
      </c>
      <c r="P61" s="4">
        <v>8937.17</v>
      </c>
      <c r="Q61">
        <v>3</v>
      </c>
      <c r="R61">
        <v>1</v>
      </c>
      <c r="S61" t="s">
        <v>56</v>
      </c>
      <c r="T61">
        <v>4</v>
      </c>
      <c r="U61" t="s">
        <v>45</v>
      </c>
      <c r="V61" t="s">
        <v>46</v>
      </c>
    </row>
    <row r="62" spans="1:22">
      <c r="A62" t="s">
        <v>284</v>
      </c>
      <c r="B62" t="s">
        <v>134</v>
      </c>
      <c r="C62" t="s">
        <v>135</v>
      </c>
      <c r="D62" t="s">
        <v>231</v>
      </c>
      <c r="E62" t="s">
        <v>285</v>
      </c>
      <c r="F62" t="s">
        <v>52</v>
      </c>
      <c r="G62" t="s">
        <v>53</v>
      </c>
      <c r="H62" t="s">
        <v>52</v>
      </c>
      <c r="I62" t="s">
        <v>53</v>
      </c>
      <c r="J62" t="s">
        <v>55</v>
      </c>
      <c r="K62" t="s">
        <v>65</v>
      </c>
      <c r="L62" t="s">
        <v>43</v>
      </c>
      <c r="M62" s="5">
        <v>16.399999999999999</v>
      </c>
      <c r="N62">
        <v>319</v>
      </c>
      <c r="O62" s="4">
        <v>4068.2</v>
      </c>
      <c r="P62" s="4">
        <v>7843.51</v>
      </c>
      <c r="Q62">
        <v>10</v>
      </c>
      <c r="R62">
        <v>2</v>
      </c>
      <c r="S62" t="s">
        <v>56</v>
      </c>
      <c r="T62">
        <v>4</v>
      </c>
      <c r="U62" t="s">
        <v>45</v>
      </c>
      <c r="V62" t="s">
        <v>46</v>
      </c>
    </row>
    <row r="63" spans="1:22">
      <c r="A63" t="s">
        <v>286</v>
      </c>
      <c r="B63" t="s">
        <v>259</v>
      </c>
      <c r="C63" t="s">
        <v>259</v>
      </c>
      <c r="D63" t="s">
        <v>287</v>
      </c>
      <c r="E63" t="s">
        <v>282</v>
      </c>
      <c r="F63" t="s">
        <v>40</v>
      </c>
      <c r="G63" t="s">
        <v>40</v>
      </c>
      <c r="H63" t="s">
        <v>52</v>
      </c>
      <c r="I63" t="s">
        <v>53</v>
      </c>
      <c r="J63" t="s">
        <v>41</v>
      </c>
      <c r="K63" t="s">
        <v>72</v>
      </c>
      <c r="L63" t="s">
        <v>43</v>
      </c>
      <c r="M63" s="5">
        <v>5.2</v>
      </c>
      <c r="N63">
        <v>376</v>
      </c>
      <c r="O63" s="4">
        <v>4898.8</v>
      </c>
      <c r="P63" s="4">
        <v>10014.299999999999</v>
      </c>
      <c r="Q63">
        <v>3</v>
      </c>
      <c r="R63">
        <v>1</v>
      </c>
      <c r="S63" t="s">
        <v>56</v>
      </c>
      <c r="T63">
        <v>5</v>
      </c>
      <c r="U63" t="s">
        <v>45</v>
      </c>
      <c r="V63" t="s">
        <v>46</v>
      </c>
    </row>
    <row r="64" spans="1:22">
      <c r="A64" t="s">
        <v>288</v>
      </c>
      <c r="B64" t="s">
        <v>91</v>
      </c>
      <c r="C64" t="s">
        <v>289</v>
      </c>
      <c r="D64" t="s">
        <v>290</v>
      </c>
      <c r="E64" t="s">
        <v>291</v>
      </c>
      <c r="F64" t="s">
        <v>54</v>
      </c>
      <c r="G64" t="s">
        <v>54</v>
      </c>
      <c r="H64" t="s">
        <v>52</v>
      </c>
      <c r="I64" t="s">
        <v>53</v>
      </c>
      <c r="J64" t="s">
        <v>55</v>
      </c>
      <c r="K64" t="s">
        <v>65</v>
      </c>
      <c r="L64" t="s">
        <v>87</v>
      </c>
      <c r="M64" s="5">
        <v>16.2</v>
      </c>
      <c r="N64">
        <v>1171</v>
      </c>
      <c r="O64" s="4">
        <v>5584.8</v>
      </c>
      <c r="P64" s="4">
        <v>7968.86</v>
      </c>
      <c r="Q64">
        <v>9</v>
      </c>
      <c r="R64">
        <v>1</v>
      </c>
      <c r="S64" t="s">
        <v>56</v>
      </c>
      <c r="T64">
        <v>5</v>
      </c>
      <c r="U64" t="s">
        <v>45</v>
      </c>
      <c r="V64" t="s">
        <v>46</v>
      </c>
    </row>
    <row r="65" spans="1:22">
      <c r="A65" t="s">
        <v>292</v>
      </c>
      <c r="B65" t="s">
        <v>293</v>
      </c>
      <c r="C65" t="s">
        <v>293</v>
      </c>
      <c r="D65" t="s">
        <v>294</v>
      </c>
      <c r="E65" t="s">
        <v>295</v>
      </c>
      <c r="F65" t="s">
        <v>54</v>
      </c>
      <c r="G65" t="s">
        <v>54</v>
      </c>
      <c r="H65" t="s">
        <v>52</v>
      </c>
      <c r="I65" t="s">
        <v>53</v>
      </c>
      <c r="J65" t="s">
        <v>55</v>
      </c>
      <c r="K65" t="s">
        <v>72</v>
      </c>
      <c r="L65" t="s">
        <v>77</v>
      </c>
      <c r="M65" s="5">
        <v>9.6</v>
      </c>
      <c r="N65">
        <v>2025</v>
      </c>
      <c r="O65" s="4">
        <v>8241</v>
      </c>
      <c r="P65" s="4">
        <v>12408.17</v>
      </c>
      <c r="Q65">
        <v>1</v>
      </c>
      <c r="R65">
        <v>0</v>
      </c>
      <c r="S65" t="s">
        <v>44</v>
      </c>
      <c r="T65">
        <v>5</v>
      </c>
      <c r="U65" t="s">
        <v>220</v>
      </c>
      <c r="V65" t="s">
        <v>46</v>
      </c>
    </row>
    <row r="66" spans="1:22">
      <c r="A66" t="s">
        <v>296</v>
      </c>
      <c r="B66" t="s">
        <v>218</v>
      </c>
      <c r="C66" t="s">
        <v>218</v>
      </c>
      <c r="D66" t="s">
        <v>58</v>
      </c>
      <c r="E66" t="s">
        <v>297</v>
      </c>
      <c r="F66" t="s">
        <v>40</v>
      </c>
      <c r="G66" t="s">
        <v>40</v>
      </c>
      <c r="H66" t="s">
        <v>52</v>
      </c>
      <c r="I66" t="s">
        <v>53</v>
      </c>
      <c r="J66" t="s">
        <v>55</v>
      </c>
      <c r="K66" t="s">
        <v>42</v>
      </c>
      <c r="L66" t="s">
        <v>118</v>
      </c>
      <c r="M66" s="5">
        <v>14.5</v>
      </c>
      <c r="N66">
        <v>411</v>
      </c>
      <c r="O66" s="4">
        <v>4072.3</v>
      </c>
      <c r="P66" s="4">
        <v>5556.36</v>
      </c>
      <c r="Q66">
        <v>3</v>
      </c>
      <c r="R66">
        <v>0</v>
      </c>
      <c r="S66" t="s">
        <v>44</v>
      </c>
      <c r="T66">
        <v>5</v>
      </c>
      <c r="U66" t="s">
        <v>45</v>
      </c>
      <c r="V66" t="s">
        <v>46</v>
      </c>
    </row>
    <row r="67" spans="1:22">
      <c r="A67" t="s">
        <v>298</v>
      </c>
      <c r="B67" t="s">
        <v>299</v>
      </c>
      <c r="C67" t="s">
        <v>139</v>
      </c>
      <c r="D67" t="s">
        <v>300</v>
      </c>
      <c r="E67" t="s">
        <v>301</v>
      </c>
      <c r="F67" t="s">
        <v>70</v>
      </c>
      <c r="G67" t="s">
        <v>71</v>
      </c>
      <c r="H67" t="s">
        <v>82</v>
      </c>
      <c r="I67" t="s">
        <v>82</v>
      </c>
      <c r="J67" t="s">
        <v>141</v>
      </c>
      <c r="K67" t="s">
        <v>72</v>
      </c>
      <c r="L67" t="s">
        <v>87</v>
      </c>
      <c r="M67" s="5">
        <v>7.9</v>
      </c>
      <c r="N67">
        <v>342</v>
      </c>
      <c r="O67" s="4">
        <v>5067.1000000000004</v>
      </c>
      <c r="P67" s="4">
        <v>8434.06</v>
      </c>
      <c r="Q67">
        <v>1</v>
      </c>
      <c r="R67">
        <v>0</v>
      </c>
      <c r="S67" t="s">
        <v>44</v>
      </c>
      <c r="T67">
        <v>5</v>
      </c>
      <c r="U67" t="s">
        <v>45</v>
      </c>
      <c r="V67" t="s">
        <v>46</v>
      </c>
    </row>
    <row r="68" spans="1:22">
      <c r="A68" t="s">
        <v>302</v>
      </c>
      <c r="B68" t="s">
        <v>303</v>
      </c>
      <c r="C68" t="s">
        <v>303</v>
      </c>
      <c r="D68" t="s">
        <v>304</v>
      </c>
      <c r="E68" t="s">
        <v>305</v>
      </c>
      <c r="F68" t="s">
        <v>40</v>
      </c>
      <c r="G68" t="s">
        <v>40</v>
      </c>
      <c r="H68" t="s">
        <v>70</v>
      </c>
      <c r="I68" t="s">
        <v>71</v>
      </c>
      <c r="J68" t="s">
        <v>55</v>
      </c>
      <c r="K68" t="s">
        <v>42</v>
      </c>
      <c r="L68" t="s">
        <v>43</v>
      </c>
      <c r="M68" s="5">
        <v>0.3</v>
      </c>
      <c r="N68">
        <v>2013</v>
      </c>
      <c r="O68" s="4">
        <v>5748.9</v>
      </c>
      <c r="P68" s="4">
        <v>7403.65</v>
      </c>
      <c r="Q68">
        <v>7</v>
      </c>
      <c r="R68">
        <v>2</v>
      </c>
      <c r="S68" t="s">
        <v>56</v>
      </c>
      <c r="T68">
        <v>4</v>
      </c>
      <c r="U68" t="s">
        <v>45</v>
      </c>
      <c r="V68" t="s">
        <v>46</v>
      </c>
    </row>
    <row r="69" spans="1:22">
      <c r="A69" t="s">
        <v>306</v>
      </c>
      <c r="B69" t="s">
        <v>307</v>
      </c>
      <c r="C69" t="s">
        <v>307</v>
      </c>
      <c r="D69" t="s">
        <v>67</v>
      </c>
      <c r="E69" t="s">
        <v>271</v>
      </c>
      <c r="F69" t="s">
        <v>70</v>
      </c>
      <c r="G69" t="s">
        <v>71</v>
      </c>
      <c r="H69" t="s">
        <v>52</v>
      </c>
      <c r="I69" t="s">
        <v>53</v>
      </c>
      <c r="J69" t="s">
        <v>41</v>
      </c>
      <c r="K69" t="s">
        <v>42</v>
      </c>
      <c r="L69" t="s">
        <v>61</v>
      </c>
      <c r="M69" s="5">
        <v>1.2</v>
      </c>
      <c r="N69">
        <v>1535</v>
      </c>
      <c r="O69" s="4">
        <v>4965</v>
      </c>
      <c r="P69" s="4">
        <v>9320.1</v>
      </c>
      <c r="Q69">
        <v>3</v>
      </c>
      <c r="R69">
        <v>0</v>
      </c>
      <c r="S69" t="s">
        <v>44</v>
      </c>
      <c r="T69">
        <v>5</v>
      </c>
      <c r="U69" t="s">
        <v>45</v>
      </c>
      <c r="V69" t="s">
        <v>46</v>
      </c>
    </row>
    <row r="70" spans="1:22">
      <c r="A70" t="s">
        <v>308</v>
      </c>
      <c r="B70" t="s">
        <v>309</v>
      </c>
      <c r="C70" t="s">
        <v>309</v>
      </c>
      <c r="D70" t="s">
        <v>193</v>
      </c>
      <c r="E70" t="s">
        <v>109</v>
      </c>
      <c r="F70" t="s">
        <v>82</v>
      </c>
      <c r="G70" t="s">
        <v>82</v>
      </c>
      <c r="H70" t="s">
        <v>82</v>
      </c>
      <c r="I70" t="s">
        <v>82</v>
      </c>
      <c r="J70" t="s">
        <v>76</v>
      </c>
      <c r="K70" t="s">
        <v>72</v>
      </c>
      <c r="L70" t="s">
        <v>77</v>
      </c>
      <c r="M70" s="5">
        <v>13.5</v>
      </c>
      <c r="N70">
        <v>1759</v>
      </c>
      <c r="O70" s="4">
        <v>8093.7</v>
      </c>
      <c r="P70" s="4">
        <v>14800.91</v>
      </c>
      <c r="Q70">
        <v>1</v>
      </c>
      <c r="R70">
        <v>0</v>
      </c>
      <c r="S70" t="s">
        <v>44</v>
      </c>
      <c r="T70">
        <v>5</v>
      </c>
      <c r="U70" t="s">
        <v>45</v>
      </c>
      <c r="V70" t="s">
        <v>46</v>
      </c>
    </row>
    <row r="71" spans="1:22">
      <c r="A71" t="s">
        <v>310</v>
      </c>
      <c r="B71" t="s">
        <v>282</v>
      </c>
      <c r="C71" t="s">
        <v>282</v>
      </c>
      <c r="D71" t="s">
        <v>311</v>
      </c>
      <c r="E71" t="s">
        <v>261</v>
      </c>
      <c r="F71" t="s">
        <v>54</v>
      </c>
      <c r="G71" t="s">
        <v>54</v>
      </c>
      <c r="H71" t="s">
        <v>52</v>
      </c>
      <c r="I71" t="s">
        <v>53</v>
      </c>
      <c r="J71" t="s">
        <v>76</v>
      </c>
      <c r="K71" t="s">
        <v>65</v>
      </c>
      <c r="L71" t="s">
        <v>61</v>
      </c>
      <c r="M71" s="5">
        <v>8.4</v>
      </c>
      <c r="N71">
        <v>1146</v>
      </c>
      <c r="O71" s="4">
        <v>4876.8</v>
      </c>
      <c r="P71" s="4">
        <v>6875.62</v>
      </c>
      <c r="Q71">
        <v>5</v>
      </c>
      <c r="R71">
        <v>0</v>
      </c>
      <c r="S71" t="s">
        <v>44</v>
      </c>
      <c r="T71">
        <v>4</v>
      </c>
      <c r="U71" t="s">
        <v>45</v>
      </c>
      <c r="V71" t="s">
        <v>46</v>
      </c>
    </row>
    <row r="72" spans="1:22">
      <c r="A72" t="s">
        <v>312</v>
      </c>
      <c r="B72" t="s">
        <v>259</v>
      </c>
      <c r="C72" t="s">
        <v>281</v>
      </c>
      <c r="D72" t="s">
        <v>282</v>
      </c>
      <c r="E72" t="s">
        <v>260</v>
      </c>
      <c r="F72" t="s">
        <v>70</v>
      </c>
      <c r="G72" t="s">
        <v>71</v>
      </c>
      <c r="H72" t="s">
        <v>52</v>
      </c>
      <c r="I72" t="s">
        <v>53</v>
      </c>
      <c r="J72" t="s">
        <v>76</v>
      </c>
      <c r="K72" t="s">
        <v>72</v>
      </c>
      <c r="L72" t="s">
        <v>43</v>
      </c>
      <c r="M72" s="5">
        <v>16.3</v>
      </c>
      <c r="N72">
        <v>927</v>
      </c>
      <c r="O72" s="4">
        <v>6834.1</v>
      </c>
      <c r="P72" s="4">
        <v>9661.4500000000007</v>
      </c>
      <c r="Q72">
        <v>4</v>
      </c>
      <c r="R72">
        <v>2</v>
      </c>
      <c r="S72" t="s">
        <v>56</v>
      </c>
      <c r="T72">
        <v>4</v>
      </c>
      <c r="U72" t="s">
        <v>45</v>
      </c>
      <c r="V72" t="s">
        <v>46</v>
      </c>
    </row>
    <row r="73" spans="1:22">
      <c r="A73" t="s">
        <v>313</v>
      </c>
      <c r="B73" t="s">
        <v>314</v>
      </c>
      <c r="C73" t="s">
        <v>314</v>
      </c>
      <c r="D73" t="s">
        <v>247</v>
      </c>
      <c r="E73" t="s">
        <v>246</v>
      </c>
      <c r="F73" t="s">
        <v>70</v>
      </c>
      <c r="G73" t="s">
        <v>71</v>
      </c>
      <c r="H73" t="s">
        <v>70</v>
      </c>
      <c r="I73" t="s">
        <v>71</v>
      </c>
      <c r="J73" t="s">
        <v>76</v>
      </c>
      <c r="K73" t="s">
        <v>42</v>
      </c>
      <c r="L73" t="s">
        <v>77</v>
      </c>
      <c r="M73" s="5">
        <v>17.100000000000001</v>
      </c>
      <c r="N73">
        <v>1284</v>
      </c>
      <c r="O73" s="4">
        <v>5864.7</v>
      </c>
      <c r="P73" s="4">
        <v>11046.64</v>
      </c>
      <c r="Q73">
        <v>3</v>
      </c>
      <c r="R73">
        <v>0</v>
      </c>
      <c r="S73" t="s">
        <v>44</v>
      </c>
      <c r="T73">
        <v>5</v>
      </c>
      <c r="U73" t="s">
        <v>45</v>
      </c>
      <c r="V73" t="s">
        <v>46</v>
      </c>
    </row>
    <row r="74" spans="1:22">
      <c r="A74" t="s">
        <v>315</v>
      </c>
      <c r="B74" t="s">
        <v>316</v>
      </c>
      <c r="C74" t="s">
        <v>317</v>
      </c>
      <c r="D74" t="s">
        <v>318</v>
      </c>
      <c r="E74" t="s">
        <v>319</v>
      </c>
      <c r="F74" t="s">
        <v>54</v>
      </c>
      <c r="G74" t="s">
        <v>54</v>
      </c>
      <c r="H74" t="s">
        <v>54</v>
      </c>
      <c r="I74" t="s">
        <v>54</v>
      </c>
      <c r="J74" t="s">
        <v>55</v>
      </c>
      <c r="K74" t="s">
        <v>42</v>
      </c>
      <c r="L74" t="s">
        <v>43</v>
      </c>
      <c r="M74" s="5">
        <v>2.1</v>
      </c>
      <c r="N74">
        <v>1772</v>
      </c>
      <c r="O74" s="4">
        <v>5468.1</v>
      </c>
      <c r="P74" s="4">
        <v>10098.459999999999</v>
      </c>
      <c r="Q74">
        <v>4</v>
      </c>
      <c r="R74">
        <v>0</v>
      </c>
      <c r="S74" t="s">
        <v>44</v>
      </c>
      <c r="T74">
        <v>4</v>
      </c>
      <c r="U74" t="s">
        <v>45</v>
      </c>
      <c r="V74" t="s">
        <v>46</v>
      </c>
    </row>
    <row r="75" spans="1:22">
      <c r="A75" t="s">
        <v>320</v>
      </c>
      <c r="B75" t="s">
        <v>321</v>
      </c>
      <c r="C75" t="s">
        <v>51</v>
      </c>
      <c r="D75" t="s">
        <v>322</v>
      </c>
      <c r="E75" t="s">
        <v>79</v>
      </c>
      <c r="F75" t="s">
        <v>70</v>
      </c>
      <c r="G75" t="s">
        <v>71</v>
      </c>
      <c r="H75" t="s">
        <v>40</v>
      </c>
      <c r="I75" t="s">
        <v>40</v>
      </c>
      <c r="J75" t="s">
        <v>55</v>
      </c>
      <c r="K75" t="s">
        <v>72</v>
      </c>
      <c r="L75" t="s">
        <v>43</v>
      </c>
      <c r="M75" s="5">
        <v>4.0999999999999996</v>
      </c>
      <c r="N75">
        <v>1874</v>
      </c>
      <c r="O75" s="4">
        <v>7501.7</v>
      </c>
      <c r="P75" s="4">
        <v>14440.44</v>
      </c>
      <c r="Q75">
        <v>1</v>
      </c>
      <c r="R75">
        <v>0</v>
      </c>
      <c r="S75" t="s">
        <v>44</v>
      </c>
      <c r="T75">
        <v>5</v>
      </c>
      <c r="U75" t="s">
        <v>45</v>
      </c>
      <c r="V75" t="s">
        <v>46</v>
      </c>
    </row>
    <row r="76" spans="1:22">
      <c r="A76" t="s">
        <v>323</v>
      </c>
      <c r="B76" t="s">
        <v>324</v>
      </c>
      <c r="C76" t="s">
        <v>324</v>
      </c>
      <c r="D76" t="s">
        <v>325</v>
      </c>
      <c r="E76" t="s">
        <v>326</v>
      </c>
      <c r="F76" t="s">
        <v>52</v>
      </c>
      <c r="G76" t="s">
        <v>53</v>
      </c>
      <c r="H76" t="s">
        <v>54</v>
      </c>
      <c r="I76" t="s">
        <v>54</v>
      </c>
      <c r="J76" t="s">
        <v>141</v>
      </c>
      <c r="K76" t="s">
        <v>72</v>
      </c>
      <c r="L76" t="s">
        <v>118</v>
      </c>
      <c r="M76" s="5">
        <v>3</v>
      </c>
      <c r="N76">
        <v>1656</v>
      </c>
      <c r="O76" s="4">
        <v>7015.8</v>
      </c>
      <c r="P76" s="4">
        <v>14493.06</v>
      </c>
      <c r="Q76">
        <v>3</v>
      </c>
      <c r="R76">
        <v>1</v>
      </c>
      <c r="S76" t="s">
        <v>56</v>
      </c>
      <c r="T76">
        <v>4</v>
      </c>
      <c r="U76" t="s">
        <v>45</v>
      </c>
      <c r="V76" t="s">
        <v>46</v>
      </c>
    </row>
    <row r="77" spans="1:22">
      <c r="A77" t="s">
        <v>327</v>
      </c>
      <c r="B77" t="s">
        <v>328</v>
      </c>
      <c r="C77" t="s">
        <v>155</v>
      </c>
      <c r="D77" t="s">
        <v>206</v>
      </c>
      <c r="E77" t="s">
        <v>205</v>
      </c>
      <c r="F77" t="s">
        <v>40</v>
      </c>
      <c r="G77" t="s">
        <v>40</v>
      </c>
      <c r="H77" t="s">
        <v>82</v>
      </c>
      <c r="I77" t="s">
        <v>82</v>
      </c>
      <c r="J77" t="s">
        <v>55</v>
      </c>
      <c r="K77" t="s">
        <v>65</v>
      </c>
      <c r="L77" t="s">
        <v>77</v>
      </c>
      <c r="M77" s="5">
        <v>18.2</v>
      </c>
      <c r="N77">
        <v>1573</v>
      </c>
      <c r="O77" s="4">
        <v>6478.4</v>
      </c>
      <c r="P77" s="4">
        <v>13078.73</v>
      </c>
      <c r="Q77">
        <v>9</v>
      </c>
      <c r="R77">
        <v>1</v>
      </c>
      <c r="S77" t="s">
        <v>56</v>
      </c>
      <c r="T77">
        <v>5</v>
      </c>
      <c r="U77" t="s">
        <v>45</v>
      </c>
      <c r="V77" t="s">
        <v>46</v>
      </c>
    </row>
    <row r="78" spans="1:22">
      <c r="A78" t="s">
        <v>329</v>
      </c>
      <c r="B78" t="s">
        <v>330</v>
      </c>
      <c r="C78" t="s">
        <v>107</v>
      </c>
      <c r="D78" t="s">
        <v>331</v>
      </c>
      <c r="E78" t="s">
        <v>94</v>
      </c>
      <c r="F78" t="s">
        <v>82</v>
      </c>
      <c r="G78" t="s">
        <v>82</v>
      </c>
      <c r="H78" t="s">
        <v>52</v>
      </c>
      <c r="I78" t="s">
        <v>53</v>
      </c>
      <c r="J78" t="s">
        <v>55</v>
      </c>
      <c r="K78" t="s">
        <v>72</v>
      </c>
      <c r="L78" t="s">
        <v>118</v>
      </c>
      <c r="M78" s="5">
        <v>14.8</v>
      </c>
      <c r="N78">
        <v>334</v>
      </c>
      <c r="O78" s="4">
        <v>5639.2</v>
      </c>
      <c r="P78" s="4">
        <v>7987.71</v>
      </c>
      <c r="Q78">
        <v>3</v>
      </c>
      <c r="R78">
        <v>1</v>
      </c>
      <c r="S78" t="s">
        <v>56</v>
      </c>
      <c r="T78">
        <v>5</v>
      </c>
      <c r="U78" t="s">
        <v>45</v>
      </c>
      <c r="V78" t="s">
        <v>46</v>
      </c>
    </row>
    <row r="79" spans="1:22">
      <c r="A79" t="s">
        <v>332</v>
      </c>
      <c r="B79" t="s">
        <v>96</v>
      </c>
      <c r="C79" t="s">
        <v>96</v>
      </c>
      <c r="D79" t="s">
        <v>333</v>
      </c>
      <c r="E79" t="s">
        <v>305</v>
      </c>
      <c r="F79" t="s">
        <v>54</v>
      </c>
      <c r="G79" t="s">
        <v>54</v>
      </c>
      <c r="H79" t="s">
        <v>40</v>
      </c>
      <c r="I79" t="s">
        <v>40</v>
      </c>
      <c r="J79" t="s">
        <v>141</v>
      </c>
      <c r="K79" t="s">
        <v>42</v>
      </c>
      <c r="L79" t="s">
        <v>87</v>
      </c>
      <c r="M79" s="5">
        <v>2.2999999999999998</v>
      </c>
      <c r="N79">
        <v>2031</v>
      </c>
      <c r="O79" s="4">
        <v>5951.3</v>
      </c>
      <c r="P79" s="4">
        <v>9169.9500000000007</v>
      </c>
      <c r="Q79">
        <v>6</v>
      </c>
      <c r="R79">
        <v>1</v>
      </c>
      <c r="S79" t="s">
        <v>56</v>
      </c>
      <c r="T79">
        <v>5</v>
      </c>
      <c r="U79" t="s">
        <v>45</v>
      </c>
      <c r="V79" t="s">
        <v>46</v>
      </c>
    </row>
    <row r="80" spans="1:22">
      <c r="A80" t="s">
        <v>334</v>
      </c>
      <c r="B80" t="s">
        <v>335</v>
      </c>
      <c r="C80" t="s">
        <v>151</v>
      </c>
      <c r="D80" t="s">
        <v>91</v>
      </c>
      <c r="E80" t="s">
        <v>336</v>
      </c>
      <c r="F80" t="s">
        <v>70</v>
      </c>
      <c r="G80" t="s">
        <v>71</v>
      </c>
      <c r="H80" t="s">
        <v>54</v>
      </c>
      <c r="I80" t="s">
        <v>54</v>
      </c>
      <c r="J80" t="s">
        <v>55</v>
      </c>
      <c r="K80" t="s">
        <v>65</v>
      </c>
      <c r="L80" t="s">
        <v>87</v>
      </c>
      <c r="M80" s="5">
        <v>8.8000000000000007</v>
      </c>
      <c r="N80">
        <v>1076</v>
      </c>
      <c r="O80" s="4">
        <v>4784.8</v>
      </c>
      <c r="P80" s="4">
        <v>7609.98</v>
      </c>
      <c r="Q80">
        <v>11</v>
      </c>
      <c r="R80">
        <v>3</v>
      </c>
      <c r="S80" t="s">
        <v>56</v>
      </c>
      <c r="T80">
        <v>4</v>
      </c>
      <c r="U80" t="s">
        <v>45</v>
      </c>
      <c r="V80" t="s">
        <v>46</v>
      </c>
    </row>
    <row r="81" spans="1:22">
      <c r="A81" t="s">
        <v>337</v>
      </c>
      <c r="B81" t="s">
        <v>338</v>
      </c>
      <c r="C81" t="s">
        <v>338</v>
      </c>
      <c r="D81" t="s">
        <v>269</v>
      </c>
      <c r="E81" t="s">
        <v>307</v>
      </c>
      <c r="F81" t="s">
        <v>40</v>
      </c>
      <c r="G81" t="s">
        <v>40</v>
      </c>
      <c r="H81" t="s">
        <v>70</v>
      </c>
      <c r="I81" t="s">
        <v>71</v>
      </c>
      <c r="J81" t="s">
        <v>76</v>
      </c>
      <c r="K81" t="s">
        <v>72</v>
      </c>
      <c r="L81" t="s">
        <v>118</v>
      </c>
      <c r="M81" s="5">
        <v>15.5</v>
      </c>
      <c r="N81">
        <v>615</v>
      </c>
      <c r="O81" s="4">
        <v>6204.5</v>
      </c>
      <c r="P81" s="4">
        <v>12018.87</v>
      </c>
      <c r="Q81">
        <v>5</v>
      </c>
      <c r="R81">
        <v>3</v>
      </c>
      <c r="S81" t="s">
        <v>56</v>
      </c>
      <c r="T81">
        <v>4</v>
      </c>
      <c r="U81" t="s">
        <v>45</v>
      </c>
      <c r="V81" t="s">
        <v>46</v>
      </c>
    </row>
    <row r="82" spans="1:22">
      <c r="A82" t="s">
        <v>339</v>
      </c>
      <c r="B82" t="s">
        <v>303</v>
      </c>
      <c r="C82" t="s">
        <v>96</v>
      </c>
      <c r="D82" t="s">
        <v>340</v>
      </c>
      <c r="E82" t="s">
        <v>263</v>
      </c>
      <c r="F82" t="s">
        <v>70</v>
      </c>
      <c r="G82" t="s">
        <v>71</v>
      </c>
      <c r="H82" t="s">
        <v>52</v>
      </c>
      <c r="I82" t="s">
        <v>53</v>
      </c>
      <c r="J82" t="s">
        <v>141</v>
      </c>
      <c r="K82" t="s">
        <v>65</v>
      </c>
      <c r="L82" t="s">
        <v>61</v>
      </c>
      <c r="M82" s="5">
        <v>5.8</v>
      </c>
      <c r="N82">
        <v>1360</v>
      </c>
      <c r="O82" s="4">
        <v>5041</v>
      </c>
      <c r="P82" s="4">
        <v>7848.36</v>
      </c>
      <c r="Q82">
        <v>11</v>
      </c>
      <c r="R82">
        <v>3</v>
      </c>
      <c r="S82" t="s">
        <v>56</v>
      </c>
      <c r="T82">
        <v>3</v>
      </c>
      <c r="U82" t="s">
        <v>45</v>
      </c>
      <c r="V82" t="s">
        <v>46</v>
      </c>
    </row>
    <row r="83" spans="1:22">
      <c r="A83" t="s">
        <v>341</v>
      </c>
      <c r="B83" t="s">
        <v>342</v>
      </c>
      <c r="C83" t="s">
        <v>343</v>
      </c>
      <c r="D83" t="s">
        <v>259</v>
      </c>
      <c r="E83" t="s">
        <v>344</v>
      </c>
      <c r="F83" t="s">
        <v>82</v>
      </c>
      <c r="G83" t="s">
        <v>82</v>
      </c>
      <c r="H83" t="s">
        <v>82</v>
      </c>
      <c r="I83" t="s">
        <v>82</v>
      </c>
      <c r="J83" t="s">
        <v>141</v>
      </c>
      <c r="K83" t="s">
        <v>42</v>
      </c>
      <c r="L83" t="s">
        <v>43</v>
      </c>
      <c r="M83" s="5">
        <v>1.6</v>
      </c>
      <c r="N83">
        <v>1778</v>
      </c>
      <c r="O83" s="4">
        <v>5436.4</v>
      </c>
      <c r="P83" s="4">
        <v>9331.66</v>
      </c>
      <c r="Q83">
        <v>2</v>
      </c>
      <c r="R83">
        <v>0</v>
      </c>
      <c r="S83" t="s">
        <v>44</v>
      </c>
      <c r="T83">
        <v>5</v>
      </c>
      <c r="U83" t="s">
        <v>45</v>
      </c>
      <c r="V83" t="s">
        <v>46</v>
      </c>
    </row>
    <row r="84" spans="1:22">
      <c r="A84" t="s">
        <v>345</v>
      </c>
      <c r="B84" t="s">
        <v>234</v>
      </c>
      <c r="C84" t="s">
        <v>346</v>
      </c>
      <c r="D84" t="s">
        <v>347</v>
      </c>
      <c r="E84" t="s">
        <v>347</v>
      </c>
      <c r="F84" t="s">
        <v>40</v>
      </c>
      <c r="G84" t="s">
        <v>40</v>
      </c>
      <c r="H84" t="s">
        <v>82</v>
      </c>
      <c r="I84" t="s">
        <v>82</v>
      </c>
      <c r="J84" t="s">
        <v>76</v>
      </c>
      <c r="K84" t="s">
        <v>65</v>
      </c>
      <c r="L84" t="s">
        <v>118</v>
      </c>
      <c r="M84" s="5">
        <v>7.3</v>
      </c>
      <c r="N84">
        <v>1173</v>
      </c>
      <c r="O84" s="4">
        <v>4831.8999999999996</v>
      </c>
      <c r="P84" s="4">
        <v>8809.4</v>
      </c>
      <c r="Q84">
        <v>8</v>
      </c>
      <c r="R84">
        <v>0</v>
      </c>
      <c r="S84" t="s">
        <v>44</v>
      </c>
      <c r="T84">
        <v>5</v>
      </c>
      <c r="U84" t="s">
        <v>45</v>
      </c>
      <c r="V84" t="s">
        <v>46</v>
      </c>
    </row>
    <row r="85" spans="1:22">
      <c r="A85" t="s">
        <v>348</v>
      </c>
      <c r="B85" t="s">
        <v>314</v>
      </c>
      <c r="C85" t="s">
        <v>349</v>
      </c>
      <c r="D85" t="s">
        <v>350</v>
      </c>
      <c r="E85" t="s">
        <v>351</v>
      </c>
      <c r="F85" t="s">
        <v>52</v>
      </c>
      <c r="G85" t="s">
        <v>53</v>
      </c>
      <c r="H85" t="s">
        <v>40</v>
      </c>
      <c r="I85" t="s">
        <v>40</v>
      </c>
      <c r="J85" t="s">
        <v>141</v>
      </c>
      <c r="K85" t="s">
        <v>65</v>
      </c>
      <c r="L85" t="s">
        <v>118</v>
      </c>
      <c r="M85" s="5">
        <v>1.5</v>
      </c>
      <c r="N85">
        <v>645</v>
      </c>
      <c r="O85" s="4">
        <v>3388.5</v>
      </c>
      <c r="P85" s="4">
        <v>5106.8900000000003</v>
      </c>
      <c r="Q85">
        <v>7</v>
      </c>
      <c r="R85">
        <v>0</v>
      </c>
      <c r="S85" t="s">
        <v>44</v>
      </c>
      <c r="T85">
        <v>5</v>
      </c>
      <c r="U85" t="s">
        <v>45</v>
      </c>
      <c r="V85" t="s">
        <v>46</v>
      </c>
    </row>
    <row r="86" spans="1:22">
      <c r="A86" t="s">
        <v>352</v>
      </c>
      <c r="B86" t="s">
        <v>174</v>
      </c>
      <c r="C86" t="s">
        <v>174</v>
      </c>
      <c r="D86" t="s">
        <v>176</v>
      </c>
      <c r="E86" t="s">
        <v>353</v>
      </c>
      <c r="F86" t="s">
        <v>52</v>
      </c>
      <c r="G86" t="s">
        <v>53</v>
      </c>
      <c r="H86" t="s">
        <v>70</v>
      </c>
      <c r="I86" t="s">
        <v>71</v>
      </c>
      <c r="J86" t="s">
        <v>55</v>
      </c>
      <c r="K86" t="s">
        <v>72</v>
      </c>
      <c r="L86" t="s">
        <v>43</v>
      </c>
      <c r="M86" s="5">
        <v>7.8</v>
      </c>
      <c r="N86">
        <v>488</v>
      </c>
      <c r="O86" s="4">
        <v>5321.4</v>
      </c>
      <c r="P86" s="4">
        <v>10907.9</v>
      </c>
      <c r="Q86">
        <v>4</v>
      </c>
      <c r="R86">
        <v>2</v>
      </c>
      <c r="S86" t="s">
        <v>56</v>
      </c>
      <c r="T86">
        <v>4</v>
      </c>
      <c r="U86" t="s">
        <v>45</v>
      </c>
      <c r="V86" t="s">
        <v>46</v>
      </c>
    </row>
    <row r="87" spans="1:22">
      <c r="A87" t="s">
        <v>354</v>
      </c>
      <c r="B87" t="s">
        <v>259</v>
      </c>
      <c r="C87" t="s">
        <v>287</v>
      </c>
      <c r="D87" t="s">
        <v>355</v>
      </c>
      <c r="E87" t="s">
        <v>282</v>
      </c>
      <c r="F87" t="s">
        <v>52</v>
      </c>
      <c r="G87" t="s">
        <v>53</v>
      </c>
      <c r="H87" t="s">
        <v>52</v>
      </c>
      <c r="I87" t="s">
        <v>53</v>
      </c>
      <c r="J87" t="s">
        <v>76</v>
      </c>
      <c r="K87" t="s">
        <v>72</v>
      </c>
      <c r="L87" t="s">
        <v>43</v>
      </c>
      <c r="M87" s="5">
        <v>3.6</v>
      </c>
      <c r="N87">
        <v>494</v>
      </c>
      <c r="O87" s="4">
        <v>4975.2</v>
      </c>
      <c r="P87" s="4">
        <v>8739.51</v>
      </c>
      <c r="Q87">
        <v>1</v>
      </c>
      <c r="R87">
        <v>0</v>
      </c>
      <c r="S87" t="s">
        <v>44</v>
      </c>
      <c r="T87">
        <v>5</v>
      </c>
      <c r="U87" t="s">
        <v>45</v>
      </c>
      <c r="V87" t="s">
        <v>46</v>
      </c>
    </row>
    <row r="88" spans="1:22">
      <c r="A88" t="s">
        <v>356</v>
      </c>
      <c r="B88" t="s">
        <v>297</v>
      </c>
      <c r="C88" t="s">
        <v>357</v>
      </c>
      <c r="D88" t="s">
        <v>358</v>
      </c>
      <c r="E88" t="s">
        <v>358</v>
      </c>
      <c r="F88" t="s">
        <v>54</v>
      </c>
      <c r="G88" t="s">
        <v>54</v>
      </c>
      <c r="H88" t="s">
        <v>40</v>
      </c>
      <c r="I88" t="s">
        <v>40</v>
      </c>
      <c r="J88" t="s">
        <v>141</v>
      </c>
      <c r="K88" t="s">
        <v>72</v>
      </c>
      <c r="L88" t="s">
        <v>61</v>
      </c>
      <c r="M88" s="5">
        <v>5.9</v>
      </c>
      <c r="N88">
        <v>1243</v>
      </c>
      <c r="O88" s="4">
        <v>6518.9</v>
      </c>
      <c r="P88" s="4">
        <v>9541.1299999999992</v>
      </c>
      <c r="Q88">
        <v>2</v>
      </c>
      <c r="R88">
        <v>0</v>
      </c>
      <c r="S88" t="s">
        <v>44</v>
      </c>
      <c r="T88">
        <v>5</v>
      </c>
      <c r="U88" t="s">
        <v>45</v>
      </c>
      <c r="V88" t="s">
        <v>46</v>
      </c>
    </row>
    <row r="89" spans="1:22">
      <c r="A89" t="s">
        <v>359</v>
      </c>
      <c r="B89" t="s">
        <v>360</v>
      </c>
      <c r="C89" t="s">
        <v>360</v>
      </c>
      <c r="D89" t="s">
        <v>318</v>
      </c>
      <c r="E89" t="s">
        <v>361</v>
      </c>
      <c r="F89" t="s">
        <v>70</v>
      </c>
      <c r="G89" t="s">
        <v>71</v>
      </c>
      <c r="H89" t="s">
        <v>82</v>
      </c>
      <c r="I89" t="s">
        <v>82</v>
      </c>
      <c r="J89" t="s">
        <v>141</v>
      </c>
      <c r="K89" t="s">
        <v>65</v>
      </c>
      <c r="L89" t="s">
        <v>87</v>
      </c>
      <c r="M89" s="5">
        <v>15.3</v>
      </c>
      <c r="N89">
        <v>1214</v>
      </c>
      <c r="O89" s="4">
        <v>5585.7</v>
      </c>
      <c r="P89" s="4">
        <v>7830.58</v>
      </c>
      <c r="Q89">
        <v>6</v>
      </c>
      <c r="R89">
        <v>0</v>
      </c>
      <c r="S89" t="s">
        <v>44</v>
      </c>
      <c r="T89">
        <v>5</v>
      </c>
      <c r="U89" t="s">
        <v>45</v>
      </c>
      <c r="V89" t="s">
        <v>46</v>
      </c>
    </row>
    <row r="90" spans="1:22">
      <c r="A90" t="s">
        <v>362</v>
      </c>
      <c r="B90" t="s">
        <v>363</v>
      </c>
      <c r="C90" t="s">
        <v>364</v>
      </c>
      <c r="D90" t="s">
        <v>63</v>
      </c>
      <c r="E90" t="s">
        <v>365</v>
      </c>
      <c r="F90" t="s">
        <v>52</v>
      </c>
      <c r="G90" t="s">
        <v>53</v>
      </c>
      <c r="H90" t="s">
        <v>70</v>
      </c>
      <c r="I90" t="s">
        <v>71</v>
      </c>
      <c r="J90" t="s">
        <v>141</v>
      </c>
      <c r="K90" t="s">
        <v>42</v>
      </c>
      <c r="L90" t="s">
        <v>61</v>
      </c>
      <c r="M90" s="5">
        <v>14.3</v>
      </c>
      <c r="N90">
        <v>1519</v>
      </c>
      <c r="O90" s="4">
        <v>6049.7</v>
      </c>
      <c r="P90" s="4">
        <v>8605.0300000000007</v>
      </c>
      <c r="Q90">
        <v>4</v>
      </c>
      <c r="R90">
        <v>0</v>
      </c>
      <c r="S90" t="s">
        <v>44</v>
      </c>
      <c r="T90">
        <v>4</v>
      </c>
      <c r="U90" t="s">
        <v>45</v>
      </c>
      <c r="V90" t="s">
        <v>46</v>
      </c>
    </row>
    <row r="91" spans="1:22">
      <c r="A91" t="s">
        <v>366</v>
      </c>
      <c r="B91" t="s">
        <v>367</v>
      </c>
      <c r="C91" t="s">
        <v>367</v>
      </c>
      <c r="D91" t="s">
        <v>238</v>
      </c>
      <c r="E91" t="s">
        <v>368</v>
      </c>
      <c r="F91" t="s">
        <v>82</v>
      </c>
      <c r="G91" t="s">
        <v>82</v>
      </c>
      <c r="H91" t="s">
        <v>70</v>
      </c>
      <c r="I91" t="s">
        <v>71</v>
      </c>
      <c r="J91" t="s">
        <v>41</v>
      </c>
      <c r="K91" t="s">
        <v>65</v>
      </c>
      <c r="L91" t="s">
        <v>61</v>
      </c>
      <c r="M91" s="5">
        <v>7.2</v>
      </c>
      <c r="N91">
        <v>801</v>
      </c>
      <c r="O91" s="4">
        <v>4153.8</v>
      </c>
      <c r="P91" s="4">
        <v>5204.09</v>
      </c>
      <c r="Q91">
        <v>7</v>
      </c>
      <c r="R91">
        <v>0</v>
      </c>
      <c r="S91" t="s">
        <v>44</v>
      </c>
      <c r="T91">
        <v>5</v>
      </c>
      <c r="U91" t="s">
        <v>45</v>
      </c>
      <c r="V91" t="s">
        <v>46</v>
      </c>
    </row>
    <row r="92" spans="1:22">
      <c r="A92" t="s">
        <v>369</v>
      </c>
      <c r="B92" t="s">
        <v>230</v>
      </c>
      <c r="C92" t="s">
        <v>370</v>
      </c>
      <c r="D92" t="s">
        <v>371</v>
      </c>
      <c r="E92" t="s">
        <v>231</v>
      </c>
      <c r="F92" t="s">
        <v>82</v>
      </c>
      <c r="G92" t="s">
        <v>82</v>
      </c>
      <c r="H92" t="s">
        <v>54</v>
      </c>
      <c r="I92" t="s">
        <v>54</v>
      </c>
      <c r="J92" t="s">
        <v>76</v>
      </c>
      <c r="K92" t="s">
        <v>72</v>
      </c>
      <c r="L92" t="s">
        <v>87</v>
      </c>
      <c r="M92" s="5">
        <v>2.1</v>
      </c>
      <c r="N92">
        <v>1224</v>
      </c>
      <c r="O92" s="4">
        <v>6161.7</v>
      </c>
      <c r="P92" s="4">
        <v>12195.19</v>
      </c>
      <c r="Q92">
        <v>3</v>
      </c>
      <c r="R92">
        <v>1</v>
      </c>
      <c r="S92" t="s">
        <v>56</v>
      </c>
      <c r="T92">
        <v>5</v>
      </c>
      <c r="U92" t="s">
        <v>45</v>
      </c>
      <c r="V92" t="s">
        <v>46</v>
      </c>
    </row>
    <row r="93" spans="1:22">
      <c r="A93" t="s">
        <v>372</v>
      </c>
      <c r="B93" t="s">
        <v>373</v>
      </c>
      <c r="C93" t="s">
        <v>317</v>
      </c>
      <c r="D93" t="s">
        <v>374</v>
      </c>
      <c r="E93" t="s">
        <v>361</v>
      </c>
      <c r="F93" t="s">
        <v>54</v>
      </c>
      <c r="G93" t="s">
        <v>54</v>
      </c>
      <c r="H93" t="s">
        <v>70</v>
      </c>
      <c r="I93" t="s">
        <v>71</v>
      </c>
      <c r="J93" t="s">
        <v>141</v>
      </c>
      <c r="K93" t="s">
        <v>72</v>
      </c>
      <c r="L93" t="s">
        <v>118</v>
      </c>
      <c r="M93" s="5">
        <v>11.5</v>
      </c>
      <c r="N93">
        <v>494</v>
      </c>
      <c r="O93" s="4">
        <v>5646.7</v>
      </c>
      <c r="P93" s="4">
        <v>10185.84</v>
      </c>
      <c r="Q93">
        <v>3</v>
      </c>
      <c r="R93">
        <v>1</v>
      </c>
      <c r="S93" t="s">
        <v>56</v>
      </c>
      <c r="T93">
        <v>5</v>
      </c>
      <c r="U93" t="s">
        <v>45</v>
      </c>
      <c r="V93" t="s">
        <v>46</v>
      </c>
    </row>
    <row r="94" spans="1:22">
      <c r="A94" t="s">
        <v>375</v>
      </c>
      <c r="B94" t="s">
        <v>74</v>
      </c>
      <c r="C94" t="s">
        <v>74</v>
      </c>
      <c r="D94" t="s">
        <v>145</v>
      </c>
      <c r="E94" t="s">
        <v>223</v>
      </c>
      <c r="F94" t="s">
        <v>82</v>
      </c>
      <c r="G94" t="s">
        <v>82</v>
      </c>
      <c r="H94" t="s">
        <v>40</v>
      </c>
      <c r="I94" t="s">
        <v>40</v>
      </c>
      <c r="J94" t="s">
        <v>55</v>
      </c>
      <c r="K94" t="s">
        <v>65</v>
      </c>
      <c r="L94" t="s">
        <v>118</v>
      </c>
      <c r="M94" s="5">
        <v>17.7</v>
      </c>
      <c r="N94">
        <v>1260</v>
      </c>
      <c r="O94" s="4">
        <v>5872.5</v>
      </c>
      <c r="P94" s="4">
        <v>10192.799999999999</v>
      </c>
      <c r="Q94">
        <v>5</v>
      </c>
      <c r="R94">
        <v>0</v>
      </c>
      <c r="S94" t="s">
        <v>44</v>
      </c>
      <c r="T94">
        <v>5</v>
      </c>
      <c r="U94" t="s">
        <v>45</v>
      </c>
      <c r="V94" t="s">
        <v>46</v>
      </c>
    </row>
    <row r="95" spans="1:22">
      <c r="A95" t="s">
        <v>376</v>
      </c>
      <c r="B95" t="s">
        <v>336</v>
      </c>
      <c r="C95" t="s">
        <v>377</v>
      </c>
      <c r="D95" t="s">
        <v>291</v>
      </c>
      <c r="E95" t="s">
        <v>378</v>
      </c>
      <c r="F95" t="s">
        <v>54</v>
      </c>
      <c r="G95" t="s">
        <v>54</v>
      </c>
      <c r="H95" t="s">
        <v>52</v>
      </c>
      <c r="I95" t="s">
        <v>53</v>
      </c>
      <c r="J95" t="s">
        <v>41</v>
      </c>
      <c r="K95" t="s">
        <v>42</v>
      </c>
      <c r="L95" t="s">
        <v>77</v>
      </c>
      <c r="M95" s="5">
        <v>2.6</v>
      </c>
      <c r="N95">
        <v>2185</v>
      </c>
      <c r="O95" s="4">
        <v>6254</v>
      </c>
      <c r="P95" s="4">
        <v>10691.84</v>
      </c>
      <c r="Q95">
        <v>6</v>
      </c>
      <c r="R95">
        <v>1</v>
      </c>
      <c r="S95" t="s">
        <v>56</v>
      </c>
      <c r="T95">
        <v>5</v>
      </c>
      <c r="U95" t="s">
        <v>45</v>
      </c>
      <c r="V95" t="s">
        <v>46</v>
      </c>
    </row>
    <row r="96" spans="1:22">
      <c r="A96" t="s">
        <v>379</v>
      </c>
      <c r="B96" t="s">
        <v>242</v>
      </c>
      <c r="C96" t="s">
        <v>126</v>
      </c>
      <c r="D96" t="s">
        <v>188</v>
      </c>
      <c r="E96" t="s">
        <v>380</v>
      </c>
      <c r="F96" t="s">
        <v>54</v>
      </c>
      <c r="G96" t="s">
        <v>54</v>
      </c>
      <c r="H96" t="s">
        <v>40</v>
      </c>
      <c r="I96" t="s">
        <v>40</v>
      </c>
      <c r="J96" t="s">
        <v>141</v>
      </c>
      <c r="K96" t="s">
        <v>65</v>
      </c>
      <c r="L96" t="s">
        <v>43</v>
      </c>
      <c r="M96" s="5">
        <v>1.1000000000000001</v>
      </c>
      <c r="N96">
        <v>1928</v>
      </c>
      <c r="O96" s="4">
        <v>5663.9</v>
      </c>
      <c r="P96" s="4">
        <v>8533.27</v>
      </c>
      <c r="Q96">
        <v>11</v>
      </c>
      <c r="R96">
        <v>3</v>
      </c>
      <c r="S96" t="s">
        <v>56</v>
      </c>
      <c r="T96">
        <v>4</v>
      </c>
      <c r="U96" t="s">
        <v>45</v>
      </c>
      <c r="V96" t="s">
        <v>46</v>
      </c>
    </row>
    <row r="97" spans="1:22">
      <c r="A97" t="s">
        <v>381</v>
      </c>
      <c r="B97" t="s">
        <v>80</v>
      </c>
      <c r="C97" t="s">
        <v>212</v>
      </c>
      <c r="D97" t="s">
        <v>213</v>
      </c>
      <c r="E97" t="s">
        <v>382</v>
      </c>
      <c r="F97" t="s">
        <v>40</v>
      </c>
      <c r="G97" t="s">
        <v>40</v>
      </c>
      <c r="H97" t="s">
        <v>54</v>
      </c>
      <c r="I97" t="s">
        <v>54</v>
      </c>
      <c r="J97" t="s">
        <v>55</v>
      </c>
      <c r="K97" t="s">
        <v>72</v>
      </c>
      <c r="L97" t="s">
        <v>61</v>
      </c>
      <c r="M97" s="5">
        <v>16.899999999999999</v>
      </c>
      <c r="N97">
        <v>1821</v>
      </c>
      <c r="O97" s="4">
        <v>8494.2999999999993</v>
      </c>
      <c r="P97" s="4">
        <v>12027.86</v>
      </c>
      <c r="Q97">
        <v>1</v>
      </c>
      <c r="R97">
        <v>0</v>
      </c>
      <c r="S97" t="s">
        <v>44</v>
      </c>
      <c r="T97">
        <v>5</v>
      </c>
      <c r="U97" t="s">
        <v>45</v>
      </c>
      <c r="V97" t="s">
        <v>46</v>
      </c>
    </row>
    <row r="98" spans="1:22">
      <c r="A98" t="s">
        <v>383</v>
      </c>
      <c r="B98" t="s">
        <v>157</v>
      </c>
      <c r="C98" t="s">
        <v>384</v>
      </c>
      <c r="D98" t="s">
        <v>301</v>
      </c>
      <c r="E98" t="s">
        <v>300</v>
      </c>
      <c r="F98" t="s">
        <v>54</v>
      </c>
      <c r="G98" t="s">
        <v>54</v>
      </c>
      <c r="H98" t="s">
        <v>54</v>
      </c>
      <c r="I98" t="s">
        <v>54</v>
      </c>
      <c r="J98" t="s">
        <v>55</v>
      </c>
      <c r="K98" t="s">
        <v>65</v>
      </c>
      <c r="L98" t="s">
        <v>61</v>
      </c>
      <c r="M98" s="5">
        <v>13</v>
      </c>
      <c r="N98">
        <v>1119</v>
      </c>
      <c r="O98" s="4">
        <v>5219.2</v>
      </c>
      <c r="P98" s="4">
        <v>7328.21</v>
      </c>
      <c r="Q98">
        <v>9</v>
      </c>
      <c r="R98">
        <v>1</v>
      </c>
      <c r="S98" t="s">
        <v>56</v>
      </c>
      <c r="T98">
        <v>5</v>
      </c>
      <c r="U98" t="s">
        <v>45</v>
      </c>
      <c r="V98" t="s">
        <v>46</v>
      </c>
    </row>
    <row r="99" spans="1:22">
      <c r="A99" t="s">
        <v>385</v>
      </c>
      <c r="B99" t="s">
        <v>386</v>
      </c>
      <c r="C99" t="s">
        <v>386</v>
      </c>
      <c r="D99" t="s">
        <v>103</v>
      </c>
      <c r="E99" t="s">
        <v>102</v>
      </c>
      <c r="F99" t="s">
        <v>52</v>
      </c>
      <c r="G99" t="s">
        <v>53</v>
      </c>
      <c r="H99" t="s">
        <v>54</v>
      </c>
      <c r="I99" t="s">
        <v>54</v>
      </c>
      <c r="J99" t="s">
        <v>55</v>
      </c>
      <c r="K99" t="s">
        <v>72</v>
      </c>
      <c r="L99" t="s">
        <v>61</v>
      </c>
      <c r="M99" s="5">
        <v>16.3</v>
      </c>
      <c r="N99">
        <v>1488</v>
      </c>
      <c r="O99" s="4">
        <v>7843.9</v>
      </c>
      <c r="P99" s="4">
        <v>12363.06</v>
      </c>
      <c r="Q99">
        <v>1</v>
      </c>
      <c r="R99">
        <v>0</v>
      </c>
      <c r="S99" t="s">
        <v>44</v>
      </c>
      <c r="T99">
        <v>5</v>
      </c>
      <c r="U99" t="s">
        <v>45</v>
      </c>
      <c r="V99" t="s">
        <v>46</v>
      </c>
    </row>
    <row r="100" spans="1:22">
      <c r="A100" t="s">
        <v>387</v>
      </c>
      <c r="B100" t="s">
        <v>226</v>
      </c>
      <c r="C100" t="s">
        <v>67</v>
      </c>
      <c r="D100" t="s">
        <v>143</v>
      </c>
      <c r="E100" t="s">
        <v>74</v>
      </c>
      <c r="F100" t="s">
        <v>52</v>
      </c>
      <c r="G100" t="s">
        <v>53</v>
      </c>
      <c r="H100" t="s">
        <v>52</v>
      </c>
      <c r="I100" t="s">
        <v>53</v>
      </c>
      <c r="J100" t="s">
        <v>76</v>
      </c>
      <c r="K100" t="s">
        <v>42</v>
      </c>
      <c r="L100" t="s">
        <v>61</v>
      </c>
      <c r="M100" s="5">
        <v>1.7</v>
      </c>
      <c r="N100">
        <v>1484</v>
      </c>
      <c r="O100" s="4">
        <v>4915.7</v>
      </c>
      <c r="P100" s="4">
        <v>8519.84</v>
      </c>
      <c r="Q100">
        <v>4</v>
      </c>
      <c r="R100">
        <v>0</v>
      </c>
      <c r="S100" t="s">
        <v>44</v>
      </c>
      <c r="T100">
        <v>4</v>
      </c>
      <c r="U100" t="s">
        <v>45</v>
      </c>
      <c r="V100" t="s">
        <v>46</v>
      </c>
    </row>
    <row r="101" spans="1:22">
      <c r="A101" t="s">
        <v>388</v>
      </c>
      <c r="B101" t="s">
        <v>389</v>
      </c>
      <c r="C101" t="s">
        <v>120</v>
      </c>
      <c r="D101" t="s">
        <v>121</v>
      </c>
      <c r="E101" t="s">
        <v>121</v>
      </c>
      <c r="F101" t="s">
        <v>70</v>
      </c>
      <c r="G101" t="s">
        <v>71</v>
      </c>
      <c r="H101" t="s">
        <v>82</v>
      </c>
      <c r="I101" t="s">
        <v>82</v>
      </c>
      <c r="J101" t="s">
        <v>141</v>
      </c>
      <c r="K101" t="s">
        <v>72</v>
      </c>
      <c r="L101" t="s">
        <v>43</v>
      </c>
      <c r="M101" s="5">
        <v>2</v>
      </c>
      <c r="N101">
        <v>449</v>
      </c>
      <c r="O101" s="4">
        <v>4758.2</v>
      </c>
      <c r="P101" s="4">
        <v>8247.32</v>
      </c>
      <c r="Q101">
        <v>2</v>
      </c>
      <c r="R101">
        <v>0</v>
      </c>
      <c r="S101" t="s">
        <v>44</v>
      </c>
      <c r="T101">
        <v>5</v>
      </c>
      <c r="U101" t="s">
        <v>220</v>
      </c>
      <c r="V101" t="s">
        <v>46</v>
      </c>
    </row>
    <row r="102" spans="1:22">
      <c r="A102" t="s">
        <v>390</v>
      </c>
      <c r="B102" t="s">
        <v>189</v>
      </c>
      <c r="C102" t="s">
        <v>189</v>
      </c>
      <c r="D102" t="s">
        <v>230</v>
      </c>
      <c r="E102" t="s">
        <v>229</v>
      </c>
      <c r="F102" t="s">
        <v>52</v>
      </c>
      <c r="G102" t="s">
        <v>53</v>
      </c>
      <c r="H102" t="s">
        <v>54</v>
      </c>
      <c r="I102" t="s">
        <v>54</v>
      </c>
      <c r="J102" t="s">
        <v>55</v>
      </c>
      <c r="K102" t="s">
        <v>72</v>
      </c>
      <c r="L102" t="s">
        <v>87</v>
      </c>
      <c r="M102" s="5">
        <v>11.8</v>
      </c>
      <c r="N102">
        <v>1666</v>
      </c>
      <c r="O102" s="4">
        <v>7781.8</v>
      </c>
      <c r="P102" s="4">
        <v>15440.38</v>
      </c>
      <c r="Q102">
        <v>1</v>
      </c>
      <c r="R102">
        <v>0</v>
      </c>
      <c r="S102" t="s">
        <v>44</v>
      </c>
      <c r="T102">
        <v>5</v>
      </c>
      <c r="U102" t="s">
        <v>45</v>
      </c>
      <c r="V102" t="s">
        <v>46</v>
      </c>
    </row>
    <row r="103" spans="1:22">
      <c r="A103" t="s">
        <v>391</v>
      </c>
      <c r="B103" t="s">
        <v>133</v>
      </c>
      <c r="C103" t="s">
        <v>134</v>
      </c>
      <c r="D103" t="s">
        <v>232</v>
      </c>
      <c r="E103" t="s">
        <v>371</v>
      </c>
      <c r="F103" t="s">
        <v>54</v>
      </c>
      <c r="G103" t="s">
        <v>54</v>
      </c>
      <c r="H103" t="s">
        <v>54</v>
      </c>
      <c r="I103" t="s">
        <v>54</v>
      </c>
      <c r="J103" t="s">
        <v>141</v>
      </c>
      <c r="K103" t="s">
        <v>65</v>
      </c>
      <c r="L103" t="s">
        <v>77</v>
      </c>
      <c r="M103" s="5">
        <v>15.6</v>
      </c>
      <c r="N103">
        <v>935</v>
      </c>
      <c r="O103" s="4">
        <v>5109</v>
      </c>
      <c r="P103" s="4">
        <v>10579.36</v>
      </c>
      <c r="Q103">
        <v>9</v>
      </c>
      <c r="R103">
        <v>1</v>
      </c>
      <c r="S103" t="s">
        <v>56</v>
      </c>
      <c r="T103">
        <v>5</v>
      </c>
      <c r="U103" t="s">
        <v>45</v>
      </c>
      <c r="V103" t="s">
        <v>46</v>
      </c>
    </row>
    <row r="104" spans="1:22">
      <c r="A104" t="s">
        <v>392</v>
      </c>
      <c r="B104" t="s">
        <v>216</v>
      </c>
      <c r="C104" t="s">
        <v>217</v>
      </c>
      <c r="D104" t="s">
        <v>218</v>
      </c>
      <c r="E104" t="s">
        <v>393</v>
      </c>
      <c r="F104" t="s">
        <v>54</v>
      </c>
      <c r="G104" t="s">
        <v>54</v>
      </c>
      <c r="H104" t="s">
        <v>54</v>
      </c>
      <c r="I104" t="s">
        <v>54</v>
      </c>
      <c r="J104" t="s">
        <v>141</v>
      </c>
      <c r="K104" t="s">
        <v>72</v>
      </c>
      <c r="L104" t="s">
        <v>87</v>
      </c>
      <c r="M104" s="5">
        <v>10</v>
      </c>
      <c r="N104">
        <v>935</v>
      </c>
      <c r="O104" s="4">
        <v>6313</v>
      </c>
      <c r="P104" s="4">
        <v>12327.97</v>
      </c>
      <c r="Q104">
        <v>4</v>
      </c>
      <c r="R104">
        <v>2</v>
      </c>
      <c r="S104" t="s">
        <v>56</v>
      </c>
      <c r="T104">
        <v>4</v>
      </c>
      <c r="U104" t="s">
        <v>45</v>
      </c>
      <c r="V104" t="s">
        <v>46</v>
      </c>
    </row>
    <row r="105" spans="1:22">
      <c r="A105" t="s">
        <v>394</v>
      </c>
      <c r="B105" t="s">
        <v>395</v>
      </c>
      <c r="C105" t="s">
        <v>395</v>
      </c>
      <c r="D105" t="s">
        <v>396</v>
      </c>
      <c r="E105" t="s">
        <v>290</v>
      </c>
      <c r="F105" t="s">
        <v>82</v>
      </c>
      <c r="G105" t="s">
        <v>82</v>
      </c>
      <c r="H105" t="s">
        <v>54</v>
      </c>
      <c r="I105" t="s">
        <v>54</v>
      </c>
      <c r="J105" t="s">
        <v>141</v>
      </c>
      <c r="K105" t="s">
        <v>72</v>
      </c>
      <c r="L105" t="s">
        <v>118</v>
      </c>
      <c r="M105" s="5">
        <v>13.2</v>
      </c>
      <c r="N105">
        <v>1727</v>
      </c>
      <c r="O105" s="4">
        <v>8010.6</v>
      </c>
      <c r="P105" s="4">
        <v>10740.29</v>
      </c>
      <c r="Q105">
        <v>3</v>
      </c>
      <c r="R105">
        <v>1</v>
      </c>
      <c r="S105" t="s">
        <v>56</v>
      </c>
      <c r="T105">
        <v>5</v>
      </c>
      <c r="U105" t="s">
        <v>45</v>
      </c>
      <c r="V105" t="s">
        <v>46</v>
      </c>
    </row>
    <row r="106" spans="1:22">
      <c r="A106" t="s">
        <v>397</v>
      </c>
      <c r="B106" t="s">
        <v>259</v>
      </c>
      <c r="C106" t="s">
        <v>287</v>
      </c>
      <c r="D106" t="s">
        <v>398</v>
      </c>
      <c r="E106" t="s">
        <v>283</v>
      </c>
      <c r="F106" t="s">
        <v>82</v>
      </c>
      <c r="G106" t="s">
        <v>82</v>
      </c>
      <c r="H106" t="s">
        <v>54</v>
      </c>
      <c r="I106" t="s">
        <v>54</v>
      </c>
      <c r="J106" t="s">
        <v>55</v>
      </c>
      <c r="K106" t="s">
        <v>42</v>
      </c>
      <c r="L106" t="s">
        <v>77</v>
      </c>
      <c r="M106" s="5">
        <v>10.5</v>
      </c>
      <c r="N106">
        <v>1760</v>
      </c>
      <c r="O106" s="4">
        <v>6160.5</v>
      </c>
      <c r="P106" s="4">
        <v>9448.14</v>
      </c>
      <c r="Q106">
        <v>4</v>
      </c>
      <c r="R106">
        <v>0</v>
      </c>
      <c r="S106" t="s">
        <v>44</v>
      </c>
      <c r="T106">
        <v>5</v>
      </c>
      <c r="U106" t="s">
        <v>45</v>
      </c>
      <c r="V106" t="s">
        <v>46</v>
      </c>
    </row>
    <row r="107" spans="1:22">
      <c r="A107" t="s">
        <v>399</v>
      </c>
      <c r="B107" t="s">
        <v>400</v>
      </c>
      <c r="C107" t="s">
        <v>401</v>
      </c>
      <c r="D107" t="s">
        <v>402</v>
      </c>
      <c r="E107" t="s">
        <v>402</v>
      </c>
      <c r="F107" t="s">
        <v>82</v>
      </c>
      <c r="G107" t="s">
        <v>82</v>
      </c>
      <c r="H107" t="s">
        <v>40</v>
      </c>
      <c r="I107" t="s">
        <v>40</v>
      </c>
      <c r="J107" t="s">
        <v>41</v>
      </c>
      <c r="K107" t="s">
        <v>65</v>
      </c>
      <c r="L107" t="s">
        <v>118</v>
      </c>
      <c r="M107" s="5">
        <v>5.6</v>
      </c>
      <c r="N107">
        <v>1548</v>
      </c>
      <c r="O107" s="4">
        <v>5362.4</v>
      </c>
      <c r="P107" s="4">
        <v>7744.49</v>
      </c>
      <c r="Q107">
        <v>8</v>
      </c>
      <c r="R107">
        <v>0</v>
      </c>
      <c r="S107" t="s">
        <v>44</v>
      </c>
      <c r="T107">
        <v>5</v>
      </c>
      <c r="U107" t="s">
        <v>45</v>
      </c>
      <c r="V107" t="s">
        <v>46</v>
      </c>
    </row>
    <row r="108" spans="1:22">
      <c r="A108" t="s">
        <v>403</v>
      </c>
      <c r="B108" t="s">
        <v>304</v>
      </c>
      <c r="C108" t="s">
        <v>304</v>
      </c>
      <c r="D108" t="s">
        <v>305</v>
      </c>
      <c r="E108" t="s">
        <v>333</v>
      </c>
      <c r="F108" t="s">
        <v>40</v>
      </c>
      <c r="G108" t="s">
        <v>40</v>
      </c>
      <c r="H108" t="s">
        <v>82</v>
      </c>
      <c r="I108" t="s">
        <v>82</v>
      </c>
      <c r="J108" t="s">
        <v>55</v>
      </c>
      <c r="K108" t="s">
        <v>72</v>
      </c>
      <c r="L108" t="s">
        <v>87</v>
      </c>
      <c r="M108" s="5">
        <v>15.3</v>
      </c>
      <c r="N108">
        <v>762</v>
      </c>
      <c r="O108" s="4">
        <v>6452.1</v>
      </c>
      <c r="P108" s="4">
        <v>9375.7199999999993</v>
      </c>
      <c r="Q108">
        <v>1</v>
      </c>
      <c r="R108">
        <v>0</v>
      </c>
      <c r="S108" t="s">
        <v>44</v>
      </c>
      <c r="T108">
        <v>5</v>
      </c>
      <c r="U108" t="s">
        <v>45</v>
      </c>
      <c r="V108" t="s">
        <v>46</v>
      </c>
    </row>
    <row r="109" spans="1:22">
      <c r="A109" t="s">
        <v>404</v>
      </c>
      <c r="B109" t="s">
        <v>405</v>
      </c>
      <c r="C109" t="s">
        <v>405</v>
      </c>
      <c r="D109" t="s">
        <v>406</v>
      </c>
      <c r="E109" t="s">
        <v>406</v>
      </c>
      <c r="F109" t="s">
        <v>54</v>
      </c>
      <c r="G109" t="s">
        <v>54</v>
      </c>
      <c r="H109" t="s">
        <v>82</v>
      </c>
      <c r="I109" t="s">
        <v>82</v>
      </c>
      <c r="J109" t="s">
        <v>41</v>
      </c>
      <c r="K109" t="s">
        <v>65</v>
      </c>
      <c r="L109" t="s">
        <v>77</v>
      </c>
      <c r="M109" s="5">
        <v>2.1</v>
      </c>
      <c r="N109">
        <v>799</v>
      </c>
      <c r="O109" s="4">
        <v>3716.7</v>
      </c>
      <c r="P109" s="4">
        <v>6567.49</v>
      </c>
      <c r="Q109">
        <v>8</v>
      </c>
      <c r="R109">
        <v>0</v>
      </c>
      <c r="S109" t="s">
        <v>44</v>
      </c>
      <c r="T109">
        <v>5</v>
      </c>
      <c r="U109" t="s">
        <v>45</v>
      </c>
      <c r="V109" t="s">
        <v>46</v>
      </c>
    </row>
    <row r="110" spans="1:22">
      <c r="A110" t="s">
        <v>407</v>
      </c>
      <c r="B110" t="s">
        <v>333</v>
      </c>
      <c r="C110" t="s">
        <v>367</v>
      </c>
      <c r="D110" t="s">
        <v>264</v>
      </c>
      <c r="E110" t="s">
        <v>238</v>
      </c>
      <c r="F110" t="s">
        <v>82</v>
      </c>
      <c r="G110" t="s">
        <v>82</v>
      </c>
      <c r="H110" t="s">
        <v>70</v>
      </c>
      <c r="I110" t="s">
        <v>71</v>
      </c>
      <c r="J110" t="s">
        <v>41</v>
      </c>
      <c r="K110" t="s">
        <v>42</v>
      </c>
      <c r="L110" t="s">
        <v>43</v>
      </c>
      <c r="M110" s="5">
        <v>3.5</v>
      </c>
      <c r="N110">
        <v>336</v>
      </c>
      <c r="O110" s="4">
        <v>3002.3</v>
      </c>
      <c r="P110" s="4">
        <v>5265.96</v>
      </c>
      <c r="Q110">
        <v>8</v>
      </c>
      <c r="R110">
        <v>3</v>
      </c>
      <c r="S110" t="s">
        <v>56</v>
      </c>
      <c r="T110">
        <v>4</v>
      </c>
      <c r="U110" t="s">
        <v>45</v>
      </c>
      <c r="V110" t="s">
        <v>46</v>
      </c>
    </row>
    <row r="111" spans="1:22">
      <c r="A111" t="s">
        <v>408</v>
      </c>
      <c r="B111" t="s">
        <v>299</v>
      </c>
      <c r="C111" t="s">
        <v>139</v>
      </c>
      <c r="D111" t="s">
        <v>360</v>
      </c>
      <c r="E111" t="s">
        <v>409</v>
      </c>
      <c r="F111" t="s">
        <v>82</v>
      </c>
      <c r="G111" t="s">
        <v>82</v>
      </c>
      <c r="H111" t="s">
        <v>70</v>
      </c>
      <c r="I111" t="s">
        <v>71</v>
      </c>
      <c r="J111" t="s">
        <v>141</v>
      </c>
      <c r="K111" t="s">
        <v>65</v>
      </c>
      <c r="L111" t="s">
        <v>43</v>
      </c>
      <c r="M111" s="5">
        <v>7.8</v>
      </c>
      <c r="N111">
        <v>1463</v>
      </c>
      <c r="O111" s="4">
        <v>5396.4</v>
      </c>
      <c r="P111" s="4">
        <v>7788.51</v>
      </c>
      <c r="Q111">
        <v>7</v>
      </c>
      <c r="R111">
        <v>0</v>
      </c>
      <c r="S111" t="s">
        <v>44</v>
      </c>
      <c r="T111">
        <v>5</v>
      </c>
      <c r="U111" t="s">
        <v>45</v>
      </c>
      <c r="V111" t="s">
        <v>46</v>
      </c>
    </row>
    <row r="112" spans="1:22">
      <c r="A112" t="s">
        <v>410</v>
      </c>
      <c r="B112" t="s">
        <v>395</v>
      </c>
      <c r="C112" t="s">
        <v>396</v>
      </c>
      <c r="D112" t="s">
        <v>411</v>
      </c>
      <c r="E112" t="s">
        <v>412</v>
      </c>
      <c r="F112" t="s">
        <v>54</v>
      </c>
      <c r="G112" t="s">
        <v>54</v>
      </c>
      <c r="H112" t="s">
        <v>40</v>
      </c>
      <c r="I112" t="s">
        <v>40</v>
      </c>
      <c r="J112" t="s">
        <v>141</v>
      </c>
      <c r="K112" t="s">
        <v>65</v>
      </c>
      <c r="L112" t="s">
        <v>77</v>
      </c>
      <c r="M112" s="5">
        <v>14.1</v>
      </c>
      <c r="N112">
        <v>449</v>
      </c>
      <c r="O112" s="4">
        <v>4106.7</v>
      </c>
      <c r="P112" s="4">
        <v>7614.5</v>
      </c>
      <c r="Q112">
        <v>6</v>
      </c>
      <c r="R112">
        <v>0</v>
      </c>
      <c r="S112" t="s">
        <v>44</v>
      </c>
      <c r="T112">
        <v>5</v>
      </c>
      <c r="U112" t="s">
        <v>45</v>
      </c>
      <c r="V112" t="s">
        <v>46</v>
      </c>
    </row>
    <row r="113" spans="1:22">
      <c r="A113" t="s">
        <v>413</v>
      </c>
      <c r="B113" t="s">
        <v>414</v>
      </c>
      <c r="C113" t="s">
        <v>368</v>
      </c>
      <c r="D113" t="s">
        <v>415</v>
      </c>
      <c r="E113" t="s">
        <v>415</v>
      </c>
      <c r="F113" t="s">
        <v>54</v>
      </c>
      <c r="G113" t="s">
        <v>54</v>
      </c>
      <c r="H113" t="s">
        <v>82</v>
      </c>
      <c r="I113" t="s">
        <v>82</v>
      </c>
      <c r="J113" t="s">
        <v>55</v>
      </c>
      <c r="K113" t="s">
        <v>72</v>
      </c>
      <c r="L113" t="s">
        <v>61</v>
      </c>
      <c r="M113" s="5">
        <v>16.399999999999999</v>
      </c>
      <c r="N113">
        <v>660</v>
      </c>
      <c r="O113" s="4">
        <v>6362</v>
      </c>
      <c r="P113" s="4">
        <v>10082.18</v>
      </c>
      <c r="Q113">
        <v>2</v>
      </c>
      <c r="R113">
        <v>0</v>
      </c>
      <c r="S113" t="s">
        <v>44</v>
      </c>
      <c r="T113">
        <v>5</v>
      </c>
      <c r="U113" t="s">
        <v>45</v>
      </c>
      <c r="V113" t="s">
        <v>46</v>
      </c>
    </row>
    <row r="114" spans="1:22">
      <c r="A114" t="s">
        <v>416</v>
      </c>
      <c r="B114" t="s">
        <v>268</v>
      </c>
      <c r="C114" t="s">
        <v>269</v>
      </c>
      <c r="D114" t="s">
        <v>67</v>
      </c>
      <c r="E114" t="s">
        <v>271</v>
      </c>
      <c r="F114" t="s">
        <v>40</v>
      </c>
      <c r="G114" t="s">
        <v>40</v>
      </c>
      <c r="H114" t="s">
        <v>54</v>
      </c>
      <c r="I114" t="s">
        <v>54</v>
      </c>
      <c r="J114" t="s">
        <v>41</v>
      </c>
      <c r="K114" t="s">
        <v>65</v>
      </c>
      <c r="L114" t="s">
        <v>77</v>
      </c>
      <c r="M114" s="5">
        <v>12.2</v>
      </c>
      <c r="N114">
        <v>931</v>
      </c>
      <c r="O114" s="4">
        <v>4812.8</v>
      </c>
      <c r="P114" s="4">
        <v>9345.59</v>
      </c>
      <c r="Q114">
        <v>6</v>
      </c>
      <c r="R114">
        <v>0</v>
      </c>
      <c r="S114" t="s">
        <v>44</v>
      </c>
      <c r="T114">
        <v>5</v>
      </c>
      <c r="U114" t="s">
        <v>45</v>
      </c>
      <c r="V114" t="s">
        <v>46</v>
      </c>
    </row>
    <row r="115" spans="1:22">
      <c r="A115" t="s">
        <v>417</v>
      </c>
      <c r="B115" t="s">
        <v>259</v>
      </c>
      <c r="C115" t="s">
        <v>259</v>
      </c>
      <c r="D115" t="s">
        <v>260</v>
      </c>
      <c r="E115" t="s">
        <v>260</v>
      </c>
      <c r="F115" t="s">
        <v>82</v>
      </c>
      <c r="G115" t="s">
        <v>82</v>
      </c>
      <c r="H115" t="s">
        <v>70</v>
      </c>
      <c r="I115" t="s">
        <v>71</v>
      </c>
      <c r="J115" t="s">
        <v>141</v>
      </c>
      <c r="K115" t="s">
        <v>42</v>
      </c>
      <c r="L115" t="s">
        <v>61</v>
      </c>
      <c r="M115" s="5">
        <v>11.6</v>
      </c>
      <c r="N115">
        <v>708</v>
      </c>
      <c r="O115" s="4">
        <v>4360.3999999999996</v>
      </c>
      <c r="P115" s="4">
        <v>6522.98</v>
      </c>
      <c r="Q115">
        <v>5</v>
      </c>
      <c r="R115">
        <v>0</v>
      </c>
      <c r="S115" t="s">
        <v>44</v>
      </c>
      <c r="T115">
        <v>5</v>
      </c>
      <c r="U115" t="s">
        <v>45</v>
      </c>
      <c r="V115" t="s">
        <v>46</v>
      </c>
    </row>
    <row r="116" spans="1:22">
      <c r="A116" t="s">
        <v>418</v>
      </c>
      <c r="B116" t="s">
        <v>419</v>
      </c>
      <c r="C116" t="s">
        <v>419</v>
      </c>
      <c r="D116" t="s">
        <v>344</v>
      </c>
      <c r="E116" t="s">
        <v>420</v>
      </c>
      <c r="F116" t="s">
        <v>40</v>
      </c>
      <c r="G116" t="s">
        <v>40</v>
      </c>
      <c r="H116" t="s">
        <v>82</v>
      </c>
      <c r="I116" t="s">
        <v>82</v>
      </c>
      <c r="J116" t="s">
        <v>41</v>
      </c>
      <c r="K116" t="s">
        <v>42</v>
      </c>
      <c r="L116" t="s">
        <v>43</v>
      </c>
      <c r="M116" s="5">
        <v>8.6999999999999993</v>
      </c>
      <c r="N116">
        <v>621</v>
      </c>
      <c r="O116" s="4">
        <v>3957.3</v>
      </c>
      <c r="P116" s="4">
        <v>8229.4500000000007</v>
      </c>
      <c r="Q116">
        <v>6</v>
      </c>
      <c r="R116">
        <v>1</v>
      </c>
      <c r="S116" t="s">
        <v>56</v>
      </c>
      <c r="T116">
        <v>5</v>
      </c>
      <c r="U116" t="s">
        <v>45</v>
      </c>
      <c r="V116" t="s">
        <v>46</v>
      </c>
    </row>
    <row r="117" spans="1:22">
      <c r="A117" t="s">
        <v>421</v>
      </c>
      <c r="B117" t="s">
        <v>176</v>
      </c>
      <c r="C117" t="s">
        <v>422</v>
      </c>
      <c r="D117" t="s">
        <v>346</v>
      </c>
      <c r="E117" t="s">
        <v>346</v>
      </c>
      <c r="F117" t="s">
        <v>40</v>
      </c>
      <c r="G117" t="s">
        <v>40</v>
      </c>
      <c r="H117" t="s">
        <v>52</v>
      </c>
      <c r="I117" t="s">
        <v>53</v>
      </c>
      <c r="J117" t="s">
        <v>76</v>
      </c>
      <c r="K117" t="s">
        <v>42</v>
      </c>
      <c r="L117" t="s">
        <v>43</v>
      </c>
      <c r="M117" s="5">
        <v>14.9</v>
      </c>
      <c r="N117">
        <v>1538</v>
      </c>
      <c r="O117" s="4">
        <v>6134.9</v>
      </c>
      <c r="P117" s="4">
        <v>9582.73</v>
      </c>
      <c r="Q117">
        <v>5</v>
      </c>
      <c r="R117">
        <v>0</v>
      </c>
      <c r="S117" t="s">
        <v>44</v>
      </c>
      <c r="T117">
        <v>5</v>
      </c>
      <c r="U117" t="s">
        <v>45</v>
      </c>
      <c r="V117" t="s">
        <v>46</v>
      </c>
    </row>
    <row r="118" spans="1:22">
      <c r="A118" t="s">
        <v>423</v>
      </c>
      <c r="B118" t="s">
        <v>249</v>
      </c>
      <c r="C118" t="s">
        <v>204</v>
      </c>
      <c r="D118" t="s">
        <v>424</v>
      </c>
      <c r="E118" t="s">
        <v>39</v>
      </c>
      <c r="F118" t="s">
        <v>82</v>
      </c>
      <c r="G118" t="s">
        <v>82</v>
      </c>
      <c r="H118" t="s">
        <v>70</v>
      </c>
      <c r="I118" t="s">
        <v>71</v>
      </c>
      <c r="J118" t="s">
        <v>76</v>
      </c>
      <c r="K118" t="s">
        <v>65</v>
      </c>
      <c r="L118" t="s">
        <v>77</v>
      </c>
      <c r="M118" s="5">
        <v>12.8</v>
      </c>
      <c r="N118">
        <v>1180</v>
      </c>
      <c r="O118" s="4">
        <v>5312</v>
      </c>
      <c r="P118" s="4">
        <v>7641.05</v>
      </c>
      <c r="Q118">
        <v>6</v>
      </c>
      <c r="R118">
        <v>0</v>
      </c>
      <c r="S118" t="s">
        <v>44</v>
      </c>
      <c r="T118">
        <v>5</v>
      </c>
      <c r="U118" t="s">
        <v>45</v>
      </c>
      <c r="V118" t="s">
        <v>46</v>
      </c>
    </row>
    <row r="119" spans="1:22">
      <c r="A119" t="s">
        <v>425</v>
      </c>
      <c r="B119" t="s">
        <v>115</v>
      </c>
      <c r="C119" t="s">
        <v>115</v>
      </c>
      <c r="D119" t="s">
        <v>252</v>
      </c>
      <c r="E119" t="s">
        <v>109</v>
      </c>
      <c r="F119" t="s">
        <v>70</v>
      </c>
      <c r="G119" t="s">
        <v>71</v>
      </c>
      <c r="H119" t="s">
        <v>52</v>
      </c>
      <c r="I119" t="s">
        <v>53</v>
      </c>
      <c r="J119" t="s">
        <v>141</v>
      </c>
      <c r="K119" t="s">
        <v>42</v>
      </c>
      <c r="L119" t="s">
        <v>118</v>
      </c>
      <c r="M119" s="5">
        <v>10.8</v>
      </c>
      <c r="N119">
        <v>506</v>
      </c>
      <c r="O119" s="4">
        <v>3928.8</v>
      </c>
      <c r="P119" s="4">
        <v>5518.94</v>
      </c>
      <c r="Q119">
        <v>7</v>
      </c>
      <c r="R119">
        <v>2</v>
      </c>
      <c r="S119" t="s">
        <v>56</v>
      </c>
      <c r="T119">
        <v>4</v>
      </c>
      <c r="U119" t="s">
        <v>45</v>
      </c>
      <c r="V119" t="s">
        <v>46</v>
      </c>
    </row>
    <row r="120" spans="1:22">
      <c r="A120" t="s">
        <v>426</v>
      </c>
      <c r="B120" t="s">
        <v>338</v>
      </c>
      <c r="C120" t="s">
        <v>268</v>
      </c>
      <c r="D120" t="s">
        <v>226</v>
      </c>
      <c r="E120" t="s">
        <v>271</v>
      </c>
      <c r="F120" t="s">
        <v>54</v>
      </c>
      <c r="G120" t="s">
        <v>54</v>
      </c>
      <c r="H120" t="s">
        <v>82</v>
      </c>
      <c r="I120" t="s">
        <v>82</v>
      </c>
      <c r="J120" t="s">
        <v>76</v>
      </c>
      <c r="K120" t="s">
        <v>65</v>
      </c>
      <c r="L120" t="s">
        <v>43</v>
      </c>
      <c r="M120" s="5">
        <v>2.9</v>
      </c>
      <c r="N120">
        <v>495</v>
      </c>
      <c r="O120" s="4">
        <v>3237.5</v>
      </c>
      <c r="P120" s="4">
        <v>5845.92</v>
      </c>
      <c r="Q120">
        <v>7</v>
      </c>
      <c r="R120">
        <v>0</v>
      </c>
      <c r="S120" t="s">
        <v>44</v>
      </c>
      <c r="T120">
        <v>5</v>
      </c>
      <c r="U120" t="s">
        <v>45</v>
      </c>
      <c r="V120" t="s">
        <v>46</v>
      </c>
    </row>
    <row r="121" spans="1:22">
      <c r="A121" t="s">
        <v>427</v>
      </c>
      <c r="B121" t="s">
        <v>218</v>
      </c>
      <c r="C121" t="s">
        <v>393</v>
      </c>
      <c r="D121" t="s">
        <v>428</v>
      </c>
      <c r="E121" t="s">
        <v>58</v>
      </c>
      <c r="F121" t="s">
        <v>70</v>
      </c>
      <c r="G121" t="s">
        <v>71</v>
      </c>
      <c r="H121" t="s">
        <v>82</v>
      </c>
      <c r="I121" t="s">
        <v>82</v>
      </c>
      <c r="J121" t="s">
        <v>55</v>
      </c>
      <c r="K121" t="s">
        <v>42</v>
      </c>
      <c r="L121" t="s">
        <v>118</v>
      </c>
      <c r="M121" s="5">
        <v>0.6</v>
      </c>
      <c r="N121">
        <v>1385</v>
      </c>
      <c r="O121" s="4">
        <v>4644</v>
      </c>
      <c r="P121" s="4">
        <v>6412.25</v>
      </c>
      <c r="Q121">
        <v>3</v>
      </c>
      <c r="R121">
        <v>0</v>
      </c>
      <c r="S121" t="s">
        <v>44</v>
      </c>
      <c r="T121">
        <v>5</v>
      </c>
      <c r="U121" t="s">
        <v>45</v>
      </c>
      <c r="V121" t="s">
        <v>46</v>
      </c>
    </row>
    <row r="122" spans="1:22">
      <c r="A122" t="s">
        <v>429</v>
      </c>
      <c r="B122" t="s">
        <v>430</v>
      </c>
      <c r="C122" t="s">
        <v>105</v>
      </c>
      <c r="D122" t="s">
        <v>106</v>
      </c>
      <c r="E122" t="s">
        <v>431</v>
      </c>
      <c r="F122" t="s">
        <v>82</v>
      </c>
      <c r="G122" t="s">
        <v>82</v>
      </c>
      <c r="H122" t="s">
        <v>52</v>
      </c>
      <c r="I122" t="s">
        <v>53</v>
      </c>
      <c r="J122" t="s">
        <v>76</v>
      </c>
      <c r="K122" t="s">
        <v>65</v>
      </c>
      <c r="L122" t="s">
        <v>118</v>
      </c>
      <c r="M122" s="5">
        <v>13.3</v>
      </c>
      <c r="N122">
        <v>1901</v>
      </c>
      <c r="O122" s="4">
        <v>6652.3</v>
      </c>
      <c r="P122" s="4">
        <v>12487.28</v>
      </c>
      <c r="Q122">
        <v>11</v>
      </c>
      <c r="R122">
        <v>3</v>
      </c>
      <c r="S122" t="s">
        <v>56</v>
      </c>
      <c r="T122">
        <v>3</v>
      </c>
      <c r="U122" t="s">
        <v>45</v>
      </c>
      <c r="V122" t="s">
        <v>46</v>
      </c>
    </row>
    <row r="123" spans="1:22">
      <c r="A123" t="s">
        <v>432</v>
      </c>
      <c r="B123" t="s">
        <v>74</v>
      </c>
      <c r="C123" t="s">
        <v>143</v>
      </c>
      <c r="D123" t="s">
        <v>227</v>
      </c>
      <c r="E123" t="s">
        <v>433</v>
      </c>
      <c r="F123" t="s">
        <v>70</v>
      </c>
      <c r="G123" t="s">
        <v>71</v>
      </c>
      <c r="H123" t="s">
        <v>70</v>
      </c>
      <c r="I123" t="s">
        <v>71</v>
      </c>
      <c r="J123" t="s">
        <v>55</v>
      </c>
      <c r="K123" t="s">
        <v>42</v>
      </c>
      <c r="L123" t="s">
        <v>87</v>
      </c>
      <c r="M123" s="5">
        <v>8.3000000000000007</v>
      </c>
      <c r="N123">
        <v>1316</v>
      </c>
      <c r="O123" s="4">
        <v>5174.3</v>
      </c>
      <c r="P123" s="4">
        <v>10838.47</v>
      </c>
      <c r="Q123">
        <v>6</v>
      </c>
      <c r="R123">
        <v>1</v>
      </c>
      <c r="S123" t="s">
        <v>56</v>
      </c>
      <c r="T123">
        <v>4</v>
      </c>
      <c r="U123" t="s">
        <v>45</v>
      </c>
      <c r="V123" t="s">
        <v>46</v>
      </c>
    </row>
    <row r="124" spans="1:22">
      <c r="A124" t="s">
        <v>434</v>
      </c>
      <c r="B124" t="s">
        <v>103</v>
      </c>
      <c r="C124" t="s">
        <v>103</v>
      </c>
      <c r="D124" t="s">
        <v>158</v>
      </c>
      <c r="E124" t="s">
        <v>384</v>
      </c>
      <c r="F124" t="s">
        <v>40</v>
      </c>
      <c r="G124" t="s">
        <v>40</v>
      </c>
      <c r="H124" t="s">
        <v>40</v>
      </c>
      <c r="I124" t="s">
        <v>40</v>
      </c>
      <c r="J124" t="s">
        <v>76</v>
      </c>
      <c r="K124" t="s">
        <v>65</v>
      </c>
      <c r="L124" t="s">
        <v>43</v>
      </c>
      <c r="M124" s="5">
        <v>1.7</v>
      </c>
      <c r="N124">
        <v>93</v>
      </c>
      <c r="O124" s="4">
        <v>2411.9</v>
      </c>
      <c r="P124" s="4">
        <v>3365.28</v>
      </c>
      <c r="Q124">
        <v>7</v>
      </c>
      <c r="R124">
        <v>0</v>
      </c>
      <c r="S124" t="s">
        <v>44</v>
      </c>
      <c r="T124">
        <v>5</v>
      </c>
      <c r="U124" t="s">
        <v>45</v>
      </c>
      <c r="V124" t="s">
        <v>46</v>
      </c>
    </row>
    <row r="125" spans="1:22">
      <c r="A125" t="s">
        <v>435</v>
      </c>
      <c r="B125" t="s">
        <v>436</v>
      </c>
      <c r="C125" t="s">
        <v>437</v>
      </c>
      <c r="D125" t="s">
        <v>438</v>
      </c>
      <c r="E125" t="s">
        <v>217</v>
      </c>
      <c r="F125" t="s">
        <v>40</v>
      </c>
      <c r="G125" t="s">
        <v>40</v>
      </c>
      <c r="H125" t="s">
        <v>82</v>
      </c>
      <c r="I125" t="s">
        <v>82</v>
      </c>
      <c r="J125" t="s">
        <v>141</v>
      </c>
      <c r="K125" t="s">
        <v>65</v>
      </c>
      <c r="L125" t="s">
        <v>61</v>
      </c>
      <c r="M125" s="5">
        <v>12.4</v>
      </c>
      <c r="N125">
        <v>2175</v>
      </c>
      <c r="O125" s="4">
        <v>7069</v>
      </c>
      <c r="P125" s="4">
        <v>12735.6</v>
      </c>
      <c r="Q125">
        <v>7</v>
      </c>
      <c r="R125">
        <v>0</v>
      </c>
      <c r="S125" t="s">
        <v>44</v>
      </c>
      <c r="T125">
        <v>5</v>
      </c>
      <c r="U125" t="s">
        <v>45</v>
      </c>
      <c r="V125" t="s">
        <v>46</v>
      </c>
    </row>
    <row r="126" spans="1:22">
      <c r="A126" t="s">
        <v>439</v>
      </c>
      <c r="B126" t="s">
        <v>358</v>
      </c>
      <c r="C126" t="s">
        <v>428</v>
      </c>
      <c r="D126" t="s">
        <v>440</v>
      </c>
      <c r="E126" t="s">
        <v>59</v>
      </c>
      <c r="F126" t="s">
        <v>40</v>
      </c>
      <c r="G126" t="s">
        <v>40</v>
      </c>
      <c r="H126" t="s">
        <v>70</v>
      </c>
      <c r="I126" t="s">
        <v>71</v>
      </c>
      <c r="J126" t="s">
        <v>141</v>
      </c>
      <c r="K126" t="s">
        <v>72</v>
      </c>
      <c r="L126" t="s">
        <v>77</v>
      </c>
      <c r="M126" s="5">
        <v>10.3</v>
      </c>
      <c r="N126">
        <v>663</v>
      </c>
      <c r="O126" s="4">
        <v>5848.9</v>
      </c>
      <c r="P126" s="4">
        <v>9312.7900000000009</v>
      </c>
      <c r="Q126">
        <v>3</v>
      </c>
      <c r="R126">
        <v>1</v>
      </c>
      <c r="S126" t="s">
        <v>56</v>
      </c>
      <c r="T126">
        <v>5</v>
      </c>
      <c r="U126" t="s">
        <v>45</v>
      </c>
      <c r="V126" t="s">
        <v>46</v>
      </c>
    </row>
    <row r="127" spans="1:22">
      <c r="A127" t="s">
        <v>441</v>
      </c>
      <c r="B127" t="s">
        <v>99</v>
      </c>
      <c r="C127" t="s">
        <v>264</v>
      </c>
      <c r="D127" t="s">
        <v>170</v>
      </c>
      <c r="E127" t="s">
        <v>415</v>
      </c>
      <c r="F127" t="s">
        <v>70</v>
      </c>
      <c r="G127" t="s">
        <v>71</v>
      </c>
      <c r="H127" t="s">
        <v>40</v>
      </c>
      <c r="I127" t="s">
        <v>40</v>
      </c>
      <c r="J127" t="s">
        <v>76</v>
      </c>
      <c r="K127" t="s">
        <v>42</v>
      </c>
      <c r="L127" t="s">
        <v>87</v>
      </c>
      <c r="M127" s="5">
        <v>3.1</v>
      </c>
      <c r="N127">
        <v>1164</v>
      </c>
      <c r="O127" s="4">
        <v>4458.7</v>
      </c>
      <c r="P127" s="4">
        <v>8145.36</v>
      </c>
      <c r="Q127">
        <v>4</v>
      </c>
      <c r="R127">
        <v>0</v>
      </c>
      <c r="S127" t="s">
        <v>44</v>
      </c>
      <c r="T127">
        <v>5</v>
      </c>
      <c r="U127" t="s">
        <v>45</v>
      </c>
      <c r="V127" t="s">
        <v>46</v>
      </c>
    </row>
    <row r="128" spans="1:22">
      <c r="A128" t="s">
        <v>442</v>
      </c>
      <c r="B128" t="s">
        <v>443</v>
      </c>
      <c r="C128" t="s">
        <v>202</v>
      </c>
      <c r="D128" t="s">
        <v>81</v>
      </c>
      <c r="E128" t="s">
        <v>212</v>
      </c>
      <c r="F128" t="s">
        <v>40</v>
      </c>
      <c r="G128" t="s">
        <v>40</v>
      </c>
      <c r="H128" t="s">
        <v>54</v>
      </c>
      <c r="I128" t="s">
        <v>54</v>
      </c>
      <c r="J128" t="s">
        <v>141</v>
      </c>
      <c r="K128" t="s">
        <v>72</v>
      </c>
      <c r="L128" t="s">
        <v>61</v>
      </c>
      <c r="M128" s="5">
        <v>10.3</v>
      </c>
      <c r="N128">
        <v>854</v>
      </c>
      <c r="O128" s="4">
        <v>6192.7</v>
      </c>
      <c r="P128" s="4">
        <v>11365.01</v>
      </c>
      <c r="Q128">
        <v>3</v>
      </c>
      <c r="R128">
        <v>1</v>
      </c>
      <c r="S128" t="s">
        <v>56</v>
      </c>
      <c r="T128">
        <v>5</v>
      </c>
      <c r="U128" t="s">
        <v>45</v>
      </c>
      <c r="V128" t="s">
        <v>46</v>
      </c>
    </row>
    <row r="129" spans="1:22">
      <c r="A129" t="s">
        <v>444</v>
      </c>
      <c r="B129" t="s">
        <v>344</v>
      </c>
      <c r="C129" t="s">
        <v>445</v>
      </c>
      <c r="D129" t="s">
        <v>281</v>
      </c>
      <c r="E129" t="s">
        <v>259</v>
      </c>
      <c r="F129" t="s">
        <v>40</v>
      </c>
      <c r="G129" t="s">
        <v>40</v>
      </c>
      <c r="H129" t="s">
        <v>40</v>
      </c>
      <c r="I129" t="s">
        <v>40</v>
      </c>
      <c r="J129" t="s">
        <v>76</v>
      </c>
      <c r="K129" t="s">
        <v>72</v>
      </c>
      <c r="L129" t="s">
        <v>43</v>
      </c>
      <c r="M129" s="5">
        <v>11.8</v>
      </c>
      <c r="N129">
        <v>1725</v>
      </c>
      <c r="O129" s="4">
        <v>7888</v>
      </c>
      <c r="P129" s="4">
        <v>13535.84</v>
      </c>
      <c r="Q129">
        <v>1</v>
      </c>
      <c r="R129">
        <v>0</v>
      </c>
      <c r="S129" t="s">
        <v>44</v>
      </c>
      <c r="T129">
        <v>5</v>
      </c>
      <c r="U129" t="s">
        <v>45</v>
      </c>
      <c r="V129" t="s">
        <v>46</v>
      </c>
    </row>
    <row r="130" spans="1:22">
      <c r="A130" t="s">
        <v>446</v>
      </c>
      <c r="B130" t="s">
        <v>289</v>
      </c>
      <c r="C130" t="s">
        <v>336</v>
      </c>
      <c r="D130" t="s">
        <v>377</v>
      </c>
      <c r="E130" t="s">
        <v>275</v>
      </c>
      <c r="F130" t="s">
        <v>82</v>
      </c>
      <c r="G130" t="s">
        <v>82</v>
      </c>
      <c r="H130" t="s">
        <v>82</v>
      </c>
      <c r="I130" t="s">
        <v>82</v>
      </c>
      <c r="J130" t="s">
        <v>41</v>
      </c>
      <c r="K130" t="s">
        <v>72</v>
      </c>
      <c r="L130" t="s">
        <v>61</v>
      </c>
      <c r="M130" s="5">
        <v>10.9</v>
      </c>
      <c r="N130">
        <v>1208</v>
      </c>
      <c r="O130" s="4">
        <v>6880.9</v>
      </c>
      <c r="P130" s="4">
        <v>13524.86</v>
      </c>
      <c r="Q130">
        <v>1</v>
      </c>
      <c r="R130">
        <v>0</v>
      </c>
      <c r="S130" t="s">
        <v>44</v>
      </c>
      <c r="T130">
        <v>5</v>
      </c>
      <c r="U130" t="s">
        <v>45</v>
      </c>
      <c r="V130" t="s">
        <v>46</v>
      </c>
    </row>
    <row r="131" spans="1:22">
      <c r="A131" t="s">
        <v>447</v>
      </c>
      <c r="B131" t="s">
        <v>67</v>
      </c>
      <c r="C131" t="s">
        <v>67</v>
      </c>
      <c r="D131" t="s">
        <v>448</v>
      </c>
      <c r="E131" t="s">
        <v>74</v>
      </c>
      <c r="F131" t="s">
        <v>70</v>
      </c>
      <c r="G131" t="s">
        <v>71</v>
      </c>
      <c r="H131" t="s">
        <v>70</v>
      </c>
      <c r="I131" t="s">
        <v>71</v>
      </c>
      <c r="J131" t="s">
        <v>41</v>
      </c>
      <c r="K131" t="s">
        <v>65</v>
      </c>
      <c r="L131" t="s">
        <v>77</v>
      </c>
      <c r="M131" s="5">
        <v>14.6</v>
      </c>
      <c r="N131">
        <v>580</v>
      </c>
      <c r="O131" s="4">
        <v>4385</v>
      </c>
      <c r="P131" s="4">
        <v>7234.1</v>
      </c>
      <c r="Q131">
        <v>4</v>
      </c>
      <c r="R131">
        <v>0</v>
      </c>
      <c r="S131" t="s">
        <v>44</v>
      </c>
      <c r="T131">
        <v>5</v>
      </c>
      <c r="U131" t="s">
        <v>45</v>
      </c>
      <c r="V131" t="s">
        <v>46</v>
      </c>
    </row>
    <row r="132" spans="1:22">
      <c r="A132" t="s">
        <v>449</v>
      </c>
      <c r="B132" t="s">
        <v>179</v>
      </c>
      <c r="C132" t="s">
        <v>179</v>
      </c>
      <c r="D132" t="s">
        <v>183</v>
      </c>
      <c r="E132" t="s">
        <v>185</v>
      </c>
      <c r="F132" t="s">
        <v>40</v>
      </c>
      <c r="G132" t="s">
        <v>40</v>
      </c>
      <c r="H132" t="s">
        <v>40</v>
      </c>
      <c r="I132" t="s">
        <v>40</v>
      </c>
      <c r="J132" t="s">
        <v>141</v>
      </c>
      <c r="K132" t="s">
        <v>42</v>
      </c>
      <c r="L132" t="s">
        <v>87</v>
      </c>
      <c r="M132" s="5">
        <v>14.4</v>
      </c>
      <c r="N132">
        <v>837</v>
      </c>
      <c r="O132" s="4">
        <v>4830.6000000000004</v>
      </c>
      <c r="P132" s="4">
        <v>7779.93</v>
      </c>
      <c r="Q132">
        <v>6</v>
      </c>
      <c r="R132">
        <v>1</v>
      </c>
      <c r="S132" t="s">
        <v>56</v>
      </c>
      <c r="T132">
        <v>5</v>
      </c>
      <c r="U132" t="s">
        <v>45</v>
      </c>
      <c r="V132" t="s">
        <v>46</v>
      </c>
    </row>
    <row r="133" spans="1:22">
      <c r="A133" t="s">
        <v>450</v>
      </c>
      <c r="B133" t="s">
        <v>430</v>
      </c>
      <c r="C133" t="s">
        <v>105</v>
      </c>
      <c r="D133" t="s">
        <v>106</v>
      </c>
      <c r="E133" t="s">
        <v>93</v>
      </c>
      <c r="F133" t="s">
        <v>82</v>
      </c>
      <c r="G133" t="s">
        <v>82</v>
      </c>
      <c r="H133" t="s">
        <v>54</v>
      </c>
      <c r="I133" t="s">
        <v>54</v>
      </c>
      <c r="J133" t="s">
        <v>76</v>
      </c>
      <c r="K133" t="s">
        <v>65</v>
      </c>
      <c r="L133" t="s">
        <v>118</v>
      </c>
      <c r="M133" s="5">
        <v>7.7</v>
      </c>
      <c r="N133">
        <v>710</v>
      </c>
      <c r="O133" s="4">
        <v>4032.5</v>
      </c>
      <c r="P133" s="4">
        <v>7419.46</v>
      </c>
      <c r="Q133">
        <v>5</v>
      </c>
      <c r="R133">
        <v>0</v>
      </c>
      <c r="S133" t="s">
        <v>44</v>
      </c>
      <c r="T133">
        <v>5</v>
      </c>
      <c r="U133" t="s">
        <v>45</v>
      </c>
      <c r="V133" t="s">
        <v>46</v>
      </c>
    </row>
    <row r="134" spans="1:22">
      <c r="A134" t="s">
        <v>451</v>
      </c>
      <c r="B134" t="s">
        <v>155</v>
      </c>
      <c r="C134" t="s">
        <v>452</v>
      </c>
      <c r="D134" t="s">
        <v>453</v>
      </c>
      <c r="E134" t="s">
        <v>204</v>
      </c>
      <c r="F134" t="s">
        <v>52</v>
      </c>
      <c r="G134" t="s">
        <v>53</v>
      </c>
      <c r="H134" t="s">
        <v>70</v>
      </c>
      <c r="I134" t="s">
        <v>71</v>
      </c>
      <c r="J134" t="s">
        <v>55</v>
      </c>
      <c r="K134" t="s">
        <v>72</v>
      </c>
      <c r="L134" t="s">
        <v>87</v>
      </c>
      <c r="M134" s="5">
        <v>6.3</v>
      </c>
      <c r="N134">
        <v>361</v>
      </c>
      <c r="O134" s="4">
        <v>4965.3</v>
      </c>
      <c r="P134" s="4">
        <v>7440.64</v>
      </c>
      <c r="Q134">
        <v>3</v>
      </c>
      <c r="R134">
        <v>1</v>
      </c>
      <c r="S134" t="s">
        <v>56</v>
      </c>
      <c r="T134">
        <v>4</v>
      </c>
      <c r="U134" t="s">
        <v>45</v>
      </c>
      <c r="V134" t="s">
        <v>46</v>
      </c>
    </row>
    <row r="135" spans="1:22">
      <c r="A135" t="s">
        <v>454</v>
      </c>
      <c r="B135" t="s">
        <v>347</v>
      </c>
      <c r="C135" t="s">
        <v>455</v>
      </c>
      <c r="D135" t="s">
        <v>456</v>
      </c>
      <c r="E135" t="s">
        <v>457</v>
      </c>
      <c r="F135" t="s">
        <v>40</v>
      </c>
      <c r="G135" t="s">
        <v>40</v>
      </c>
      <c r="H135" t="s">
        <v>82</v>
      </c>
      <c r="I135" t="s">
        <v>82</v>
      </c>
      <c r="J135" t="s">
        <v>141</v>
      </c>
      <c r="K135" t="s">
        <v>72</v>
      </c>
      <c r="L135" t="s">
        <v>61</v>
      </c>
      <c r="M135" s="5">
        <v>2.6</v>
      </c>
      <c r="N135">
        <v>563</v>
      </c>
      <c r="O135" s="4">
        <v>5014.3999999999996</v>
      </c>
      <c r="P135" s="4">
        <v>8894.14</v>
      </c>
      <c r="Q135">
        <v>1</v>
      </c>
      <c r="R135">
        <v>0</v>
      </c>
      <c r="S135" t="s">
        <v>44</v>
      </c>
      <c r="T135">
        <v>5</v>
      </c>
      <c r="U135" t="s">
        <v>45</v>
      </c>
      <c r="V135" t="s">
        <v>46</v>
      </c>
    </row>
    <row r="136" spans="1:22">
      <c r="A136" t="s">
        <v>458</v>
      </c>
      <c r="B136" t="s">
        <v>80</v>
      </c>
      <c r="C136" t="s">
        <v>81</v>
      </c>
      <c r="D136" t="s">
        <v>382</v>
      </c>
      <c r="E136" t="s">
        <v>459</v>
      </c>
      <c r="F136" t="s">
        <v>82</v>
      </c>
      <c r="G136" t="s">
        <v>82</v>
      </c>
      <c r="H136" t="s">
        <v>70</v>
      </c>
      <c r="I136" t="s">
        <v>71</v>
      </c>
      <c r="J136" t="s">
        <v>41</v>
      </c>
      <c r="K136" t="s">
        <v>72</v>
      </c>
      <c r="L136" t="s">
        <v>87</v>
      </c>
      <c r="M136" s="5">
        <v>15.5</v>
      </c>
      <c r="N136">
        <v>763</v>
      </c>
      <c r="O136" s="4">
        <v>6470.9</v>
      </c>
      <c r="P136" s="4">
        <v>8147.53</v>
      </c>
      <c r="Q136">
        <v>4</v>
      </c>
      <c r="R136">
        <v>2</v>
      </c>
      <c r="S136" t="s">
        <v>56</v>
      </c>
      <c r="T136">
        <v>4</v>
      </c>
      <c r="U136" t="s">
        <v>220</v>
      </c>
      <c r="V136" t="s">
        <v>46</v>
      </c>
    </row>
    <row r="137" spans="1:22">
      <c r="A137" t="s">
        <v>460</v>
      </c>
      <c r="B137" t="s">
        <v>461</v>
      </c>
      <c r="C137" t="s">
        <v>461</v>
      </c>
      <c r="D137" t="s">
        <v>200</v>
      </c>
      <c r="E137" t="s">
        <v>462</v>
      </c>
      <c r="F137" t="s">
        <v>70</v>
      </c>
      <c r="G137" t="s">
        <v>71</v>
      </c>
      <c r="H137" t="s">
        <v>54</v>
      </c>
      <c r="I137" t="s">
        <v>54</v>
      </c>
      <c r="J137" t="s">
        <v>76</v>
      </c>
      <c r="K137" t="s">
        <v>42</v>
      </c>
      <c r="L137" t="s">
        <v>43</v>
      </c>
      <c r="M137" s="5">
        <v>13.1</v>
      </c>
      <c r="N137">
        <v>549</v>
      </c>
      <c r="O137" s="4">
        <v>4201.7</v>
      </c>
      <c r="P137" s="4">
        <v>6367.36</v>
      </c>
      <c r="Q137">
        <v>3</v>
      </c>
      <c r="R137">
        <v>0</v>
      </c>
      <c r="S137" t="s">
        <v>44</v>
      </c>
      <c r="T137">
        <v>5</v>
      </c>
      <c r="U137" t="s">
        <v>45</v>
      </c>
      <c r="V137" t="s">
        <v>46</v>
      </c>
    </row>
    <row r="138" spans="1:22">
      <c r="A138" t="s">
        <v>463</v>
      </c>
      <c r="B138" t="s">
        <v>464</v>
      </c>
      <c r="C138" t="s">
        <v>164</v>
      </c>
      <c r="D138" t="s">
        <v>165</v>
      </c>
      <c r="E138" t="s">
        <v>157</v>
      </c>
      <c r="F138" t="s">
        <v>70</v>
      </c>
      <c r="G138" t="s">
        <v>71</v>
      </c>
      <c r="H138" t="s">
        <v>70</v>
      </c>
      <c r="I138" t="s">
        <v>71</v>
      </c>
      <c r="J138" t="s">
        <v>55</v>
      </c>
      <c r="K138" t="s">
        <v>72</v>
      </c>
      <c r="L138" t="s">
        <v>118</v>
      </c>
      <c r="M138" s="5">
        <v>16.899999999999999</v>
      </c>
      <c r="N138">
        <v>398</v>
      </c>
      <c r="O138" s="4">
        <v>5932.9</v>
      </c>
      <c r="P138" s="4">
        <v>12224.77</v>
      </c>
      <c r="Q138">
        <v>3</v>
      </c>
      <c r="R138">
        <v>1</v>
      </c>
      <c r="S138" t="s">
        <v>56</v>
      </c>
      <c r="T138">
        <v>5</v>
      </c>
      <c r="U138" t="s">
        <v>45</v>
      </c>
      <c r="V138" t="s">
        <v>46</v>
      </c>
    </row>
    <row r="139" spans="1:22">
      <c r="A139" t="s">
        <v>465</v>
      </c>
      <c r="B139" t="s">
        <v>305</v>
      </c>
      <c r="C139" t="s">
        <v>340</v>
      </c>
      <c r="D139" t="s">
        <v>415</v>
      </c>
      <c r="E139" t="s">
        <v>172</v>
      </c>
      <c r="F139" t="s">
        <v>82</v>
      </c>
      <c r="G139" t="s">
        <v>82</v>
      </c>
      <c r="H139" t="s">
        <v>40</v>
      </c>
      <c r="I139" t="s">
        <v>40</v>
      </c>
      <c r="J139" t="s">
        <v>76</v>
      </c>
      <c r="K139" t="s">
        <v>65</v>
      </c>
      <c r="L139" t="s">
        <v>61</v>
      </c>
      <c r="M139" s="5">
        <v>1.7</v>
      </c>
      <c r="N139">
        <v>1560</v>
      </c>
      <c r="O139" s="4">
        <v>5052.5</v>
      </c>
      <c r="P139" s="4">
        <v>6903.11</v>
      </c>
      <c r="Q139">
        <v>10</v>
      </c>
      <c r="R139">
        <v>2</v>
      </c>
      <c r="S139" t="s">
        <v>56</v>
      </c>
      <c r="T139">
        <v>4</v>
      </c>
      <c r="U139" t="s">
        <v>45</v>
      </c>
      <c r="V139" t="s">
        <v>46</v>
      </c>
    </row>
    <row r="140" spans="1:22">
      <c r="A140" t="s">
        <v>466</v>
      </c>
      <c r="B140" t="s">
        <v>266</v>
      </c>
      <c r="C140" t="s">
        <v>240</v>
      </c>
      <c r="D140" t="s">
        <v>467</v>
      </c>
      <c r="E140" t="s">
        <v>437</v>
      </c>
      <c r="F140" t="s">
        <v>52</v>
      </c>
      <c r="G140" t="s">
        <v>53</v>
      </c>
      <c r="H140" t="s">
        <v>82</v>
      </c>
      <c r="I140" t="s">
        <v>82</v>
      </c>
      <c r="J140" t="s">
        <v>141</v>
      </c>
      <c r="K140" t="s">
        <v>42</v>
      </c>
      <c r="L140" t="s">
        <v>43</v>
      </c>
      <c r="M140" s="5">
        <v>5.2</v>
      </c>
      <c r="N140">
        <v>1684</v>
      </c>
      <c r="O140" s="4">
        <v>5573.2</v>
      </c>
      <c r="P140" s="4">
        <v>10667.08</v>
      </c>
      <c r="Q140">
        <v>3</v>
      </c>
      <c r="R140">
        <v>0</v>
      </c>
      <c r="S140" t="s">
        <v>44</v>
      </c>
      <c r="T140">
        <v>4</v>
      </c>
      <c r="U140" t="s">
        <v>45</v>
      </c>
      <c r="V140" t="s">
        <v>46</v>
      </c>
    </row>
    <row r="141" spans="1:22">
      <c r="A141" t="s">
        <v>468</v>
      </c>
      <c r="B141" t="s">
        <v>469</v>
      </c>
      <c r="C141" t="s">
        <v>470</v>
      </c>
      <c r="D141" t="s">
        <v>139</v>
      </c>
      <c r="E141" t="s">
        <v>299</v>
      </c>
      <c r="F141" t="s">
        <v>70</v>
      </c>
      <c r="G141" t="s">
        <v>71</v>
      </c>
      <c r="H141" t="s">
        <v>52</v>
      </c>
      <c r="I141" t="s">
        <v>53</v>
      </c>
      <c r="J141" t="s">
        <v>41</v>
      </c>
      <c r="K141" t="s">
        <v>72</v>
      </c>
      <c r="L141" t="s">
        <v>77</v>
      </c>
      <c r="M141" s="5">
        <v>6.9</v>
      </c>
      <c r="N141">
        <v>1286</v>
      </c>
      <c r="O141" s="4">
        <v>6681.3</v>
      </c>
      <c r="P141" s="4">
        <v>11017.6</v>
      </c>
      <c r="Q141">
        <v>1</v>
      </c>
      <c r="R141">
        <v>0</v>
      </c>
      <c r="S141" t="s">
        <v>44</v>
      </c>
      <c r="T141">
        <v>5</v>
      </c>
      <c r="U141" t="s">
        <v>45</v>
      </c>
      <c r="V141" t="s">
        <v>46</v>
      </c>
    </row>
    <row r="142" spans="1:22">
      <c r="A142" t="s">
        <v>471</v>
      </c>
      <c r="B142" t="s">
        <v>216</v>
      </c>
      <c r="C142" t="s">
        <v>217</v>
      </c>
      <c r="D142" t="s">
        <v>358</v>
      </c>
      <c r="E142" t="s">
        <v>428</v>
      </c>
      <c r="F142" t="s">
        <v>82</v>
      </c>
      <c r="G142" t="s">
        <v>82</v>
      </c>
      <c r="H142" t="s">
        <v>40</v>
      </c>
      <c r="I142" t="s">
        <v>40</v>
      </c>
      <c r="J142" t="s">
        <v>41</v>
      </c>
      <c r="K142" t="s">
        <v>65</v>
      </c>
      <c r="L142" t="s">
        <v>87</v>
      </c>
      <c r="M142" s="5">
        <v>15.1</v>
      </c>
      <c r="N142">
        <v>1121</v>
      </c>
      <c r="O142" s="4">
        <v>5401.3</v>
      </c>
      <c r="P142" s="4">
        <v>9868.4599999999991</v>
      </c>
      <c r="Q142">
        <v>9</v>
      </c>
      <c r="R142">
        <v>1</v>
      </c>
      <c r="S142" t="s">
        <v>56</v>
      </c>
      <c r="T142">
        <v>4</v>
      </c>
      <c r="U142" t="s">
        <v>45</v>
      </c>
      <c r="V142" t="s">
        <v>46</v>
      </c>
    </row>
    <row r="143" spans="1:22">
      <c r="A143" t="s">
        <v>472</v>
      </c>
      <c r="B143" t="s">
        <v>106</v>
      </c>
      <c r="C143" t="s">
        <v>331</v>
      </c>
      <c r="D143" t="s">
        <v>473</v>
      </c>
      <c r="E143" t="s">
        <v>431</v>
      </c>
      <c r="F143" t="s">
        <v>82</v>
      </c>
      <c r="G143" t="s">
        <v>82</v>
      </c>
      <c r="H143" t="s">
        <v>82</v>
      </c>
      <c r="I143" t="s">
        <v>82</v>
      </c>
      <c r="J143" t="s">
        <v>55</v>
      </c>
      <c r="K143" t="s">
        <v>42</v>
      </c>
      <c r="L143" t="s">
        <v>87</v>
      </c>
      <c r="M143" s="5">
        <v>12.4</v>
      </c>
      <c r="N143">
        <v>1696</v>
      </c>
      <c r="O143" s="4">
        <v>6206.8</v>
      </c>
      <c r="P143" s="4">
        <v>10726.21</v>
      </c>
      <c r="Q143">
        <v>2</v>
      </c>
      <c r="R143">
        <v>0</v>
      </c>
      <c r="S143" t="s">
        <v>44</v>
      </c>
      <c r="T143">
        <v>5</v>
      </c>
      <c r="U143" t="s">
        <v>220</v>
      </c>
      <c r="V143" t="s">
        <v>46</v>
      </c>
    </row>
    <row r="144" spans="1:22">
      <c r="A144" t="s">
        <v>474</v>
      </c>
      <c r="B144" t="s">
        <v>149</v>
      </c>
      <c r="C144" t="s">
        <v>475</v>
      </c>
      <c r="D144" t="s">
        <v>476</v>
      </c>
      <c r="E144" t="s">
        <v>150</v>
      </c>
      <c r="F144" t="s">
        <v>70</v>
      </c>
      <c r="G144" t="s">
        <v>71</v>
      </c>
      <c r="H144" t="s">
        <v>70</v>
      </c>
      <c r="I144" t="s">
        <v>71</v>
      </c>
      <c r="J144" t="s">
        <v>55</v>
      </c>
      <c r="K144" t="s">
        <v>65</v>
      </c>
      <c r="L144" t="s">
        <v>43</v>
      </c>
      <c r="M144" s="5">
        <v>16.5</v>
      </c>
      <c r="N144">
        <v>1416</v>
      </c>
      <c r="O144" s="4">
        <v>6051.3</v>
      </c>
      <c r="P144" s="4">
        <v>8189.27</v>
      </c>
      <c r="Q144">
        <v>4</v>
      </c>
      <c r="R144">
        <v>0</v>
      </c>
      <c r="S144" t="s">
        <v>44</v>
      </c>
      <c r="T144">
        <v>5</v>
      </c>
      <c r="U144" t="s">
        <v>45</v>
      </c>
      <c r="V144" t="s">
        <v>46</v>
      </c>
    </row>
    <row r="145" spans="1:22">
      <c r="A145" t="s">
        <v>477</v>
      </c>
      <c r="B145" t="s">
        <v>64</v>
      </c>
      <c r="C145" t="s">
        <v>50</v>
      </c>
      <c r="D145" t="s">
        <v>81</v>
      </c>
      <c r="E145" t="s">
        <v>213</v>
      </c>
      <c r="F145" t="s">
        <v>54</v>
      </c>
      <c r="G145" t="s">
        <v>54</v>
      </c>
      <c r="H145" t="s">
        <v>82</v>
      </c>
      <c r="I145" t="s">
        <v>82</v>
      </c>
      <c r="J145" t="s">
        <v>141</v>
      </c>
      <c r="K145" t="s">
        <v>65</v>
      </c>
      <c r="L145" t="s">
        <v>77</v>
      </c>
      <c r="M145" s="5">
        <v>6.6</v>
      </c>
      <c r="N145">
        <v>1081</v>
      </c>
      <c r="O145" s="4">
        <v>4606.8</v>
      </c>
      <c r="P145" s="4">
        <v>7039.69</v>
      </c>
      <c r="Q145">
        <v>11</v>
      </c>
      <c r="R145">
        <v>3</v>
      </c>
      <c r="S145" t="s">
        <v>56</v>
      </c>
      <c r="T145">
        <v>4</v>
      </c>
      <c r="U145" t="s">
        <v>220</v>
      </c>
      <c r="V145" t="s">
        <v>46</v>
      </c>
    </row>
    <row r="146" spans="1:22">
      <c r="A146" t="s">
        <v>478</v>
      </c>
      <c r="B146" t="s">
        <v>260</v>
      </c>
      <c r="C146" t="s">
        <v>398</v>
      </c>
      <c r="D146" t="s">
        <v>479</v>
      </c>
      <c r="E146" t="s">
        <v>480</v>
      </c>
      <c r="F146" t="s">
        <v>70</v>
      </c>
      <c r="G146" t="s">
        <v>71</v>
      </c>
      <c r="H146" t="s">
        <v>70</v>
      </c>
      <c r="I146" t="s">
        <v>71</v>
      </c>
      <c r="J146" t="s">
        <v>76</v>
      </c>
      <c r="K146" t="s">
        <v>72</v>
      </c>
      <c r="L146" t="s">
        <v>43</v>
      </c>
      <c r="M146" s="5">
        <v>0.2</v>
      </c>
      <c r="N146">
        <v>395</v>
      </c>
      <c r="O146" s="4">
        <v>4508</v>
      </c>
      <c r="P146" s="4">
        <v>6687.79</v>
      </c>
      <c r="Q146">
        <v>3</v>
      </c>
      <c r="R146">
        <v>1</v>
      </c>
      <c r="S146" t="s">
        <v>56</v>
      </c>
      <c r="T146">
        <v>5</v>
      </c>
      <c r="U146" t="s">
        <v>45</v>
      </c>
      <c r="V146" t="s">
        <v>46</v>
      </c>
    </row>
    <row r="147" spans="1:22">
      <c r="A147" t="s">
        <v>481</v>
      </c>
      <c r="B147" t="s">
        <v>289</v>
      </c>
      <c r="C147" t="s">
        <v>276</v>
      </c>
      <c r="D147" t="s">
        <v>275</v>
      </c>
      <c r="E147" t="s">
        <v>377</v>
      </c>
      <c r="F147" t="s">
        <v>82</v>
      </c>
      <c r="G147" t="s">
        <v>82</v>
      </c>
      <c r="H147" t="s">
        <v>82</v>
      </c>
      <c r="I147" t="s">
        <v>82</v>
      </c>
      <c r="J147" t="s">
        <v>141</v>
      </c>
      <c r="K147" t="s">
        <v>72</v>
      </c>
      <c r="L147" t="s">
        <v>87</v>
      </c>
      <c r="M147" s="5">
        <v>12</v>
      </c>
      <c r="N147">
        <v>594</v>
      </c>
      <c r="O147" s="4">
        <v>5869.2</v>
      </c>
      <c r="P147" s="4">
        <v>11579.94</v>
      </c>
      <c r="Q147">
        <v>3</v>
      </c>
      <c r="R147">
        <v>1</v>
      </c>
      <c r="S147" t="s">
        <v>56</v>
      </c>
      <c r="T147">
        <v>5</v>
      </c>
      <c r="U147" t="s">
        <v>45</v>
      </c>
      <c r="V147" t="s">
        <v>46</v>
      </c>
    </row>
    <row r="148" spans="1:22">
      <c r="A148" t="s">
        <v>482</v>
      </c>
      <c r="B148" t="s">
        <v>483</v>
      </c>
      <c r="C148" t="s">
        <v>484</v>
      </c>
      <c r="D148" t="s">
        <v>204</v>
      </c>
      <c r="E148" t="s">
        <v>154</v>
      </c>
      <c r="F148" t="s">
        <v>52</v>
      </c>
      <c r="G148" t="s">
        <v>53</v>
      </c>
      <c r="H148" t="s">
        <v>52</v>
      </c>
      <c r="I148" t="s">
        <v>53</v>
      </c>
      <c r="J148" t="s">
        <v>76</v>
      </c>
      <c r="K148" t="s">
        <v>65</v>
      </c>
      <c r="L148" t="s">
        <v>61</v>
      </c>
      <c r="M148" s="5">
        <v>16.7</v>
      </c>
      <c r="N148">
        <v>1189</v>
      </c>
      <c r="O148" s="4">
        <v>5659.7</v>
      </c>
      <c r="P148" s="4">
        <v>8427.89</v>
      </c>
      <c r="Q148">
        <v>4</v>
      </c>
      <c r="R148">
        <v>0</v>
      </c>
      <c r="S148" t="s">
        <v>44</v>
      </c>
      <c r="T148">
        <v>5</v>
      </c>
      <c r="U148" t="s">
        <v>45</v>
      </c>
      <c r="V148" t="s">
        <v>46</v>
      </c>
    </row>
    <row r="149" spans="1:22">
      <c r="A149" t="s">
        <v>485</v>
      </c>
      <c r="B149" t="s">
        <v>486</v>
      </c>
      <c r="C149" t="s">
        <v>202</v>
      </c>
      <c r="D149" t="s">
        <v>81</v>
      </c>
      <c r="E149" t="s">
        <v>212</v>
      </c>
      <c r="F149" t="s">
        <v>52</v>
      </c>
      <c r="G149" t="s">
        <v>53</v>
      </c>
      <c r="H149" t="s">
        <v>54</v>
      </c>
      <c r="I149" t="s">
        <v>54</v>
      </c>
      <c r="J149" t="s">
        <v>55</v>
      </c>
      <c r="K149" t="s">
        <v>72</v>
      </c>
      <c r="L149" t="s">
        <v>118</v>
      </c>
      <c r="M149" s="5">
        <v>3</v>
      </c>
      <c r="N149">
        <v>2004</v>
      </c>
      <c r="O149" s="4">
        <v>7642.2</v>
      </c>
      <c r="P149" s="4">
        <v>9702.33</v>
      </c>
      <c r="Q149">
        <v>3</v>
      </c>
      <c r="R149">
        <v>1</v>
      </c>
      <c r="S149" t="s">
        <v>56</v>
      </c>
      <c r="T149">
        <v>5</v>
      </c>
      <c r="U149" t="s">
        <v>45</v>
      </c>
      <c r="V149" t="s">
        <v>46</v>
      </c>
    </row>
    <row r="150" spans="1:22">
      <c r="A150" t="s">
        <v>487</v>
      </c>
      <c r="B150" t="s">
        <v>406</v>
      </c>
      <c r="C150" t="s">
        <v>406</v>
      </c>
      <c r="D150" t="s">
        <v>149</v>
      </c>
      <c r="E150" t="s">
        <v>335</v>
      </c>
      <c r="F150" t="s">
        <v>54</v>
      </c>
      <c r="G150" t="s">
        <v>54</v>
      </c>
      <c r="H150" t="s">
        <v>54</v>
      </c>
      <c r="I150" t="s">
        <v>54</v>
      </c>
      <c r="J150" t="s">
        <v>55</v>
      </c>
      <c r="K150" t="s">
        <v>72</v>
      </c>
      <c r="L150" t="s">
        <v>87</v>
      </c>
      <c r="M150" s="5">
        <v>2</v>
      </c>
      <c r="N150">
        <v>1354</v>
      </c>
      <c r="O150" s="4">
        <v>6387.2</v>
      </c>
      <c r="P150" s="4">
        <v>12982.21</v>
      </c>
      <c r="Q150">
        <v>4</v>
      </c>
      <c r="R150">
        <v>2</v>
      </c>
      <c r="S150" t="s">
        <v>56</v>
      </c>
      <c r="T150">
        <v>3</v>
      </c>
      <c r="U150" t="s">
        <v>45</v>
      </c>
      <c r="V150" t="s">
        <v>46</v>
      </c>
    </row>
    <row r="151" spans="1:22">
      <c r="A151" t="s">
        <v>488</v>
      </c>
      <c r="B151" t="s">
        <v>317</v>
      </c>
      <c r="C151" t="s">
        <v>317</v>
      </c>
      <c r="D151" t="s">
        <v>489</v>
      </c>
      <c r="E151" t="s">
        <v>168</v>
      </c>
      <c r="F151" t="s">
        <v>54</v>
      </c>
      <c r="G151" t="s">
        <v>54</v>
      </c>
      <c r="H151" t="s">
        <v>54</v>
      </c>
      <c r="I151" t="s">
        <v>54</v>
      </c>
      <c r="J151" t="s">
        <v>41</v>
      </c>
      <c r="K151" t="s">
        <v>65</v>
      </c>
      <c r="L151" t="s">
        <v>43</v>
      </c>
      <c r="M151" s="5">
        <v>16.600000000000001</v>
      </c>
      <c r="N151">
        <v>1670</v>
      </c>
      <c r="O151" s="4">
        <v>6517</v>
      </c>
      <c r="P151" s="4">
        <v>13333.32</v>
      </c>
      <c r="Q151">
        <v>10</v>
      </c>
      <c r="R151">
        <v>2</v>
      </c>
      <c r="S151" t="s">
        <v>56</v>
      </c>
      <c r="T151">
        <v>4</v>
      </c>
      <c r="U151" t="s">
        <v>45</v>
      </c>
      <c r="V151" t="s">
        <v>46</v>
      </c>
    </row>
    <row r="152" spans="1:22">
      <c r="A152" t="s">
        <v>490</v>
      </c>
      <c r="B152" t="s">
        <v>217</v>
      </c>
      <c r="C152" t="s">
        <v>217</v>
      </c>
      <c r="D152" t="s">
        <v>297</v>
      </c>
      <c r="E152" t="s">
        <v>297</v>
      </c>
      <c r="F152" t="s">
        <v>40</v>
      </c>
      <c r="G152" t="s">
        <v>40</v>
      </c>
      <c r="H152" t="s">
        <v>52</v>
      </c>
      <c r="I152" t="s">
        <v>53</v>
      </c>
      <c r="J152" t="s">
        <v>41</v>
      </c>
      <c r="K152" t="s">
        <v>42</v>
      </c>
      <c r="L152" t="s">
        <v>43</v>
      </c>
      <c r="M152" s="5">
        <v>6.3</v>
      </c>
      <c r="N152">
        <v>1750</v>
      </c>
      <c r="O152" s="4">
        <v>5785.5</v>
      </c>
      <c r="P152" s="4">
        <v>8622.1299999999992</v>
      </c>
      <c r="Q152">
        <v>5</v>
      </c>
      <c r="R152">
        <v>0</v>
      </c>
      <c r="S152" t="s">
        <v>44</v>
      </c>
      <c r="T152">
        <v>5</v>
      </c>
      <c r="U152" t="s">
        <v>45</v>
      </c>
      <c r="V152" t="s">
        <v>46</v>
      </c>
    </row>
    <row r="153" spans="1:22">
      <c r="A153" t="s">
        <v>491</v>
      </c>
      <c r="B153" t="s">
        <v>59</v>
      </c>
      <c r="C153" t="s">
        <v>59</v>
      </c>
      <c r="D153" t="s">
        <v>160</v>
      </c>
      <c r="E153" t="s">
        <v>160</v>
      </c>
      <c r="F153" t="s">
        <v>40</v>
      </c>
      <c r="G153" t="s">
        <v>40</v>
      </c>
      <c r="H153" t="s">
        <v>52</v>
      </c>
      <c r="I153" t="s">
        <v>53</v>
      </c>
      <c r="J153" t="s">
        <v>76</v>
      </c>
      <c r="K153" t="s">
        <v>72</v>
      </c>
      <c r="L153" t="s">
        <v>61</v>
      </c>
      <c r="M153" s="5">
        <v>15.7</v>
      </c>
      <c r="N153">
        <v>1276</v>
      </c>
      <c r="O153" s="4">
        <v>7411.3</v>
      </c>
      <c r="P153" s="4">
        <v>10871.23</v>
      </c>
      <c r="Q153">
        <v>2</v>
      </c>
      <c r="R153">
        <v>0</v>
      </c>
      <c r="S153" t="s">
        <v>44</v>
      </c>
      <c r="T153">
        <v>5</v>
      </c>
      <c r="U153" t="s">
        <v>45</v>
      </c>
      <c r="V153" t="s">
        <v>46</v>
      </c>
    </row>
    <row r="154" spans="1:22">
      <c r="A154" t="s">
        <v>492</v>
      </c>
      <c r="B154" t="s">
        <v>93</v>
      </c>
      <c r="C154" t="s">
        <v>330</v>
      </c>
      <c r="D154" t="s">
        <v>473</v>
      </c>
      <c r="E154" t="s">
        <v>493</v>
      </c>
      <c r="F154" t="s">
        <v>82</v>
      </c>
      <c r="G154" t="s">
        <v>82</v>
      </c>
      <c r="H154" t="s">
        <v>70</v>
      </c>
      <c r="I154" t="s">
        <v>71</v>
      </c>
      <c r="J154" t="s">
        <v>55</v>
      </c>
      <c r="K154" t="s">
        <v>65</v>
      </c>
      <c r="L154" t="s">
        <v>61</v>
      </c>
      <c r="M154" s="5">
        <v>10.4</v>
      </c>
      <c r="N154">
        <v>1127</v>
      </c>
      <c r="O154" s="4">
        <v>5012.6000000000004</v>
      </c>
      <c r="P154" s="4">
        <v>8299.7199999999993</v>
      </c>
      <c r="Q154">
        <v>10</v>
      </c>
      <c r="R154">
        <v>2</v>
      </c>
      <c r="S154" t="s">
        <v>56</v>
      </c>
      <c r="T154">
        <v>4</v>
      </c>
      <c r="U154" t="s">
        <v>45</v>
      </c>
      <c r="V154" t="s">
        <v>46</v>
      </c>
    </row>
    <row r="155" spans="1:22">
      <c r="A155" t="s">
        <v>494</v>
      </c>
      <c r="B155" t="s">
        <v>107</v>
      </c>
      <c r="C155" t="s">
        <v>331</v>
      </c>
      <c r="D155" t="s">
        <v>431</v>
      </c>
      <c r="E155" t="s">
        <v>209</v>
      </c>
      <c r="F155" t="s">
        <v>54</v>
      </c>
      <c r="G155" t="s">
        <v>54</v>
      </c>
      <c r="H155" t="s">
        <v>40</v>
      </c>
      <c r="I155" t="s">
        <v>40</v>
      </c>
      <c r="J155" t="s">
        <v>76</v>
      </c>
      <c r="K155" t="s">
        <v>72</v>
      </c>
      <c r="L155" t="s">
        <v>43</v>
      </c>
      <c r="M155" s="5">
        <v>5.0999999999999996</v>
      </c>
      <c r="N155">
        <v>381</v>
      </c>
      <c r="O155" s="4">
        <v>4899.3</v>
      </c>
      <c r="P155" s="4">
        <v>8711.7900000000009</v>
      </c>
      <c r="Q155">
        <v>4</v>
      </c>
      <c r="R155">
        <v>2</v>
      </c>
      <c r="S155" t="s">
        <v>56</v>
      </c>
      <c r="T155">
        <v>3</v>
      </c>
      <c r="U155" t="s">
        <v>45</v>
      </c>
      <c r="V155" t="s">
        <v>46</v>
      </c>
    </row>
    <row r="156" spans="1:22">
      <c r="A156" t="s">
        <v>495</v>
      </c>
      <c r="B156" t="s">
        <v>58</v>
      </c>
      <c r="C156" t="s">
        <v>58</v>
      </c>
      <c r="D156" t="s">
        <v>428</v>
      </c>
      <c r="E156" t="s">
        <v>358</v>
      </c>
      <c r="F156" t="s">
        <v>40</v>
      </c>
      <c r="G156" t="s">
        <v>40</v>
      </c>
      <c r="H156" t="s">
        <v>54</v>
      </c>
      <c r="I156" t="s">
        <v>54</v>
      </c>
      <c r="J156" t="s">
        <v>141</v>
      </c>
      <c r="K156" t="s">
        <v>72</v>
      </c>
      <c r="L156" t="s">
        <v>77</v>
      </c>
      <c r="M156" s="5">
        <v>8</v>
      </c>
      <c r="N156">
        <v>662</v>
      </c>
      <c r="O156" s="4">
        <v>5651.6</v>
      </c>
      <c r="P156" s="4">
        <v>11000.08</v>
      </c>
      <c r="Q156">
        <v>1</v>
      </c>
      <c r="R156">
        <v>0</v>
      </c>
      <c r="S156" t="s">
        <v>44</v>
      </c>
      <c r="T156">
        <v>5</v>
      </c>
      <c r="U156" t="s">
        <v>45</v>
      </c>
      <c r="V156" t="s">
        <v>46</v>
      </c>
    </row>
    <row r="157" spans="1:22">
      <c r="A157" t="s">
        <v>496</v>
      </c>
      <c r="B157" t="s">
        <v>497</v>
      </c>
      <c r="C157" t="s">
        <v>497</v>
      </c>
      <c r="D157" t="s">
        <v>325</v>
      </c>
      <c r="E157" t="s">
        <v>325</v>
      </c>
      <c r="F157" t="s">
        <v>52</v>
      </c>
      <c r="G157" t="s">
        <v>53</v>
      </c>
      <c r="H157" t="s">
        <v>70</v>
      </c>
      <c r="I157" t="s">
        <v>71</v>
      </c>
      <c r="J157" t="s">
        <v>76</v>
      </c>
      <c r="K157" t="s">
        <v>65</v>
      </c>
      <c r="L157" t="s">
        <v>43</v>
      </c>
      <c r="M157" s="5">
        <v>10.6</v>
      </c>
      <c r="N157">
        <v>911</v>
      </c>
      <c r="O157" s="4">
        <v>4640.8</v>
      </c>
      <c r="P157" s="4">
        <v>9348.24</v>
      </c>
      <c r="Q157">
        <v>8</v>
      </c>
      <c r="R157">
        <v>0</v>
      </c>
      <c r="S157" t="s">
        <v>44</v>
      </c>
      <c r="T157">
        <v>5</v>
      </c>
      <c r="U157" t="s">
        <v>45</v>
      </c>
      <c r="V157" t="s">
        <v>46</v>
      </c>
    </row>
    <row r="158" spans="1:22">
      <c r="A158" t="s">
        <v>498</v>
      </c>
      <c r="B158" t="s">
        <v>138</v>
      </c>
      <c r="C158" t="s">
        <v>384</v>
      </c>
      <c r="D158" t="s">
        <v>301</v>
      </c>
      <c r="E158" t="s">
        <v>299</v>
      </c>
      <c r="F158" t="s">
        <v>52</v>
      </c>
      <c r="G158" t="s">
        <v>53</v>
      </c>
      <c r="H158" t="s">
        <v>54</v>
      </c>
      <c r="I158" t="s">
        <v>54</v>
      </c>
      <c r="J158" t="s">
        <v>41</v>
      </c>
      <c r="K158" t="s">
        <v>65</v>
      </c>
      <c r="L158" t="s">
        <v>77</v>
      </c>
      <c r="M158" s="5">
        <v>12</v>
      </c>
      <c r="N158">
        <v>1236</v>
      </c>
      <c r="O158" s="4">
        <v>5344.8</v>
      </c>
      <c r="P158" s="4">
        <v>9855.2199999999993</v>
      </c>
      <c r="Q158">
        <v>6</v>
      </c>
      <c r="R158">
        <v>0</v>
      </c>
      <c r="S158" t="s">
        <v>44</v>
      </c>
      <c r="T158">
        <v>5</v>
      </c>
      <c r="U158" t="s">
        <v>45</v>
      </c>
      <c r="V158" t="s">
        <v>46</v>
      </c>
    </row>
    <row r="159" spans="1:22">
      <c r="A159" t="s">
        <v>499</v>
      </c>
      <c r="B159" t="s">
        <v>206</v>
      </c>
      <c r="C159" t="s">
        <v>205</v>
      </c>
      <c r="D159" t="s">
        <v>125</v>
      </c>
      <c r="E159" t="s">
        <v>127</v>
      </c>
      <c r="F159" t="s">
        <v>54</v>
      </c>
      <c r="G159" t="s">
        <v>54</v>
      </c>
      <c r="H159" t="s">
        <v>40</v>
      </c>
      <c r="I159" t="s">
        <v>40</v>
      </c>
      <c r="J159" t="s">
        <v>141</v>
      </c>
      <c r="K159" t="s">
        <v>42</v>
      </c>
      <c r="L159" t="s">
        <v>118</v>
      </c>
      <c r="M159" s="5">
        <v>9.1999999999999993</v>
      </c>
      <c r="N159">
        <v>628</v>
      </c>
      <c r="O159" s="4">
        <v>4012.4</v>
      </c>
      <c r="P159" s="4">
        <v>7577.35</v>
      </c>
      <c r="Q159">
        <v>6</v>
      </c>
      <c r="R159">
        <v>1</v>
      </c>
      <c r="S159" t="s">
        <v>56</v>
      </c>
      <c r="T159">
        <v>5</v>
      </c>
      <c r="U159" t="s">
        <v>45</v>
      </c>
      <c r="V159" t="s">
        <v>46</v>
      </c>
    </row>
    <row r="160" spans="1:22">
      <c r="A160" t="s">
        <v>500</v>
      </c>
      <c r="B160" t="s">
        <v>412</v>
      </c>
      <c r="C160" t="s">
        <v>246</v>
      </c>
      <c r="D160" t="s">
        <v>501</v>
      </c>
      <c r="E160" t="s">
        <v>351</v>
      </c>
      <c r="F160" t="s">
        <v>82</v>
      </c>
      <c r="G160" t="s">
        <v>82</v>
      </c>
      <c r="H160" t="s">
        <v>52</v>
      </c>
      <c r="I160" t="s">
        <v>53</v>
      </c>
      <c r="J160" t="s">
        <v>141</v>
      </c>
      <c r="K160" t="s">
        <v>65</v>
      </c>
      <c r="L160" t="s">
        <v>43</v>
      </c>
      <c r="M160" s="5">
        <v>12.1</v>
      </c>
      <c r="N160">
        <v>1537</v>
      </c>
      <c r="O160" s="4">
        <v>5895.1</v>
      </c>
      <c r="P160" s="4">
        <v>8792.32</v>
      </c>
      <c r="Q160">
        <v>5</v>
      </c>
      <c r="R160">
        <v>0</v>
      </c>
      <c r="S160" t="s">
        <v>44</v>
      </c>
      <c r="T160">
        <v>5</v>
      </c>
      <c r="U160" t="s">
        <v>45</v>
      </c>
      <c r="V160" t="s">
        <v>46</v>
      </c>
    </row>
    <row r="161" spans="1:22">
      <c r="A161" t="s">
        <v>502</v>
      </c>
      <c r="B161" t="s">
        <v>206</v>
      </c>
      <c r="C161" t="s">
        <v>205</v>
      </c>
      <c r="D161" t="s">
        <v>125</v>
      </c>
      <c r="E161" t="s">
        <v>424</v>
      </c>
      <c r="F161" t="s">
        <v>40</v>
      </c>
      <c r="G161" t="s">
        <v>40</v>
      </c>
      <c r="H161" t="s">
        <v>40</v>
      </c>
      <c r="I161" t="s">
        <v>40</v>
      </c>
      <c r="J161" t="s">
        <v>41</v>
      </c>
      <c r="K161" t="s">
        <v>42</v>
      </c>
      <c r="L161" t="s">
        <v>43</v>
      </c>
      <c r="M161" s="5">
        <v>2</v>
      </c>
      <c r="N161">
        <v>262</v>
      </c>
      <c r="O161" s="4">
        <v>2741.6</v>
      </c>
      <c r="P161" s="4">
        <v>3977.51</v>
      </c>
      <c r="Q161">
        <v>4</v>
      </c>
      <c r="R161">
        <v>0</v>
      </c>
      <c r="S161" t="s">
        <v>44</v>
      </c>
      <c r="T161">
        <v>4</v>
      </c>
      <c r="U161" t="s">
        <v>45</v>
      </c>
      <c r="V161" t="s">
        <v>46</v>
      </c>
    </row>
    <row r="162" spans="1:22">
      <c r="A162" t="s">
        <v>503</v>
      </c>
      <c r="B162" t="s">
        <v>504</v>
      </c>
      <c r="C162" t="s">
        <v>504</v>
      </c>
      <c r="D162" t="s">
        <v>293</v>
      </c>
      <c r="E162" t="s">
        <v>505</v>
      </c>
      <c r="F162" t="s">
        <v>54</v>
      </c>
      <c r="G162" t="s">
        <v>54</v>
      </c>
      <c r="H162" t="s">
        <v>52</v>
      </c>
      <c r="I162" t="s">
        <v>53</v>
      </c>
      <c r="J162" t="s">
        <v>141</v>
      </c>
      <c r="K162" t="s">
        <v>72</v>
      </c>
      <c r="L162" t="s">
        <v>87</v>
      </c>
      <c r="M162" s="5">
        <v>13.9</v>
      </c>
      <c r="N162">
        <v>1137</v>
      </c>
      <c r="O162" s="4">
        <v>7008.1</v>
      </c>
      <c r="P162" s="4">
        <v>12403.04</v>
      </c>
      <c r="Q162">
        <v>5</v>
      </c>
      <c r="R162">
        <v>3</v>
      </c>
      <c r="S162" t="s">
        <v>56</v>
      </c>
      <c r="T162">
        <v>4</v>
      </c>
      <c r="U162" t="s">
        <v>45</v>
      </c>
      <c r="V162" t="s">
        <v>46</v>
      </c>
    </row>
    <row r="163" spans="1:22">
      <c r="A163" t="s">
        <v>506</v>
      </c>
      <c r="B163" t="s">
        <v>84</v>
      </c>
      <c r="C163" t="s">
        <v>350</v>
      </c>
      <c r="D163" t="s">
        <v>386</v>
      </c>
      <c r="E163" t="s">
        <v>464</v>
      </c>
      <c r="F163" t="s">
        <v>40</v>
      </c>
      <c r="G163" t="s">
        <v>40</v>
      </c>
      <c r="H163" t="s">
        <v>54</v>
      </c>
      <c r="I163" t="s">
        <v>54</v>
      </c>
      <c r="J163" t="s">
        <v>41</v>
      </c>
      <c r="K163" t="s">
        <v>65</v>
      </c>
      <c r="L163" t="s">
        <v>77</v>
      </c>
      <c r="M163" s="5">
        <v>6.3</v>
      </c>
      <c r="N163">
        <v>1986</v>
      </c>
      <c r="O163" s="4">
        <v>6210.3</v>
      </c>
      <c r="P163" s="4">
        <v>12443.37</v>
      </c>
      <c r="Q163">
        <v>11</v>
      </c>
      <c r="R163">
        <v>3</v>
      </c>
      <c r="S163" t="s">
        <v>56</v>
      </c>
      <c r="T163">
        <v>4</v>
      </c>
      <c r="U163" t="s">
        <v>45</v>
      </c>
      <c r="V163" t="s">
        <v>46</v>
      </c>
    </row>
    <row r="164" spans="1:22">
      <c r="A164" t="s">
        <v>507</v>
      </c>
      <c r="B164" t="s">
        <v>216</v>
      </c>
      <c r="C164" t="s">
        <v>438</v>
      </c>
      <c r="D164" t="s">
        <v>357</v>
      </c>
      <c r="E164" t="s">
        <v>358</v>
      </c>
      <c r="F164" t="s">
        <v>40</v>
      </c>
      <c r="G164" t="s">
        <v>40</v>
      </c>
      <c r="H164" t="s">
        <v>52</v>
      </c>
      <c r="I164" t="s">
        <v>53</v>
      </c>
      <c r="J164" t="s">
        <v>141</v>
      </c>
      <c r="K164" t="s">
        <v>42</v>
      </c>
      <c r="L164" t="s">
        <v>61</v>
      </c>
      <c r="M164" s="5">
        <v>3.4</v>
      </c>
      <c r="N164">
        <v>855</v>
      </c>
      <c r="O164" s="4">
        <v>3928</v>
      </c>
      <c r="P164" s="4">
        <v>5974.5</v>
      </c>
      <c r="Q164">
        <v>7</v>
      </c>
      <c r="R164">
        <v>2</v>
      </c>
      <c r="S164" t="s">
        <v>56</v>
      </c>
      <c r="T164">
        <v>4</v>
      </c>
      <c r="U164" t="s">
        <v>45</v>
      </c>
      <c r="V164" t="s">
        <v>46</v>
      </c>
    </row>
    <row r="165" spans="1:22">
      <c r="A165" t="s">
        <v>508</v>
      </c>
      <c r="B165" t="s">
        <v>285</v>
      </c>
      <c r="C165" t="s">
        <v>285</v>
      </c>
      <c r="D165" t="s">
        <v>343</v>
      </c>
      <c r="E165" t="s">
        <v>343</v>
      </c>
      <c r="F165" t="s">
        <v>40</v>
      </c>
      <c r="G165" t="s">
        <v>40</v>
      </c>
      <c r="H165" t="s">
        <v>82</v>
      </c>
      <c r="I165" t="s">
        <v>82</v>
      </c>
      <c r="J165" t="s">
        <v>41</v>
      </c>
      <c r="K165" t="s">
        <v>42</v>
      </c>
      <c r="L165" t="s">
        <v>43</v>
      </c>
      <c r="M165" s="5">
        <v>17.100000000000001</v>
      </c>
      <c r="N165">
        <v>1151</v>
      </c>
      <c r="O165" s="4">
        <v>5625.3</v>
      </c>
      <c r="P165" s="4">
        <v>9985.23</v>
      </c>
      <c r="Q165">
        <v>5</v>
      </c>
      <c r="R165">
        <v>0</v>
      </c>
      <c r="S165" t="s">
        <v>44</v>
      </c>
      <c r="T165">
        <v>4</v>
      </c>
      <c r="U165" t="s">
        <v>45</v>
      </c>
      <c r="V165" t="s">
        <v>46</v>
      </c>
    </row>
    <row r="166" spans="1:22">
      <c r="A166" t="s">
        <v>509</v>
      </c>
      <c r="B166" t="s">
        <v>86</v>
      </c>
      <c r="C166" t="s">
        <v>86</v>
      </c>
      <c r="D166" t="s">
        <v>102</v>
      </c>
      <c r="E166" t="s">
        <v>103</v>
      </c>
      <c r="F166" t="s">
        <v>52</v>
      </c>
      <c r="G166" t="s">
        <v>53</v>
      </c>
      <c r="H166" t="s">
        <v>40</v>
      </c>
      <c r="I166" t="s">
        <v>40</v>
      </c>
      <c r="J166" t="s">
        <v>55</v>
      </c>
      <c r="K166" t="s">
        <v>42</v>
      </c>
      <c r="L166" t="s">
        <v>61</v>
      </c>
      <c r="M166" s="5">
        <v>11.1</v>
      </c>
      <c r="N166">
        <v>1836</v>
      </c>
      <c r="O166" s="4">
        <v>6348.3</v>
      </c>
      <c r="P166" s="4">
        <v>11071.47</v>
      </c>
      <c r="Q166">
        <v>6</v>
      </c>
      <c r="R166">
        <v>1</v>
      </c>
      <c r="S166" t="s">
        <v>56</v>
      </c>
      <c r="T166">
        <v>5</v>
      </c>
      <c r="U166" t="s">
        <v>45</v>
      </c>
      <c r="V166" t="s">
        <v>46</v>
      </c>
    </row>
    <row r="167" spans="1:22">
      <c r="A167" t="s">
        <v>510</v>
      </c>
      <c r="B167" t="s">
        <v>147</v>
      </c>
      <c r="C167" t="s">
        <v>111</v>
      </c>
      <c r="D167" t="s">
        <v>180</v>
      </c>
      <c r="E167" t="s">
        <v>511</v>
      </c>
      <c r="F167" t="s">
        <v>52</v>
      </c>
      <c r="G167" t="s">
        <v>53</v>
      </c>
      <c r="H167" t="s">
        <v>52</v>
      </c>
      <c r="I167" t="s">
        <v>53</v>
      </c>
      <c r="J167" t="s">
        <v>141</v>
      </c>
      <c r="K167" t="s">
        <v>42</v>
      </c>
      <c r="L167" t="s">
        <v>77</v>
      </c>
      <c r="M167" s="5">
        <v>1.5</v>
      </c>
      <c r="N167">
        <v>395</v>
      </c>
      <c r="O167" s="4">
        <v>2938.5</v>
      </c>
      <c r="P167" s="4">
        <v>5975.19</v>
      </c>
      <c r="Q167">
        <v>7</v>
      </c>
      <c r="R167">
        <v>2</v>
      </c>
      <c r="S167" t="s">
        <v>56</v>
      </c>
      <c r="T167">
        <v>4</v>
      </c>
      <c r="U167" t="s">
        <v>45</v>
      </c>
      <c r="V167" t="s">
        <v>46</v>
      </c>
    </row>
    <row r="168" spans="1:22">
      <c r="A168" t="s">
        <v>512</v>
      </c>
      <c r="B168" t="s">
        <v>153</v>
      </c>
      <c r="C168" t="s">
        <v>153</v>
      </c>
      <c r="D168" t="s">
        <v>154</v>
      </c>
      <c r="E168" t="s">
        <v>328</v>
      </c>
      <c r="F168" t="s">
        <v>40</v>
      </c>
      <c r="G168" t="s">
        <v>40</v>
      </c>
      <c r="H168" t="s">
        <v>52</v>
      </c>
      <c r="I168" t="s">
        <v>53</v>
      </c>
      <c r="J168" t="s">
        <v>76</v>
      </c>
      <c r="K168" t="s">
        <v>42</v>
      </c>
      <c r="L168" t="s">
        <v>87</v>
      </c>
      <c r="M168" s="5">
        <v>1.8</v>
      </c>
      <c r="N168">
        <v>1504</v>
      </c>
      <c r="O168" s="4">
        <v>4960.2</v>
      </c>
      <c r="P168" s="4">
        <v>8408.32</v>
      </c>
      <c r="Q168">
        <v>2</v>
      </c>
      <c r="R168">
        <v>0</v>
      </c>
      <c r="S168" t="s">
        <v>44</v>
      </c>
      <c r="T168">
        <v>5</v>
      </c>
      <c r="U168" t="s">
        <v>45</v>
      </c>
      <c r="V168" t="s">
        <v>46</v>
      </c>
    </row>
    <row r="169" spans="1:22">
      <c r="A169" t="s">
        <v>513</v>
      </c>
      <c r="B169" t="s">
        <v>514</v>
      </c>
      <c r="C169" t="s">
        <v>514</v>
      </c>
      <c r="D169" t="s">
        <v>515</v>
      </c>
      <c r="E169" t="s">
        <v>402</v>
      </c>
      <c r="F169" t="s">
        <v>82</v>
      </c>
      <c r="G169" t="s">
        <v>82</v>
      </c>
      <c r="H169" t="s">
        <v>52</v>
      </c>
      <c r="I169" t="s">
        <v>53</v>
      </c>
      <c r="J169" t="s">
        <v>76</v>
      </c>
      <c r="K169" t="s">
        <v>72</v>
      </c>
      <c r="L169" t="s">
        <v>43</v>
      </c>
      <c r="M169" s="5">
        <v>3.2</v>
      </c>
      <c r="N169">
        <v>1259</v>
      </c>
      <c r="O169" s="4">
        <v>6318.2</v>
      </c>
      <c r="P169" s="4">
        <v>11381.01</v>
      </c>
      <c r="Q169">
        <v>4</v>
      </c>
      <c r="R169">
        <v>2</v>
      </c>
      <c r="S169" t="s">
        <v>56</v>
      </c>
      <c r="T169">
        <v>4</v>
      </c>
      <c r="U169" t="s">
        <v>45</v>
      </c>
      <c r="V169" t="s">
        <v>46</v>
      </c>
    </row>
    <row r="170" spans="1:22">
      <c r="A170" t="s">
        <v>516</v>
      </c>
      <c r="B170" t="s">
        <v>144</v>
      </c>
      <c r="C170" t="s">
        <v>224</v>
      </c>
      <c r="D170" t="s">
        <v>175</v>
      </c>
      <c r="E170" t="s">
        <v>175</v>
      </c>
      <c r="F170" t="s">
        <v>82</v>
      </c>
      <c r="G170" t="s">
        <v>82</v>
      </c>
      <c r="H170" t="s">
        <v>52</v>
      </c>
      <c r="I170" t="s">
        <v>53</v>
      </c>
      <c r="J170" t="s">
        <v>55</v>
      </c>
      <c r="K170" t="s">
        <v>65</v>
      </c>
      <c r="L170" t="s">
        <v>61</v>
      </c>
      <c r="M170" s="5">
        <v>1.8</v>
      </c>
      <c r="N170">
        <v>547</v>
      </c>
      <c r="O170" s="4">
        <v>3237.6</v>
      </c>
      <c r="P170" s="4">
        <v>6321</v>
      </c>
      <c r="Q170">
        <v>8</v>
      </c>
      <c r="R170">
        <v>0</v>
      </c>
      <c r="S170" t="s">
        <v>44</v>
      </c>
      <c r="T170">
        <v>5</v>
      </c>
      <c r="U170" t="s">
        <v>45</v>
      </c>
      <c r="V170" t="s">
        <v>46</v>
      </c>
    </row>
    <row r="171" spans="1:22">
      <c r="A171" t="s">
        <v>517</v>
      </c>
      <c r="B171" t="s">
        <v>251</v>
      </c>
      <c r="C171" t="s">
        <v>251</v>
      </c>
      <c r="D171" t="s">
        <v>193</v>
      </c>
      <c r="E171" t="s">
        <v>193</v>
      </c>
      <c r="F171" t="s">
        <v>54</v>
      </c>
      <c r="G171" t="s">
        <v>54</v>
      </c>
      <c r="H171" t="s">
        <v>70</v>
      </c>
      <c r="I171" t="s">
        <v>71</v>
      </c>
      <c r="J171" t="s">
        <v>141</v>
      </c>
      <c r="K171" t="s">
        <v>42</v>
      </c>
      <c r="L171" t="s">
        <v>77</v>
      </c>
      <c r="M171" s="5">
        <v>17.600000000000001</v>
      </c>
      <c r="N171">
        <v>1319</v>
      </c>
      <c r="O171" s="4">
        <v>5970.2</v>
      </c>
      <c r="P171" s="4">
        <v>9237.1299999999992</v>
      </c>
      <c r="Q171">
        <v>5</v>
      </c>
      <c r="R171">
        <v>0</v>
      </c>
      <c r="S171" t="s">
        <v>44</v>
      </c>
      <c r="T171">
        <v>5</v>
      </c>
      <c r="U171" t="s">
        <v>45</v>
      </c>
      <c r="V171" t="s">
        <v>46</v>
      </c>
    </row>
    <row r="172" spans="1:22">
      <c r="A172" t="s">
        <v>518</v>
      </c>
      <c r="B172" t="s">
        <v>275</v>
      </c>
      <c r="C172" t="s">
        <v>275</v>
      </c>
      <c r="D172" t="s">
        <v>314</v>
      </c>
      <c r="E172" t="s">
        <v>349</v>
      </c>
      <c r="F172" t="s">
        <v>40</v>
      </c>
      <c r="G172" t="s">
        <v>40</v>
      </c>
      <c r="H172" t="s">
        <v>54</v>
      </c>
      <c r="I172" t="s">
        <v>54</v>
      </c>
      <c r="J172" t="s">
        <v>141</v>
      </c>
      <c r="K172" t="s">
        <v>65</v>
      </c>
      <c r="L172" t="s">
        <v>87</v>
      </c>
      <c r="M172" s="5">
        <v>16.5</v>
      </c>
      <c r="N172">
        <v>733</v>
      </c>
      <c r="O172" s="4">
        <v>4821.8999999999996</v>
      </c>
      <c r="P172" s="4">
        <v>6926.05</v>
      </c>
      <c r="Q172">
        <v>9</v>
      </c>
      <c r="R172">
        <v>1</v>
      </c>
      <c r="S172" t="s">
        <v>56</v>
      </c>
      <c r="T172">
        <v>5</v>
      </c>
      <c r="U172" t="s">
        <v>45</v>
      </c>
      <c r="V172" t="s">
        <v>46</v>
      </c>
    </row>
    <row r="173" spans="1:22">
      <c r="A173" t="s">
        <v>519</v>
      </c>
      <c r="B173" t="s">
        <v>422</v>
      </c>
      <c r="C173" t="s">
        <v>353</v>
      </c>
      <c r="D173" t="s">
        <v>122</v>
      </c>
      <c r="E173" t="s">
        <v>123</v>
      </c>
      <c r="F173" t="s">
        <v>52</v>
      </c>
      <c r="G173" t="s">
        <v>53</v>
      </c>
      <c r="H173" t="s">
        <v>40</v>
      </c>
      <c r="I173" t="s">
        <v>40</v>
      </c>
      <c r="J173" t="s">
        <v>55</v>
      </c>
      <c r="K173" t="s">
        <v>42</v>
      </c>
      <c r="L173" t="s">
        <v>87</v>
      </c>
      <c r="M173" s="5">
        <v>11.1</v>
      </c>
      <c r="N173">
        <v>1992</v>
      </c>
      <c r="O173" s="4">
        <v>6629.1</v>
      </c>
      <c r="P173" s="4">
        <v>9493.44</v>
      </c>
      <c r="Q173">
        <v>2</v>
      </c>
      <c r="R173">
        <v>0</v>
      </c>
      <c r="S173" t="s">
        <v>44</v>
      </c>
      <c r="T173">
        <v>5</v>
      </c>
      <c r="U173" t="s">
        <v>45</v>
      </c>
      <c r="V173" t="s">
        <v>46</v>
      </c>
    </row>
    <row r="174" spans="1:22">
      <c r="A174" t="s">
        <v>520</v>
      </c>
      <c r="B174" t="s">
        <v>234</v>
      </c>
      <c r="C174" t="s">
        <v>122</v>
      </c>
      <c r="D174" t="s">
        <v>235</v>
      </c>
      <c r="E174" t="s">
        <v>521</v>
      </c>
      <c r="F174" t="s">
        <v>70</v>
      </c>
      <c r="G174" t="s">
        <v>71</v>
      </c>
      <c r="H174" t="s">
        <v>54</v>
      </c>
      <c r="I174" t="s">
        <v>54</v>
      </c>
      <c r="J174" t="s">
        <v>55</v>
      </c>
      <c r="K174" t="s">
        <v>42</v>
      </c>
      <c r="L174" t="s">
        <v>118</v>
      </c>
      <c r="M174" s="5">
        <v>17.100000000000001</v>
      </c>
      <c r="N174">
        <v>351</v>
      </c>
      <c r="O174" s="4">
        <v>4185.3</v>
      </c>
      <c r="P174" s="4">
        <v>6655.24</v>
      </c>
      <c r="Q174">
        <v>4</v>
      </c>
      <c r="R174">
        <v>0</v>
      </c>
      <c r="S174" t="s">
        <v>44</v>
      </c>
      <c r="T174">
        <v>5</v>
      </c>
      <c r="U174" t="s">
        <v>45</v>
      </c>
      <c r="V174" t="s">
        <v>46</v>
      </c>
    </row>
    <row r="175" spans="1:22">
      <c r="A175" t="s">
        <v>522</v>
      </c>
      <c r="B175" t="s">
        <v>409</v>
      </c>
      <c r="C175" t="s">
        <v>360</v>
      </c>
      <c r="D175" t="s">
        <v>374</v>
      </c>
      <c r="E175" t="s">
        <v>373</v>
      </c>
      <c r="F175" t="s">
        <v>70</v>
      </c>
      <c r="G175" t="s">
        <v>71</v>
      </c>
      <c r="H175" t="s">
        <v>40</v>
      </c>
      <c r="I175" t="s">
        <v>40</v>
      </c>
      <c r="J175" t="s">
        <v>41</v>
      </c>
      <c r="K175" t="s">
        <v>42</v>
      </c>
      <c r="L175" t="s">
        <v>77</v>
      </c>
      <c r="M175" s="5">
        <v>7.9</v>
      </c>
      <c r="N175">
        <v>2180</v>
      </c>
      <c r="O175" s="4">
        <v>6695.5</v>
      </c>
      <c r="P175" s="4">
        <v>9128.08</v>
      </c>
      <c r="Q175">
        <v>2</v>
      </c>
      <c r="R175">
        <v>0</v>
      </c>
      <c r="S175" t="s">
        <v>44</v>
      </c>
      <c r="T175">
        <v>5</v>
      </c>
      <c r="U175" t="s">
        <v>45</v>
      </c>
      <c r="V175" t="s">
        <v>46</v>
      </c>
    </row>
    <row r="176" spans="1:22">
      <c r="A176" t="s">
        <v>523</v>
      </c>
      <c r="B176" t="s">
        <v>112</v>
      </c>
      <c r="C176" t="s">
        <v>178</v>
      </c>
      <c r="D176" t="s">
        <v>179</v>
      </c>
      <c r="E176" t="s">
        <v>180</v>
      </c>
      <c r="F176" t="s">
        <v>82</v>
      </c>
      <c r="G176" t="s">
        <v>82</v>
      </c>
      <c r="H176" t="s">
        <v>54</v>
      </c>
      <c r="I176" t="s">
        <v>54</v>
      </c>
      <c r="J176" t="s">
        <v>141</v>
      </c>
      <c r="K176" t="s">
        <v>72</v>
      </c>
      <c r="L176" t="s">
        <v>43</v>
      </c>
      <c r="M176" s="5">
        <v>15.9</v>
      </c>
      <c r="N176">
        <v>1264</v>
      </c>
      <c r="O176" s="4">
        <v>7406.7</v>
      </c>
      <c r="P176" s="4">
        <v>11779.75</v>
      </c>
      <c r="Q176">
        <v>1</v>
      </c>
      <c r="R176">
        <v>0</v>
      </c>
      <c r="S176" t="s">
        <v>44</v>
      </c>
      <c r="T176">
        <v>4</v>
      </c>
      <c r="U176" t="s">
        <v>45</v>
      </c>
      <c r="V176" t="s">
        <v>46</v>
      </c>
    </row>
    <row r="177" spans="1:22">
      <c r="A177" t="s">
        <v>524</v>
      </c>
      <c r="B177" t="s">
        <v>246</v>
      </c>
      <c r="C177" t="s">
        <v>246</v>
      </c>
      <c r="D177" t="s">
        <v>351</v>
      </c>
      <c r="E177" t="s">
        <v>351</v>
      </c>
      <c r="F177" t="s">
        <v>52</v>
      </c>
      <c r="G177" t="s">
        <v>53</v>
      </c>
      <c r="H177" t="s">
        <v>54</v>
      </c>
      <c r="I177" t="s">
        <v>54</v>
      </c>
      <c r="J177" t="s">
        <v>141</v>
      </c>
      <c r="K177" t="s">
        <v>42</v>
      </c>
      <c r="L177" t="s">
        <v>61</v>
      </c>
      <c r="M177" s="5">
        <v>7</v>
      </c>
      <c r="N177">
        <v>2057</v>
      </c>
      <c r="O177" s="4">
        <v>6397.6</v>
      </c>
      <c r="P177" s="4">
        <v>13056.29</v>
      </c>
      <c r="Q177">
        <v>5</v>
      </c>
      <c r="R177">
        <v>0</v>
      </c>
      <c r="S177" t="s">
        <v>44</v>
      </c>
      <c r="T177">
        <v>5</v>
      </c>
      <c r="U177" t="s">
        <v>45</v>
      </c>
      <c r="V177" t="s">
        <v>46</v>
      </c>
    </row>
    <row r="178" spans="1:22">
      <c r="A178" t="s">
        <v>525</v>
      </c>
      <c r="B178" t="s">
        <v>195</v>
      </c>
      <c r="C178" t="s">
        <v>196</v>
      </c>
      <c r="D178" t="s">
        <v>162</v>
      </c>
      <c r="E178" t="s">
        <v>198</v>
      </c>
      <c r="F178" t="s">
        <v>82</v>
      </c>
      <c r="G178" t="s">
        <v>82</v>
      </c>
      <c r="H178" t="s">
        <v>82</v>
      </c>
      <c r="I178" t="s">
        <v>82</v>
      </c>
      <c r="J178" t="s">
        <v>76</v>
      </c>
      <c r="K178" t="s">
        <v>42</v>
      </c>
      <c r="L178" t="s">
        <v>43</v>
      </c>
      <c r="M178" s="5">
        <v>8.3000000000000007</v>
      </c>
      <c r="N178">
        <v>1852</v>
      </c>
      <c r="O178" s="4">
        <v>6139.1</v>
      </c>
      <c r="P178" s="4">
        <v>12385.45</v>
      </c>
      <c r="Q178">
        <v>2</v>
      </c>
      <c r="R178">
        <v>0</v>
      </c>
      <c r="S178" t="s">
        <v>44</v>
      </c>
      <c r="T178">
        <v>5</v>
      </c>
      <c r="U178" t="s">
        <v>45</v>
      </c>
      <c r="V178" t="s">
        <v>46</v>
      </c>
    </row>
    <row r="179" spans="1:22">
      <c r="A179" t="s">
        <v>526</v>
      </c>
      <c r="B179" t="s">
        <v>261</v>
      </c>
      <c r="C179" t="s">
        <v>479</v>
      </c>
      <c r="D179" t="s">
        <v>527</v>
      </c>
      <c r="E179" t="s">
        <v>528</v>
      </c>
      <c r="F179" t="s">
        <v>70</v>
      </c>
      <c r="G179" t="s">
        <v>71</v>
      </c>
      <c r="H179" t="s">
        <v>52</v>
      </c>
      <c r="I179" t="s">
        <v>53</v>
      </c>
      <c r="J179" t="s">
        <v>76</v>
      </c>
      <c r="K179" t="s">
        <v>65</v>
      </c>
      <c r="L179" t="s">
        <v>61</v>
      </c>
      <c r="M179" s="5">
        <v>15.9</v>
      </c>
      <c r="N179">
        <v>726</v>
      </c>
      <c r="O179" s="4">
        <v>4758.3</v>
      </c>
      <c r="P179" s="4">
        <v>7483.24</v>
      </c>
      <c r="Q179">
        <v>6</v>
      </c>
      <c r="R179">
        <v>0</v>
      </c>
      <c r="S179" t="s">
        <v>44</v>
      </c>
      <c r="T179">
        <v>5</v>
      </c>
      <c r="U179" t="s">
        <v>45</v>
      </c>
      <c r="V179" t="s">
        <v>46</v>
      </c>
    </row>
    <row r="180" spans="1:22">
      <c r="A180" t="s">
        <v>529</v>
      </c>
      <c r="B180" t="s">
        <v>384</v>
      </c>
      <c r="C180" t="s">
        <v>158</v>
      </c>
      <c r="D180" t="s">
        <v>300</v>
      </c>
      <c r="E180" t="s">
        <v>300</v>
      </c>
      <c r="F180" t="s">
        <v>54</v>
      </c>
      <c r="G180" t="s">
        <v>54</v>
      </c>
      <c r="H180" t="s">
        <v>70</v>
      </c>
      <c r="I180" t="s">
        <v>71</v>
      </c>
      <c r="J180" t="s">
        <v>141</v>
      </c>
      <c r="K180" t="s">
        <v>65</v>
      </c>
      <c r="L180" t="s">
        <v>61</v>
      </c>
      <c r="M180" s="5">
        <v>3.3</v>
      </c>
      <c r="N180">
        <v>1400</v>
      </c>
      <c r="O180" s="4">
        <v>4900.5</v>
      </c>
      <c r="P180" s="4">
        <v>7267.26</v>
      </c>
      <c r="Q180">
        <v>8</v>
      </c>
      <c r="R180">
        <v>0</v>
      </c>
      <c r="S180" t="s">
        <v>44</v>
      </c>
      <c r="T180">
        <v>5</v>
      </c>
      <c r="U180" t="s">
        <v>45</v>
      </c>
      <c r="V180" t="s">
        <v>46</v>
      </c>
    </row>
    <row r="181" spans="1:22">
      <c r="A181" t="s">
        <v>530</v>
      </c>
      <c r="B181" t="s">
        <v>37</v>
      </c>
      <c r="C181" t="s">
        <v>37</v>
      </c>
      <c r="D181" t="s">
        <v>205</v>
      </c>
      <c r="E181" t="s">
        <v>39</v>
      </c>
      <c r="F181" t="s">
        <v>40</v>
      </c>
      <c r="G181" t="s">
        <v>40</v>
      </c>
      <c r="H181" t="s">
        <v>82</v>
      </c>
      <c r="I181" t="s">
        <v>82</v>
      </c>
      <c r="J181" t="s">
        <v>76</v>
      </c>
      <c r="K181" t="s">
        <v>72</v>
      </c>
      <c r="L181" t="s">
        <v>118</v>
      </c>
      <c r="M181" s="5">
        <v>16</v>
      </c>
      <c r="N181">
        <v>414</v>
      </c>
      <c r="O181" s="4">
        <v>5885.2</v>
      </c>
      <c r="P181" s="4">
        <v>11579.77</v>
      </c>
      <c r="Q181">
        <v>4</v>
      </c>
      <c r="R181">
        <v>2</v>
      </c>
      <c r="S181" t="s">
        <v>56</v>
      </c>
      <c r="T181">
        <v>4</v>
      </c>
      <c r="U181" t="s">
        <v>45</v>
      </c>
      <c r="V181" t="s">
        <v>46</v>
      </c>
    </row>
    <row r="182" spans="1:22">
      <c r="A182" t="s">
        <v>531</v>
      </c>
      <c r="B182" t="s">
        <v>175</v>
      </c>
      <c r="C182" t="s">
        <v>123</v>
      </c>
      <c r="D182" t="s">
        <v>235</v>
      </c>
      <c r="E182" t="s">
        <v>235</v>
      </c>
      <c r="F182" t="s">
        <v>70</v>
      </c>
      <c r="G182" t="s">
        <v>71</v>
      </c>
      <c r="H182" t="s">
        <v>40</v>
      </c>
      <c r="I182" t="s">
        <v>40</v>
      </c>
      <c r="J182" t="s">
        <v>76</v>
      </c>
      <c r="K182" t="s">
        <v>65</v>
      </c>
      <c r="L182" t="s">
        <v>61</v>
      </c>
      <c r="M182" s="5">
        <v>15.7</v>
      </c>
      <c r="N182">
        <v>1182</v>
      </c>
      <c r="O182" s="4">
        <v>5562.1</v>
      </c>
      <c r="P182" s="4">
        <v>9038.41</v>
      </c>
      <c r="Q182">
        <v>8</v>
      </c>
      <c r="R182">
        <v>0</v>
      </c>
      <c r="S182" t="s">
        <v>44</v>
      </c>
      <c r="T182">
        <v>5</v>
      </c>
      <c r="U182" t="s">
        <v>45</v>
      </c>
      <c r="V182" t="s">
        <v>46</v>
      </c>
    </row>
    <row r="183" spans="1:22">
      <c r="A183" t="s">
        <v>532</v>
      </c>
      <c r="B183" t="s">
        <v>276</v>
      </c>
      <c r="C183" t="s">
        <v>276</v>
      </c>
      <c r="D183" t="s">
        <v>291</v>
      </c>
      <c r="E183" t="s">
        <v>245</v>
      </c>
      <c r="F183" t="s">
        <v>82</v>
      </c>
      <c r="G183" t="s">
        <v>82</v>
      </c>
      <c r="H183" t="s">
        <v>40</v>
      </c>
      <c r="I183" t="s">
        <v>40</v>
      </c>
      <c r="J183" t="s">
        <v>41</v>
      </c>
      <c r="K183" t="s">
        <v>65</v>
      </c>
      <c r="L183" t="s">
        <v>61</v>
      </c>
      <c r="M183" s="5">
        <v>10.7</v>
      </c>
      <c r="N183">
        <v>307</v>
      </c>
      <c r="O183" s="4">
        <v>3562.1</v>
      </c>
      <c r="P183" s="4">
        <v>5281.37</v>
      </c>
      <c r="Q183">
        <v>5</v>
      </c>
      <c r="R183">
        <v>0</v>
      </c>
      <c r="S183" t="s">
        <v>44</v>
      </c>
      <c r="T183">
        <v>5</v>
      </c>
      <c r="U183" t="s">
        <v>45</v>
      </c>
      <c r="V183" t="s">
        <v>46</v>
      </c>
    </row>
    <row r="184" spans="1:22">
      <c r="A184" t="s">
        <v>533</v>
      </c>
      <c r="B184" t="s">
        <v>93</v>
      </c>
      <c r="C184" t="s">
        <v>93</v>
      </c>
      <c r="D184" t="s">
        <v>94</v>
      </c>
      <c r="E184" t="s">
        <v>534</v>
      </c>
      <c r="F184" t="s">
        <v>70</v>
      </c>
      <c r="G184" t="s">
        <v>71</v>
      </c>
      <c r="H184" t="s">
        <v>70</v>
      </c>
      <c r="I184" t="s">
        <v>71</v>
      </c>
      <c r="J184" t="s">
        <v>76</v>
      </c>
      <c r="K184" t="s">
        <v>42</v>
      </c>
      <c r="L184" t="s">
        <v>43</v>
      </c>
      <c r="M184" s="5">
        <v>3.5</v>
      </c>
      <c r="N184">
        <v>1927</v>
      </c>
      <c r="O184" s="4">
        <v>5866.1</v>
      </c>
      <c r="P184" s="4">
        <v>7428.1</v>
      </c>
      <c r="Q184">
        <v>7</v>
      </c>
      <c r="R184">
        <v>2</v>
      </c>
      <c r="S184" t="s">
        <v>56</v>
      </c>
      <c r="T184">
        <v>4</v>
      </c>
      <c r="U184" t="s">
        <v>45</v>
      </c>
      <c r="V184" t="s">
        <v>46</v>
      </c>
    </row>
    <row r="185" spans="1:22">
      <c r="A185" t="s">
        <v>535</v>
      </c>
      <c r="B185" t="s">
        <v>536</v>
      </c>
      <c r="C185" t="s">
        <v>536</v>
      </c>
      <c r="D185" t="s">
        <v>537</v>
      </c>
      <c r="E185" t="s">
        <v>538</v>
      </c>
      <c r="F185" t="s">
        <v>52</v>
      </c>
      <c r="G185" t="s">
        <v>53</v>
      </c>
      <c r="H185" t="s">
        <v>52</v>
      </c>
      <c r="I185" t="s">
        <v>53</v>
      </c>
      <c r="J185" t="s">
        <v>41</v>
      </c>
      <c r="K185" t="s">
        <v>42</v>
      </c>
      <c r="L185" t="s">
        <v>118</v>
      </c>
      <c r="M185" s="5">
        <v>10.4</v>
      </c>
      <c r="N185">
        <v>823</v>
      </c>
      <c r="O185" s="4">
        <v>4465.3999999999996</v>
      </c>
      <c r="P185" s="4">
        <v>7345.15</v>
      </c>
      <c r="Q185">
        <v>2</v>
      </c>
      <c r="R185">
        <v>0</v>
      </c>
      <c r="S185" t="s">
        <v>44</v>
      </c>
      <c r="T185">
        <v>5</v>
      </c>
      <c r="U185" t="s">
        <v>45</v>
      </c>
      <c r="V185" t="s">
        <v>46</v>
      </c>
    </row>
    <row r="186" spans="1:22">
      <c r="A186" t="s">
        <v>539</v>
      </c>
      <c r="B186" t="s">
        <v>433</v>
      </c>
      <c r="C186" t="s">
        <v>145</v>
      </c>
      <c r="D186" t="s">
        <v>174</v>
      </c>
      <c r="E186" t="s">
        <v>224</v>
      </c>
      <c r="F186" t="s">
        <v>54</v>
      </c>
      <c r="G186" t="s">
        <v>54</v>
      </c>
      <c r="H186" t="s">
        <v>54</v>
      </c>
      <c r="I186" t="s">
        <v>54</v>
      </c>
      <c r="J186" t="s">
        <v>141</v>
      </c>
      <c r="K186" t="s">
        <v>42</v>
      </c>
      <c r="L186" t="s">
        <v>43</v>
      </c>
      <c r="M186" s="5">
        <v>5.2</v>
      </c>
      <c r="N186">
        <v>525</v>
      </c>
      <c r="O186" s="4">
        <v>3487</v>
      </c>
      <c r="P186" s="4">
        <v>6138.17</v>
      </c>
      <c r="Q186">
        <v>2</v>
      </c>
      <c r="R186">
        <v>0</v>
      </c>
      <c r="S186" t="s">
        <v>44</v>
      </c>
      <c r="T186">
        <v>5</v>
      </c>
      <c r="U186" t="s">
        <v>45</v>
      </c>
      <c r="V186" t="s">
        <v>46</v>
      </c>
    </row>
    <row r="187" spans="1:22">
      <c r="A187" t="s">
        <v>540</v>
      </c>
      <c r="B187" t="s">
        <v>255</v>
      </c>
      <c r="C187" t="s">
        <v>255</v>
      </c>
      <c r="D187" t="s">
        <v>134</v>
      </c>
      <c r="E187" t="s">
        <v>134</v>
      </c>
      <c r="F187" t="s">
        <v>54</v>
      </c>
      <c r="G187" t="s">
        <v>54</v>
      </c>
      <c r="H187" t="s">
        <v>82</v>
      </c>
      <c r="I187" t="s">
        <v>82</v>
      </c>
      <c r="J187" t="s">
        <v>141</v>
      </c>
      <c r="K187" t="s">
        <v>65</v>
      </c>
      <c r="L187" t="s">
        <v>87</v>
      </c>
      <c r="M187" s="5">
        <v>1.1000000000000001</v>
      </c>
      <c r="N187">
        <v>1300</v>
      </c>
      <c r="O187" s="4">
        <v>4533.5</v>
      </c>
      <c r="P187" s="4">
        <v>9423.17</v>
      </c>
      <c r="Q187">
        <v>8</v>
      </c>
      <c r="R187">
        <v>0</v>
      </c>
      <c r="S187" t="s">
        <v>44</v>
      </c>
      <c r="T187">
        <v>5</v>
      </c>
      <c r="U187" t="s">
        <v>45</v>
      </c>
      <c r="V187" t="s">
        <v>46</v>
      </c>
    </row>
    <row r="188" spans="1:22">
      <c r="A188" t="s">
        <v>541</v>
      </c>
      <c r="B188" t="s">
        <v>251</v>
      </c>
      <c r="C188" t="s">
        <v>252</v>
      </c>
      <c r="D188" t="s">
        <v>147</v>
      </c>
      <c r="E188" t="s">
        <v>111</v>
      </c>
      <c r="F188" t="s">
        <v>52</v>
      </c>
      <c r="G188" t="s">
        <v>53</v>
      </c>
      <c r="H188" t="s">
        <v>70</v>
      </c>
      <c r="I188" t="s">
        <v>71</v>
      </c>
      <c r="J188" t="s">
        <v>41</v>
      </c>
      <c r="K188" t="s">
        <v>42</v>
      </c>
      <c r="L188" t="s">
        <v>43</v>
      </c>
      <c r="M188" s="5">
        <v>4.4000000000000004</v>
      </c>
      <c r="N188">
        <v>1653</v>
      </c>
      <c r="O188" s="4">
        <v>5449.4</v>
      </c>
      <c r="P188" s="4">
        <v>9879.84</v>
      </c>
      <c r="Q188">
        <v>6</v>
      </c>
      <c r="R188">
        <v>1</v>
      </c>
      <c r="S188" t="s">
        <v>56</v>
      </c>
      <c r="T188">
        <v>5</v>
      </c>
      <c r="U188" t="s">
        <v>220</v>
      </c>
      <c r="V188" t="s">
        <v>46</v>
      </c>
    </row>
    <row r="189" spans="1:22">
      <c r="A189" t="s">
        <v>542</v>
      </c>
      <c r="B189" t="s">
        <v>154</v>
      </c>
      <c r="C189" t="s">
        <v>452</v>
      </c>
      <c r="D189" t="s">
        <v>453</v>
      </c>
      <c r="E189" t="s">
        <v>249</v>
      </c>
      <c r="F189" t="s">
        <v>82</v>
      </c>
      <c r="G189" t="s">
        <v>82</v>
      </c>
      <c r="H189" t="s">
        <v>54</v>
      </c>
      <c r="I189" t="s">
        <v>54</v>
      </c>
      <c r="J189" t="s">
        <v>76</v>
      </c>
      <c r="K189" t="s">
        <v>72</v>
      </c>
      <c r="L189" t="s">
        <v>77</v>
      </c>
      <c r="M189" s="5">
        <v>4.5</v>
      </c>
      <c r="N189">
        <v>1375</v>
      </c>
      <c r="O189" s="4">
        <v>6637.5</v>
      </c>
      <c r="P189" s="4">
        <v>10829.94</v>
      </c>
      <c r="Q189">
        <v>1</v>
      </c>
      <c r="R189">
        <v>0</v>
      </c>
      <c r="S189" t="s">
        <v>44</v>
      </c>
      <c r="T189">
        <v>4</v>
      </c>
      <c r="U189" t="s">
        <v>45</v>
      </c>
      <c r="V189" t="s">
        <v>46</v>
      </c>
    </row>
    <row r="190" spans="1:22">
      <c r="A190" t="s">
        <v>543</v>
      </c>
      <c r="B190" t="s">
        <v>309</v>
      </c>
      <c r="C190" t="s">
        <v>109</v>
      </c>
      <c r="D190" t="s">
        <v>178</v>
      </c>
      <c r="E190" t="s">
        <v>112</v>
      </c>
      <c r="F190" t="s">
        <v>70</v>
      </c>
      <c r="G190" t="s">
        <v>71</v>
      </c>
      <c r="H190" t="s">
        <v>52</v>
      </c>
      <c r="I190" t="s">
        <v>53</v>
      </c>
      <c r="J190" t="s">
        <v>55</v>
      </c>
      <c r="K190" t="s">
        <v>65</v>
      </c>
      <c r="L190" t="s">
        <v>77</v>
      </c>
      <c r="M190" s="5">
        <v>2.9</v>
      </c>
      <c r="N190">
        <v>596</v>
      </c>
      <c r="O190" s="4">
        <v>3419.3</v>
      </c>
      <c r="P190" s="4">
        <v>5567.71</v>
      </c>
      <c r="Q190">
        <v>6</v>
      </c>
      <c r="R190">
        <v>0</v>
      </c>
      <c r="S190" t="s">
        <v>44</v>
      </c>
      <c r="T190">
        <v>5</v>
      </c>
      <c r="U190" t="s">
        <v>45</v>
      </c>
      <c r="V190" t="s">
        <v>46</v>
      </c>
    </row>
    <row r="191" spans="1:22">
      <c r="A191" t="s">
        <v>544</v>
      </c>
      <c r="B191" t="s">
        <v>59</v>
      </c>
      <c r="C191" t="s">
        <v>160</v>
      </c>
      <c r="D191" t="s">
        <v>545</v>
      </c>
      <c r="E191" t="s">
        <v>161</v>
      </c>
      <c r="F191" t="s">
        <v>52</v>
      </c>
      <c r="G191" t="s">
        <v>53</v>
      </c>
      <c r="H191" t="s">
        <v>52</v>
      </c>
      <c r="I191" t="s">
        <v>53</v>
      </c>
      <c r="J191" t="s">
        <v>55</v>
      </c>
      <c r="K191" t="s">
        <v>72</v>
      </c>
      <c r="L191" t="s">
        <v>61</v>
      </c>
      <c r="M191" s="5">
        <v>11</v>
      </c>
      <c r="N191">
        <v>1064</v>
      </c>
      <c r="O191" s="4">
        <v>6630.2</v>
      </c>
      <c r="P191" s="4">
        <v>10693.23</v>
      </c>
      <c r="Q191">
        <v>1</v>
      </c>
      <c r="R191">
        <v>0</v>
      </c>
      <c r="S191" t="s">
        <v>44</v>
      </c>
      <c r="T191">
        <v>5</v>
      </c>
      <c r="U191" t="s">
        <v>45</v>
      </c>
      <c r="V191" t="s">
        <v>46</v>
      </c>
    </row>
    <row r="192" spans="1:22">
      <c r="A192" t="s">
        <v>546</v>
      </c>
      <c r="B192" t="s">
        <v>263</v>
      </c>
      <c r="C192" t="s">
        <v>414</v>
      </c>
      <c r="D192" t="s">
        <v>172</v>
      </c>
      <c r="E192" t="s">
        <v>172</v>
      </c>
      <c r="F192" t="s">
        <v>82</v>
      </c>
      <c r="G192" t="s">
        <v>82</v>
      </c>
      <c r="H192" t="s">
        <v>54</v>
      </c>
      <c r="I192" t="s">
        <v>54</v>
      </c>
      <c r="J192" t="s">
        <v>41</v>
      </c>
      <c r="K192" t="s">
        <v>42</v>
      </c>
      <c r="L192" t="s">
        <v>118</v>
      </c>
      <c r="M192" s="5">
        <v>10.8</v>
      </c>
      <c r="N192">
        <v>2011</v>
      </c>
      <c r="O192" s="4">
        <v>6637.8</v>
      </c>
      <c r="P192" s="4">
        <v>9470.06</v>
      </c>
      <c r="Q192">
        <v>5</v>
      </c>
      <c r="R192">
        <v>0</v>
      </c>
      <c r="S192" t="s">
        <v>44</v>
      </c>
      <c r="T192">
        <v>4</v>
      </c>
      <c r="U192" t="s">
        <v>45</v>
      </c>
      <c r="V192" t="s">
        <v>46</v>
      </c>
    </row>
    <row r="193" spans="1:22">
      <c r="A193" t="s">
        <v>547</v>
      </c>
      <c r="B193" t="s">
        <v>333</v>
      </c>
      <c r="C193" t="s">
        <v>305</v>
      </c>
      <c r="D193" t="s">
        <v>340</v>
      </c>
      <c r="E193" t="s">
        <v>99</v>
      </c>
      <c r="F193" t="s">
        <v>40</v>
      </c>
      <c r="G193" t="s">
        <v>40</v>
      </c>
      <c r="H193" t="s">
        <v>82</v>
      </c>
      <c r="I193" t="s">
        <v>82</v>
      </c>
      <c r="J193" t="s">
        <v>41</v>
      </c>
      <c r="K193" t="s">
        <v>72</v>
      </c>
      <c r="L193" t="s">
        <v>61</v>
      </c>
      <c r="M193" s="5">
        <v>12.6</v>
      </c>
      <c r="N193">
        <v>714</v>
      </c>
      <c r="O193" s="4">
        <v>6136.2</v>
      </c>
      <c r="P193" s="4">
        <v>10416.24</v>
      </c>
      <c r="Q193">
        <v>4</v>
      </c>
      <c r="R193">
        <v>2</v>
      </c>
      <c r="S193" t="s">
        <v>56</v>
      </c>
      <c r="T193">
        <v>4</v>
      </c>
      <c r="U193" t="s">
        <v>45</v>
      </c>
      <c r="V193" t="s">
        <v>46</v>
      </c>
    </row>
    <row r="194" spans="1:22">
      <c r="A194" t="s">
        <v>548</v>
      </c>
      <c r="B194" t="s">
        <v>93</v>
      </c>
      <c r="C194" t="s">
        <v>330</v>
      </c>
      <c r="D194" t="s">
        <v>106</v>
      </c>
      <c r="E194" t="s">
        <v>107</v>
      </c>
      <c r="F194" t="s">
        <v>52</v>
      </c>
      <c r="G194" t="s">
        <v>53</v>
      </c>
      <c r="H194" t="s">
        <v>52</v>
      </c>
      <c r="I194" t="s">
        <v>53</v>
      </c>
      <c r="J194" t="s">
        <v>76</v>
      </c>
      <c r="K194" t="s">
        <v>72</v>
      </c>
      <c r="L194" t="s">
        <v>61</v>
      </c>
      <c r="M194" s="5">
        <v>12.1</v>
      </c>
      <c r="N194">
        <v>48</v>
      </c>
      <c r="O194" s="4">
        <v>4894.8999999999996</v>
      </c>
      <c r="P194" s="4">
        <v>9504.41</v>
      </c>
      <c r="Q194">
        <v>1</v>
      </c>
      <c r="R194">
        <v>0</v>
      </c>
      <c r="S194" t="s">
        <v>44</v>
      </c>
      <c r="T194">
        <v>5</v>
      </c>
      <c r="U194" t="s">
        <v>220</v>
      </c>
      <c r="V194" t="s">
        <v>46</v>
      </c>
    </row>
    <row r="195" spans="1:22">
      <c r="A195" t="s">
        <v>549</v>
      </c>
      <c r="B195" t="s">
        <v>102</v>
      </c>
      <c r="C195" t="s">
        <v>103</v>
      </c>
      <c r="D195" t="s">
        <v>158</v>
      </c>
      <c r="E195" t="s">
        <v>550</v>
      </c>
      <c r="F195" t="s">
        <v>82</v>
      </c>
      <c r="G195" t="s">
        <v>82</v>
      </c>
      <c r="H195" t="s">
        <v>54</v>
      </c>
      <c r="I195" t="s">
        <v>54</v>
      </c>
      <c r="J195" t="s">
        <v>55</v>
      </c>
      <c r="K195" t="s">
        <v>65</v>
      </c>
      <c r="L195" t="s">
        <v>61</v>
      </c>
      <c r="M195" s="5">
        <v>5.0999999999999996</v>
      </c>
      <c r="N195">
        <v>766</v>
      </c>
      <c r="O195" s="4">
        <v>3912.3</v>
      </c>
      <c r="P195" s="4">
        <v>5847.29</v>
      </c>
      <c r="Q195">
        <v>11</v>
      </c>
      <c r="R195">
        <v>3</v>
      </c>
      <c r="S195" t="s">
        <v>56</v>
      </c>
      <c r="T195">
        <v>4</v>
      </c>
      <c r="U195" t="s">
        <v>45</v>
      </c>
      <c r="V195" t="s">
        <v>46</v>
      </c>
    </row>
    <row r="196" spans="1:22">
      <c r="A196" t="s">
        <v>551</v>
      </c>
      <c r="B196" t="s">
        <v>552</v>
      </c>
      <c r="C196" t="s">
        <v>552</v>
      </c>
      <c r="D196" t="s">
        <v>553</v>
      </c>
      <c r="E196" t="s">
        <v>401</v>
      </c>
      <c r="F196" t="s">
        <v>54</v>
      </c>
      <c r="G196" t="s">
        <v>54</v>
      </c>
      <c r="H196" t="s">
        <v>82</v>
      </c>
      <c r="I196" t="s">
        <v>82</v>
      </c>
      <c r="J196" t="s">
        <v>55</v>
      </c>
      <c r="K196" t="s">
        <v>72</v>
      </c>
      <c r="L196" t="s">
        <v>77</v>
      </c>
      <c r="M196" s="5">
        <v>10.5</v>
      </c>
      <c r="N196">
        <v>547</v>
      </c>
      <c r="O196" s="4">
        <v>5657.1</v>
      </c>
      <c r="P196" s="4">
        <v>9055.7800000000007</v>
      </c>
      <c r="Q196">
        <v>1</v>
      </c>
      <c r="R196">
        <v>0</v>
      </c>
      <c r="S196" t="s">
        <v>44</v>
      </c>
      <c r="T196">
        <v>5</v>
      </c>
      <c r="U196" t="s">
        <v>45</v>
      </c>
      <c r="V196" t="s">
        <v>46</v>
      </c>
    </row>
    <row r="197" spans="1:22">
      <c r="A197" t="s">
        <v>554</v>
      </c>
      <c r="B197" t="s">
        <v>555</v>
      </c>
      <c r="C197" t="s">
        <v>236</v>
      </c>
      <c r="D197" t="s">
        <v>521</v>
      </c>
      <c r="E197" t="s">
        <v>235</v>
      </c>
      <c r="F197" t="s">
        <v>82</v>
      </c>
      <c r="G197" t="s">
        <v>82</v>
      </c>
      <c r="H197" t="s">
        <v>52</v>
      </c>
      <c r="I197" t="s">
        <v>53</v>
      </c>
      <c r="J197" t="s">
        <v>55</v>
      </c>
      <c r="K197" t="s">
        <v>72</v>
      </c>
      <c r="L197" t="s">
        <v>118</v>
      </c>
      <c r="M197" s="5">
        <v>15.2</v>
      </c>
      <c r="N197">
        <v>634</v>
      </c>
      <c r="O197" s="4">
        <v>6213.2</v>
      </c>
      <c r="P197" s="4">
        <v>10321.68</v>
      </c>
      <c r="Q197">
        <v>3</v>
      </c>
      <c r="R197">
        <v>1</v>
      </c>
      <c r="S197" t="s">
        <v>56</v>
      </c>
      <c r="T197">
        <v>5</v>
      </c>
      <c r="U197" t="s">
        <v>45</v>
      </c>
      <c r="V197" t="s">
        <v>46</v>
      </c>
    </row>
    <row r="198" spans="1:22">
      <c r="A198" t="s">
        <v>556</v>
      </c>
      <c r="B198" t="s">
        <v>505</v>
      </c>
      <c r="C198" t="s">
        <v>557</v>
      </c>
      <c r="D198" t="s">
        <v>552</v>
      </c>
      <c r="E198" t="s">
        <v>400</v>
      </c>
      <c r="F198" t="s">
        <v>82</v>
      </c>
      <c r="G198" t="s">
        <v>82</v>
      </c>
      <c r="H198" t="s">
        <v>82</v>
      </c>
      <c r="I198" t="s">
        <v>82</v>
      </c>
      <c r="J198" t="s">
        <v>41</v>
      </c>
      <c r="K198" t="s">
        <v>72</v>
      </c>
      <c r="L198" t="s">
        <v>43</v>
      </c>
      <c r="M198" s="5">
        <v>11.2</v>
      </c>
      <c r="N198">
        <v>1891</v>
      </c>
      <c r="O198" s="4">
        <v>8135.8</v>
      </c>
      <c r="P198" s="4">
        <v>13092.34</v>
      </c>
      <c r="Q198">
        <v>1</v>
      </c>
      <c r="R198">
        <v>0</v>
      </c>
      <c r="S198" t="s">
        <v>44</v>
      </c>
      <c r="T198">
        <v>5</v>
      </c>
      <c r="U198" t="s">
        <v>45</v>
      </c>
      <c r="V198" t="s">
        <v>46</v>
      </c>
    </row>
    <row r="199" spans="1:22">
      <c r="A199" t="s">
        <v>558</v>
      </c>
      <c r="B199" t="s">
        <v>136</v>
      </c>
      <c r="C199" t="s">
        <v>136</v>
      </c>
      <c r="D199" t="s">
        <v>189</v>
      </c>
      <c r="E199" t="s">
        <v>135</v>
      </c>
      <c r="F199" t="s">
        <v>82</v>
      </c>
      <c r="G199" t="s">
        <v>82</v>
      </c>
      <c r="H199" t="s">
        <v>82</v>
      </c>
      <c r="I199" t="s">
        <v>82</v>
      </c>
      <c r="J199" t="s">
        <v>55</v>
      </c>
      <c r="K199" t="s">
        <v>72</v>
      </c>
      <c r="L199" t="s">
        <v>87</v>
      </c>
      <c r="M199" s="5">
        <v>5</v>
      </c>
      <c r="N199">
        <v>914</v>
      </c>
      <c r="O199" s="4">
        <v>5850.2</v>
      </c>
      <c r="P199" s="4">
        <v>9449.11</v>
      </c>
      <c r="Q199">
        <v>1</v>
      </c>
      <c r="R199">
        <v>0</v>
      </c>
      <c r="S199" t="s">
        <v>44</v>
      </c>
      <c r="T199">
        <v>5</v>
      </c>
      <c r="U199" t="s">
        <v>45</v>
      </c>
      <c r="V199" t="s">
        <v>46</v>
      </c>
    </row>
    <row r="200" spans="1:22">
      <c r="A200" t="s">
        <v>559</v>
      </c>
      <c r="B200" t="s">
        <v>377</v>
      </c>
      <c r="C200" t="s">
        <v>245</v>
      </c>
      <c r="D200" t="s">
        <v>246</v>
      </c>
      <c r="E200" t="s">
        <v>246</v>
      </c>
      <c r="F200" t="s">
        <v>52</v>
      </c>
      <c r="G200" t="s">
        <v>53</v>
      </c>
      <c r="H200" t="s">
        <v>70</v>
      </c>
      <c r="I200" t="s">
        <v>71</v>
      </c>
      <c r="J200" t="s">
        <v>141</v>
      </c>
      <c r="K200" t="s">
        <v>65</v>
      </c>
      <c r="L200" t="s">
        <v>87</v>
      </c>
      <c r="M200" s="5">
        <v>1.7</v>
      </c>
      <c r="N200">
        <v>648</v>
      </c>
      <c r="O200" s="4">
        <v>3410.9</v>
      </c>
      <c r="P200" s="4">
        <v>6723.27</v>
      </c>
      <c r="Q200">
        <v>8</v>
      </c>
      <c r="R200">
        <v>0</v>
      </c>
      <c r="S200" t="s">
        <v>44</v>
      </c>
      <c r="T200">
        <v>5</v>
      </c>
      <c r="U200" t="s">
        <v>45</v>
      </c>
      <c r="V200" t="s">
        <v>46</v>
      </c>
    </row>
    <row r="201" spans="1:22">
      <c r="A201" t="s">
        <v>560</v>
      </c>
      <c r="B201" t="s">
        <v>180</v>
      </c>
      <c r="C201" t="s">
        <v>511</v>
      </c>
      <c r="D201" t="s">
        <v>561</v>
      </c>
      <c r="E201" t="s">
        <v>562</v>
      </c>
      <c r="F201" t="s">
        <v>70</v>
      </c>
      <c r="G201" t="s">
        <v>71</v>
      </c>
      <c r="H201" t="s">
        <v>82</v>
      </c>
      <c r="I201" t="s">
        <v>82</v>
      </c>
      <c r="J201" t="s">
        <v>55</v>
      </c>
      <c r="K201" t="s">
        <v>72</v>
      </c>
      <c r="L201" t="s">
        <v>43</v>
      </c>
      <c r="M201" s="5">
        <v>13.9</v>
      </c>
      <c r="N201">
        <v>1920</v>
      </c>
      <c r="O201" s="4">
        <v>8417.5</v>
      </c>
      <c r="P201" s="4">
        <v>12619.27</v>
      </c>
      <c r="Q201">
        <v>1</v>
      </c>
      <c r="R201">
        <v>0</v>
      </c>
      <c r="S201" t="s">
        <v>44</v>
      </c>
      <c r="T201">
        <v>5</v>
      </c>
      <c r="U201" t="s">
        <v>45</v>
      </c>
      <c r="V201" t="s">
        <v>46</v>
      </c>
    </row>
    <row r="202" spans="1:22">
      <c r="A202" t="s">
        <v>563</v>
      </c>
      <c r="B202" t="s">
        <v>198</v>
      </c>
      <c r="C202" t="s">
        <v>199</v>
      </c>
      <c r="D202" t="s">
        <v>200</v>
      </c>
      <c r="E202" t="s">
        <v>335</v>
      </c>
      <c r="F202" t="s">
        <v>52</v>
      </c>
      <c r="G202" t="s">
        <v>53</v>
      </c>
      <c r="H202" t="s">
        <v>82</v>
      </c>
      <c r="I202" t="s">
        <v>82</v>
      </c>
      <c r="J202" t="s">
        <v>41</v>
      </c>
      <c r="K202" t="s">
        <v>65</v>
      </c>
      <c r="L202" t="s">
        <v>61</v>
      </c>
      <c r="M202" s="5">
        <v>11</v>
      </c>
      <c r="N202">
        <v>1801</v>
      </c>
      <c r="O202" s="4">
        <v>6276.8</v>
      </c>
      <c r="P202" s="4">
        <v>10753.59</v>
      </c>
      <c r="Q202">
        <v>11</v>
      </c>
      <c r="R202">
        <v>3</v>
      </c>
      <c r="S202" t="s">
        <v>56</v>
      </c>
      <c r="T202">
        <v>4</v>
      </c>
      <c r="U202" t="s">
        <v>45</v>
      </c>
      <c r="V202" t="s">
        <v>46</v>
      </c>
    </row>
    <row r="203" spans="1:22">
      <c r="A203" t="s">
        <v>564</v>
      </c>
      <c r="B203" t="s">
        <v>216</v>
      </c>
      <c r="C203" t="s">
        <v>438</v>
      </c>
      <c r="D203" t="s">
        <v>428</v>
      </c>
      <c r="E203" t="s">
        <v>58</v>
      </c>
      <c r="F203" t="s">
        <v>82</v>
      </c>
      <c r="G203" t="s">
        <v>82</v>
      </c>
      <c r="H203" t="s">
        <v>70</v>
      </c>
      <c r="I203" t="s">
        <v>71</v>
      </c>
      <c r="J203" t="s">
        <v>141</v>
      </c>
      <c r="K203" t="s">
        <v>65</v>
      </c>
      <c r="L203" t="s">
        <v>43</v>
      </c>
      <c r="M203" s="5">
        <v>7.7</v>
      </c>
      <c r="N203">
        <v>977</v>
      </c>
      <c r="O203" s="4">
        <v>4513.1000000000004</v>
      </c>
      <c r="P203" s="4">
        <v>8378.01</v>
      </c>
      <c r="Q203">
        <v>6</v>
      </c>
      <c r="R203">
        <v>0</v>
      </c>
      <c r="S203" t="s">
        <v>44</v>
      </c>
      <c r="T203">
        <v>5</v>
      </c>
      <c r="U203" t="s">
        <v>45</v>
      </c>
      <c r="V203" t="s">
        <v>46</v>
      </c>
    </row>
    <row r="204" spans="1:22">
      <c r="A204" t="s">
        <v>565</v>
      </c>
      <c r="B204" t="s">
        <v>51</v>
      </c>
      <c r="C204" t="s">
        <v>322</v>
      </c>
      <c r="D204" t="s">
        <v>213</v>
      </c>
      <c r="E204" t="s">
        <v>483</v>
      </c>
      <c r="F204" t="s">
        <v>82</v>
      </c>
      <c r="G204" t="s">
        <v>82</v>
      </c>
      <c r="H204" t="s">
        <v>52</v>
      </c>
      <c r="I204" t="s">
        <v>53</v>
      </c>
      <c r="J204" t="s">
        <v>41</v>
      </c>
      <c r="K204" t="s">
        <v>65</v>
      </c>
      <c r="L204" t="s">
        <v>87</v>
      </c>
      <c r="M204" s="5">
        <v>17</v>
      </c>
      <c r="N204">
        <v>1492</v>
      </c>
      <c r="O204" s="4">
        <v>6230.6</v>
      </c>
      <c r="P204" s="4">
        <v>8526.0300000000007</v>
      </c>
      <c r="Q204">
        <v>11</v>
      </c>
      <c r="R204">
        <v>3</v>
      </c>
      <c r="S204" t="s">
        <v>56</v>
      </c>
      <c r="T204">
        <v>4</v>
      </c>
      <c r="U204" t="s">
        <v>220</v>
      </c>
      <c r="V204" t="s">
        <v>46</v>
      </c>
    </row>
    <row r="205" spans="1:22">
      <c r="A205" t="s">
        <v>566</v>
      </c>
      <c r="B205" t="s">
        <v>196</v>
      </c>
      <c r="C205" t="s">
        <v>198</v>
      </c>
      <c r="D205" t="s">
        <v>199</v>
      </c>
      <c r="E205" t="s">
        <v>567</v>
      </c>
      <c r="F205" t="s">
        <v>70</v>
      </c>
      <c r="G205" t="s">
        <v>71</v>
      </c>
      <c r="H205" t="s">
        <v>40</v>
      </c>
      <c r="I205" t="s">
        <v>40</v>
      </c>
      <c r="J205" t="s">
        <v>76</v>
      </c>
      <c r="K205" t="s">
        <v>72</v>
      </c>
      <c r="L205" t="s">
        <v>61</v>
      </c>
      <c r="M205" s="5">
        <v>5.9</v>
      </c>
      <c r="N205">
        <v>955</v>
      </c>
      <c r="O205" s="4">
        <v>6000.5</v>
      </c>
      <c r="P205" s="4">
        <v>11119.02</v>
      </c>
      <c r="Q205">
        <v>4</v>
      </c>
      <c r="R205">
        <v>2</v>
      </c>
      <c r="S205" t="s">
        <v>56</v>
      </c>
      <c r="T205">
        <v>4</v>
      </c>
      <c r="U205" t="s">
        <v>45</v>
      </c>
      <c r="V205" t="s">
        <v>46</v>
      </c>
    </row>
    <row r="206" spans="1:22">
      <c r="A206" t="s">
        <v>568</v>
      </c>
      <c r="B206" t="s">
        <v>97</v>
      </c>
      <c r="C206" t="s">
        <v>569</v>
      </c>
      <c r="D206" t="s">
        <v>340</v>
      </c>
      <c r="E206" t="s">
        <v>367</v>
      </c>
      <c r="F206" t="s">
        <v>52</v>
      </c>
      <c r="G206" t="s">
        <v>53</v>
      </c>
      <c r="H206" t="s">
        <v>52</v>
      </c>
      <c r="I206" t="s">
        <v>53</v>
      </c>
      <c r="J206" t="s">
        <v>76</v>
      </c>
      <c r="K206" t="s">
        <v>42</v>
      </c>
      <c r="L206" t="s">
        <v>61</v>
      </c>
      <c r="M206" s="5">
        <v>11.1</v>
      </c>
      <c r="N206">
        <v>101</v>
      </c>
      <c r="O206" s="4">
        <v>3225.3</v>
      </c>
      <c r="P206" s="4">
        <v>4802.83</v>
      </c>
      <c r="Q206">
        <v>4</v>
      </c>
      <c r="R206">
        <v>0</v>
      </c>
      <c r="S206" t="s">
        <v>44</v>
      </c>
      <c r="T206">
        <v>5</v>
      </c>
      <c r="U206" t="s">
        <v>45</v>
      </c>
      <c r="V206" t="s">
        <v>46</v>
      </c>
    </row>
    <row r="207" spans="1:22">
      <c r="A207" t="s">
        <v>570</v>
      </c>
      <c r="B207" t="s">
        <v>285</v>
      </c>
      <c r="C207" t="s">
        <v>285</v>
      </c>
      <c r="D207" t="s">
        <v>419</v>
      </c>
      <c r="E207" t="s">
        <v>419</v>
      </c>
      <c r="F207" t="s">
        <v>52</v>
      </c>
      <c r="G207" t="s">
        <v>53</v>
      </c>
      <c r="H207" t="s">
        <v>82</v>
      </c>
      <c r="I207" t="s">
        <v>82</v>
      </c>
      <c r="J207" t="s">
        <v>76</v>
      </c>
      <c r="K207" t="s">
        <v>72</v>
      </c>
      <c r="L207" t="s">
        <v>118</v>
      </c>
      <c r="M207" s="5">
        <v>10</v>
      </c>
      <c r="N207">
        <v>2082</v>
      </c>
      <c r="O207" s="4">
        <v>8377.6</v>
      </c>
      <c r="P207" s="4">
        <v>17530.04</v>
      </c>
      <c r="Q207">
        <v>2</v>
      </c>
      <c r="R207">
        <v>0</v>
      </c>
      <c r="S207" t="s">
        <v>44</v>
      </c>
      <c r="T207">
        <v>5</v>
      </c>
      <c r="U207" t="s">
        <v>45</v>
      </c>
      <c r="V207" t="s">
        <v>46</v>
      </c>
    </row>
    <row r="208" spans="1:22">
      <c r="A208" t="s">
        <v>571</v>
      </c>
      <c r="B208" t="s">
        <v>464</v>
      </c>
      <c r="C208" t="s">
        <v>464</v>
      </c>
      <c r="D208" t="s">
        <v>572</v>
      </c>
      <c r="E208" t="s">
        <v>469</v>
      </c>
      <c r="F208" t="s">
        <v>52</v>
      </c>
      <c r="G208" t="s">
        <v>53</v>
      </c>
      <c r="H208" t="s">
        <v>40</v>
      </c>
      <c r="I208" t="s">
        <v>40</v>
      </c>
      <c r="J208" t="s">
        <v>55</v>
      </c>
      <c r="K208" t="s">
        <v>65</v>
      </c>
      <c r="L208" t="s">
        <v>61</v>
      </c>
      <c r="M208" s="5">
        <v>12.3</v>
      </c>
      <c r="N208">
        <v>1627</v>
      </c>
      <c r="O208" s="4">
        <v>6074.1</v>
      </c>
      <c r="P208" s="4">
        <v>10269.48</v>
      </c>
      <c r="Q208">
        <v>9</v>
      </c>
      <c r="R208">
        <v>1</v>
      </c>
      <c r="S208" t="s">
        <v>56</v>
      </c>
      <c r="T208">
        <v>5</v>
      </c>
      <c r="U208" t="s">
        <v>45</v>
      </c>
      <c r="V208" t="s">
        <v>46</v>
      </c>
    </row>
    <row r="209" spans="1:22">
      <c r="A209" t="s">
        <v>573</v>
      </c>
      <c r="B209" t="s">
        <v>285</v>
      </c>
      <c r="C209" t="s">
        <v>574</v>
      </c>
      <c r="D209" t="s">
        <v>575</v>
      </c>
      <c r="E209" t="s">
        <v>343</v>
      </c>
      <c r="F209" t="s">
        <v>54</v>
      </c>
      <c r="G209" t="s">
        <v>54</v>
      </c>
      <c r="H209" t="s">
        <v>52</v>
      </c>
      <c r="I209" t="s">
        <v>53</v>
      </c>
      <c r="J209" t="s">
        <v>76</v>
      </c>
      <c r="K209" t="s">
        <v>42</v>
      </c>
      <c r="L209" t="s">
        <v>77</v>
      </c>
      <c r="M209" s="5">
        <v>1.8</v>
      </c>
      <c r="N209">
        <v>1423</v>
      </c>
      <c r="O209" s="4">
        <v>4814.3999999999996</v>
      </c>
      <c r="P209" s="4">
        <v>9766.02</v>
      </c>
      <c r="Q209">
        <v>4</v>
      </c>
      <c r="R209">
        <v>0</v>
      </c>
      <c r="S209" t="s">
        <v>44</v>
      </c>
      <c r="T209">
        <v>5</v>
      </c>
      <c r="U209" t="s">
        <v>45</v>
      </c>
      <c r="V209" t="s">
        <v>46</v>
      </c>
    </row>
    <row r="210" spans="1:22">
      <c r="A210" t="s">
        <v>576</v>
      </c>
      <c r="B210" t="s">
        <v>69</v>
      </c>
      <c r="C210" t="s">
        <v>75</v>
      </c>
      <c r="D210" t="s">
        <v>433</v>
      </c>
      <c r="E210" t="s">
        <v>433</v>
      </c>
      <c r="F210" t="s">
        <v>40</v>
      </c>
      <c r="G210" t="s">
        <v>40</v>
      </c>
      <c r="H210" t="s">
        <v>40</v>
      </c>
      <c r="I210" t="s">
        <v>40</v>
      </c>
      <c r="J210" t="s">
        <v>55</v>
      </c>
      <c r="K210" t="s">
        <v>65</v>
      </c>
      <c r="L210" t="s">
        <v>77</v>
      </c>
      <c r="M210" s="5">
        <v>5.4</v>
      </c>
      <c r="N210">
        <v>388</v>
      </c>
      <c r="O210" s="4">
        <v>3257.4</v>
      </c>
      <c r="P210" s="4">
        <v>5970.58</v>
      </c>
      <c r="Q210">
        <v>8</v>
      </c>
      <c r="R210">
        <v>0</v>
      </c>
      <c r="S210" t="s">
        <v>44</v>
      </c>
      <c r="T210">
        <v>5</v>
      </c>
      <c r="U210" t="s">
        <v>45</v>
      </c>
      <c r="V210" t="s">
        <v>46</v>
      </c>
    </row>
    <row r="211" spans="1:22">
      <c r="A211" t="s">
        <v>577</v>
      </c>
      <c r="B211" t="s">
        <v>37</v>
      </c>
      <c r="C211" t="s">
        <v>205</v>
      </c>
      <c r="D211" t="s">
        <v>39</v>
      </c>
      <c r="E211" t="s">
        <v>38</v>
      </c>
      <c r="F211" t="s">
        <v>70</v>
      </c>
      <c r="G211" t="s">
        <v>71</v>
      </c>
      <c r="H211" t="s">
        <v>54</v>
      </c>
      <c r="I211" t="s">
        <v>54</v>
      </c>
      <c r="J211" t="s">
        <v>41</v>
      </c>
      <c r="K211" t="s">
        <v>72</v>
      </c>
      <c r="L211" t="s">
        <v>61</v>
      </c>
      <c r="M211" s="5">
        <v>10.7</v>
      </c>
      <c r="N211">
        <v>333</v>
      </c>
      <c r="O211" s="4">
        <v>5288.9</v>
      </c>
      <c r="P211" s="4">
        <v>9034.92</v>
      </c>
      <c r="Q211">
        <v>3</v>
      </c>
      <c r="R211">
        <v>1</v>
      </c>
      <c r="S211" t="s">
        <v>56</v>
      </c>
      <c r="T211">
        <v>5</v>
      </c>
      <c r="U211" t="s">
        <v>45</v>
      </c>
      <c r="V211" t="s">
        <v>46</v>
      </c>
    </row>
    <row r="212" spans="1:22">
      <c r="A212" t="s">
        <v>578</v>
      </c>
      <c r="B212" t="s">
        <v>238</v>
      </c>
      <c r="C212" t="s">
        <v>415</v>
      </c>
      <c r="D212" t="s">
        <v>172</v>
      </c>
      <c r="E212" t="s">
        <v>170</v>
      </c>
      <c r="F212" t="s">
        <v>40</v>
      </c>
      <c r="G212" t="s">
        <v>40</v>
      </c>
      <c r="H212" t="s">
        <v>52</v>
      </c>
      <c r="I212" t="s">
        <v>53</v>
      </c>
      <c r="J212" t="s">
        <v>55</v>
      </c>
      <c r="K212" t="s">
        <v>72</v>
      </c>
      <c r="L212" t="s">
        <v>118</v>
      </c>
      <c r="M212" s="5">
        <v>17.2</v>
      </c>
      <c r="N212">
        <v>797</v>
      </c>
      <c r="O212" s="4">
        <v>6676.6</v>
      </c>
      <c r="P212" s="4">
        <v>8862.85</v>
      </c>
      <c r="Q212">
        <v>1</v>
      </c>
      <c r="R212">
        <v>0</v>
      </c>
      <c r="S212" t="s">
        <v>44</v>
      </c>
      <c r="T212">
        <v>5</v>
      </c>
      <c r="U212" t="s">
        <v>45</v>
      </c>
      <c r="V212" t="s">
        <v>46</v>
      </c>
    </row>
    <row r="213" spans="1:22">
      <c r="A213" t="s">
        <v>579</v>
      </c>
      <c r="B213" t="s">
        <v>135</v>
      </c>
      <c r="C213" t="s">
        <v>189</v>
      </c>
      <c r="D213" t="s">
        <v>230</v>
      </c>
      <c r="E213" t="s">
        <v>232</v>
      </c>
      <c r="F213" t="s">
        <v>52</v>
      </c>
      <c r="G213" t="s">
        <v>53</v>
      </c>
      <c r="H213" t="s">
        <v>82</v>
      </c>
      <c r="I213" t="s">
        <v>82</v>
      </c>
      <c r="J213" t="s">
        <v>55</v>
      </c>
      <c r="K213" t="s">
        <v>72</v>
      </c>
      <c r="L213" t="s">
        <v>77</v>
      </c>
      <c r="M213" s="5">
        <v>18.100000000000001</v>
      </c>
      <c r="N213">
        <v>871</v>
      </c>
      <c r="O213" s="4">
        <v>6886.3</v>
      </c>
      <c r="P213" s="4">
        <v>8872.41</v>
      </c>
      <c r="Q213">
        <v>5</v>
      </c>
      <c r="R213">
        <v>3</v>
      </c>
      <c r="S213" t="s">
        <v>56</v>
      </c>
      <c r="T213">
        <v>4</v>
      </c>
      <c r="U213" t="s">
        <v>45</v>
      </c>
      <c r="V213" t="s">
        <v>46</v>
      </c>
    </row>
    <row r="214" spans="1:22">
      <c r="A214" t="s">
        <v>580</v>
      </c>
      <c r="B214" t="s">
        <v>105</v>
      </c>
      <c r="C214" t="s">
        <v>581</v>
      </c>
      <c r="D214" t="s">
        <v>331</v>
      </c>
      <c r="E214" t="s">
        <v>106</v>
      </c>
      <c r="F214" t="s">
        <v>70</v>
      </c>
      <c r="G214" t="s">
        <v>71</v>
      </c>
      <c r="H214" t="s">
        <v>70</v>
      </c>
      <c r="I214" t="s">
        <v>71</v>
      </c>
      <c r="J214" t="s">
        <v>41</v>
      </c>
      <c r="K214" t="s">
        <v>65</v>
      </c>
      <c r="L214" t="s">
        <v>87</v>
      </c>
      <c r="M214" s="5">
        <v>11</v>
      </c>
      <c r="N214">
        <v>896</v>
      </c>
      <c r="O214" s="4">
        <v>4647.8</v>
      </c>
      <c r="P214" s="4">
        <v>6856.31</v>
      </c>
      <c r="Q214">
        <v>7</v>
      </c>
      <c r="R214">
        <v>0</v>
      </c>
      <c r="S214" t="s">
        <v>44</v>
      </c>
      <c r="T214">
        <v>5</v>
      </c>
      <c r="U214" t="s">
        <v>220</v>
      </c>
      <c r="V214" t="s">
        <v>46</v>
      </c>
    </row>
    <row r="215" spans="1:22">
      <c r="A215" t="s">
        <v>582</v>
      </c>
      <c r="B215" t="s">
        <v>583</v>
      </c>
      <c r="C215" t="s">
        <v>365</v>
      </c>
      <c r="D215" t="s">
        <v>48</v>
      </c>
      <c r="E215" t="s">
        <v>63</v>
      </c>
      <c r="F215" t="s">
        <v>52</v>
      </c>
      <c r="G215" t="s">
        <v>53</v>
      </c>
      <c r="H215" t="s">
        <v>40</v>
      </c>
      <c r="I215" t="s">
        <v>40</v>
      </c>
      <c r="J215" t="s">
        <v>76</v>
      </c>
      <c r="K215" t="s">
        <v>72</v>
      </c>
      <c r="L215" t="s">
        <v>77</v>
      </c>
      <c r="M215" s="5">
        <v>16</v>
      </c>
      <c r="N215">
        <v>760</v>
      </c>
      <c r="O215" s="4">
        <v>6508</v>
      </c>
      <c r="P215" s="4">
        <v>10205.68</v>
      </c>
      <c r="Q215">
        <v>1</v>
      </c>
      <c r="R215">
        <v>0</v>
      </c>
      <c r="S215" t="s">
        <v>44</v>
      </c>
      <c r="T215">
        <v>5</v>
      </c>
      <c r="U215" t="s">
        <v>45</v>
      </c>
      <c r="V215" t="s">
        <v>46</v>
      </c>
    </row>
    <row r="216" spans="1:22">
      <c r="A216" t="s">
        <v>584</v>
      </c>
      <c r="B216" t="s">
        <v>585</v>
      </c>
      <c r="C216" t="s">
        <v>585</v>
      </c>
      <c r="D216" t="s">
        <v>135</v>
      </c>
      <c r="E216" t="s">
        <v>135</v>
      </c>
      <c r="F216" t="s">
        <v>54</v>
      </c>
      <c r="G216" t="s">
        <v>54</v>
      </c>
      <c r="H216" t="s">
        <v>40</v>
      </c>
      <c r="I216" t="s">
        <v>40</v>
      </c>
      <c r="J216" t="s">
        <v>76</v>
      </c>
      <c r="K216" t="s">
        <v>42</v>
      </c>
      <c r="L216" t="s">
        <v>87</v>
      </c>
      <c r="M216" s="5">
        <v>9.1999999999999993</v>
      </c>
      <c r="N216">
        <v>1939</v>
      </c>
      <c r="O216" s="4">
        <v>6372.2</v>
      </c>
      <c r="P216" s="4">
        <v>10387.35</v>
      </c>
      <c r="Q216">
        <v>5</v>
      </c>
      <c r="R216">
        <v>0</v>
      </c>
      <c r="S216" t="s">
        <v>44</v>
      </c>
      <c r="T216">
        <v>5</v>
      </c>
      <c r="U216" t="s">
        <v>45</v>
      </c>
      <c r="V216" t="s">
        <v>46</v>
      </c>
    </row>
    <row r="217" spans="1:22">
      <c r="A217" t="s">
        <v>586</v>
      </c>
      <c r="B217" t="s">
        <v>187</v>
      </c>
      <c r="C217" t="s">
        <v>188</v>
      </c>
      <c r="D217" t="s">
        <v>189</v>
      </c>
      <c r="E217" t="s">
        <v>230</v>
      </c>
      <c r="F217" t="s">
        <v>82</v>
      </c>
      <c r="G217" t="s">
        <v>82</v>
      </c>
      <c r="H217" t="s">
        <v>54</v>
      </c>
      <c r="I217" t="s">
        <v>54</v>
      </c>
      <c r="J217" t="s">
        <v>141</v>
      </c>
      <c r="K217" t="s">
        <v>65</v>
      </c>
      <c r="L217" t="s">
        <v>43</v>
      </c>
      <c r="M217" s="5">
        <v>14.7</v>
      </c>
      <c r="N217">
        <v>1469</v>
      </c>
      <c r="O217" s="4">
        <v>5993.7</v>
      </c>
      <c r="P217" s="4">
        <v>10828.87</v>
      </c>
      <c r="Q217">
        <v>10</v>
      </c>
      <c r="R217">
        <v>2</v>
      </c>
      <c r="S217" t="s">
        <v>56</v>
      </c>
      <c r="T217">
        <v>4</v>
      </c>
      <c r="U217" t="s">
        <v>45</v>
      </c>
      <c r="V217" t="s">
        <v>46</v>
      </c>
    </row>
    <row r="218" spans="1:22">
      <c r="A218" t="s">
        <v>587</v>
      </c>
      <c r="B218" t="s">
        <v>115</v>
      </c>
      <c r="C218" t="s">
        <v>116</v>
      </c>
      <c r="D218" t="s">
        <v>117</v>
      </c>
      <c r="E218" t="s">
        <v>251</v>
      </c>
      <c r="F218" t="s">
        <v>82</v>
      </c>
      <c r="G218" t="s">
        <v>82</v>
      </c>
      <c r="H218" t="s">
        <v>82</v>
      </c>
      <c r="I218" t="s">
        <v>82</v>
      </c>
      <c r="J218" t="s">
        <v>76</v>
      </c>
      <c r="K218" t="s">
        <v>72</v>
      </c>
      <c r="L218" t="s">
        <v>118</v>
      </c>
      <c r="M218" s="5">
        <v>8.9</v>
      </c>
      <c r="N218">
        <v>658</v>
      </c>
      <c r="O218" s="4">
        <v>5720.9</v>
      </c>
      <c r="P218" s="4">
        <v>10135.36</v>
      </c>
      <c r="Q218">
        <v>1</v>
      </c>
      <c r="R218">
        <v>0</v>
      </c>
      <c r="S218" t="s">
        <v>44</v>
      </c>
      <c r="T218">
        <v>4</v>
      </c>
      <c r="U218" t="s">
        <v>45</v>
      </c>
      <c r="V218" t="s">
        <v>46</v>
      </c>
    </row>
    <row r="219" spans="1:22">
      <c r="A219" t="s">
        <v>588</v>
      </c>
      <c r="B219" t="s">
        <v>436</v>
      </c>
      <c r="C219" t="s">
        <v>436</v>
      </c>
      <c r="D219" t="s">
        <v>589</v>
      </c>
      <c r="E219" t="s">
        <v>467</v>
      </c>
      <c r="F219" t="s">
        <v>40</v>
      </c>
      <c r="G219" t="s">
        <v>40</v>
      </c>
      <c r="H219" t="s">
        <v>70</v>
      </c>
      <c r="I219" t="s">
        <v>71</v>
      </c>
      <c r="J219" t="s">
        <v>141</v>
      </c>
      <c r="K219" t="s">
        <v>42</v>
      </c>
      <c r="L219" t="s">
        <v>61</v>
      </c>
      <c r="M219" s="5">
        <v>0.9</v>
      </c>
      <c r="N219">
        <v>1522</v>
      </c>
      <c r="O219" s="4">
        <v>4916.1000000000004</v>
      </c>
      <c r="P219" s="4">
        <v>6805.66</v>
      </c>
      <c r="Q219">
        <v>4</v>
      </c>
      <c r="R219">
        <v>0</v>
      </c>
      <c r="S219" t="s">
        <v>44</v>
      </c>
      <c r="T219">
        <v>5</v>
      </c>
      <c r="U219" t="s">
        <v>45</v>
      </c>
      <c r="V219" t="s">
        <v>46</v>
      </c>
    </row>
    <row r="220" spans="1:22">
      <c r="A220" t="s">
        <v>590</v>
      </c>
      <c r="B220" t="s">
        <v>336</v>
      </c>
      <c r="C220" t="s">
        <v>336</v>
      </c>
      <c r="D220" t="s">
        <v>378</v>
      </c>
      <c r="E220" t="s">
        <v>396</v>
      </c>
      <c r="F220" t="s">
        <v>54</v>
      </c>
      <c r="G220" t="s">
        <v>54</v>
      </c>
      <c r="H220" t="s">
        <v>82</v>
      </c>
      <c r="I220" t="s">
        <v>82</v>
      </c>
      <c r="J220" t="s">
        <v>141</v>
      </c>
      <c r="K220" t="s">
        <v>65</v>
      </c>
      <c r="L220" t="s">
        <v>87</v>
      </c>
      <c r="M220" s="5">
        <v>6</v>
      </c>
      <c r="N220">
        <v>559</v>
      </c>
      <c r="O220" s="4">
        <v>3616.2</v>
      </c>
      <c r="P220" s="4">
        <v>6096.76</v>
      </c>
      <c r="Q220">
        <v>5</v>
      </c>
      <c r="R220">
        <v>0</v>
      </c>
      <c r="S220" t="s">
        <v>44</v>
      </c>
      <c r="T220">
        <v>5</v>
      </c>
      <c r="U220" t="s">
        <v>45</v>
      </c>
      <c r="V220" t="s">
        <v>46</v>
      </c>
    </row>
    <row r="221" spans="1:22">
      <c r="A221" t="s">
        <v>591</v>
      </c>
      <c r="B221" t="s">
        <v>409</v>
      </c>
      <c r="C221" t="s">
        <v>360</v>
      </c>
      <c r="D221" t="s">
        <v>318</v>
      </c>
      <c r="E221" t="s">
        <v>364</v>
      </c>
      <c r="F221" t="s">
        <v>40</v>
      </c>
      <c r="G221" t="s">
        <v>40</v>
      </c>
      <c r="H221" t="s">
        <v>54</v>
      </c>
      <c r="I221" t="s">
        <v>54</v>
      </c>
      <c r="J221" t="s">
        <v>55</v>
      </c>
      <c r="K221" t="s">
        <v>65</v>
      </c>
      <c r="L221" t="s">
        <v>77</v>
      </c>
      <c r="M221" s="5">
        <v>5.2</v>
      </c>
      <c r="N221">
        <v>1621</v>
      </c>
      <c r="O221" s="4">
        <v>5459.8</v>
      </c>
      <c r="P221" s="4">
        <v>9076.85</v>
      </c>
      <c r="Q221">
        <v>10</v>
      </c>
      <c r="R221">
        <v>2</v>
      </c>
      <c r="S221" t="s">
        <v>56</v>
      </c>
      <c r="T221">
        <v>4</v>
      </c>
      <c r="U221" t="s">
        <v>45</v>
      </c>
      <c r="V221" t="s">
        <v>46</v>
      </c>
    </row>
    <row r="222" spans="1:22">
      <c r="A222" t="s">
        <v>592</v>
      </c>
      <c r="B222" t="s">
        <v>91</v>
      </c>
      <c r="C222" t="s">
        <v>91</v>
      </c>
      <c r="D222" t="s">
        <v>276</v>
      </c>
      <c r="E222" t="s">
        <v>289</v>
      </c>
      <c r="F222" t="s">
        <v>52</v>
      </c>
      <c r="G222" t="s">
        <v>53</v>
      </c>
      <c r="H222" t="s">
        <v>52</v>
      </c>
      <c r="I222" t="s">
        <v>53</v>
      </c>
      <c r="J222" t="s">
        <v>55</v>
      </c>
      <c r="K222" t="s">
        <v>72</v>
      </c>
      <c r="L222" t="s">
        <v>87</v>
      </c>
      <c r="M222" s="5">
        <v>14.9</v>
      </c>
      <c r="N222">
        <v>772</v>
      </c>
      <c r="O222" s="4">
        <v>6436.1</v>
      </c>
      <c r="P222" s="4">
        <v>9168.7000000000007</v>
      </c>
      <c r="Q222">
        <v>1</v>
      </c>
      <c r="R222">
        <v>0</v>
      </c>
      <c r="S222" t="s">
        <v>44</v>
      </c>
      <c r="T222">
        <v>5</v>
      </c>
      <c r="U222" t="s">
        <v>45</v>
      </c>
      <c r="V222" t="s">
        <v>46</v>
      </c>
    </row>
    <row r="223" spans="1:22">
      <c r="A223" t="s">
        <v>593</v>
      </c>
      <c r="B223" t="s">
        <v>254</v>
      </c>
      <c r="C223" t="s">
        <v>255</v>
      </c>
      <c r="D223" t="s">
        <v>585</v>
      </c>
      <c r="E223" t="s">
        <v>585</v>
      </c>
      <c r="F223" t="s">
        <v>40</v>
      </c>
      <c r="G223" t="s">
        <v>40</v>
      </c>
      <c r="H223" t="s">
        <v>54</v>
      </c>
      <c r="I223" t="s">
        <v>54</v>
      </c>
      <c r="J223" t="s">
        <v>76</v>
      </c>
      <c r="K223" t="s">
        <v>42</v>
      </c>
      <c r="L223" t="s">
        <v>87</v>
      </c>
      <c r="M223" s="5">
        <v>4.8</v>
      </c>
      <c r="N223">
        <v>1371</v>
      </c>
      <c r="O223" s="4">
        <v>4975.8</v>
      </c>
      <c r="P223" s="4">
        <v>8926.02</v>
      </c>
      <c r="Q223">
        <v>5</v>
      </c>
      <c r="R223">
        <v>0</v>
      </c>
      <c r="S223" t="s">
        <v>44</v>
      </c>
      <c r="T223">
        <v>5</v>
      </c>
      <c r="U223" t="s">
        <v>45</v>
      </c>
      <c r="V223" t="s">
        <v>46</v>
      </c>
    </row>
    <row r="224" spans="1:22">
      <c r="A224" t="s">
        <v>594</v>
      </c>
      <c r="B224" t="s">
        <v>344</v>
      </c>
      <c r="C224" t="s">
        <v>420</v>
      </c>
      <c r="D224" t="s">
        <v>259</v>
      </c>
      <c r="E224" t="s">
        <v>445</v>
      </c>
      <c r="F224" t="s">
        <v>82</v>
      </c>
      <c r="G224" t="s">
        <v>82</v>
      </c>
      <c r="H224" t="s">
        <v>54</v>
      </c>
      <c r="I224" t="s">
        <v>54</v>
      </c>
      <c r="J224" t="s">
        <v>76</v>
      </c>
      <c r="K224" t="s">
        <v>72</v>
      </c>
      <c r="L224" t="s">
        <v>118</v>
      </c>
      <c r="M224" s="5">
        <v>11.1</v>
      </c>
      <c r="N224">
        <v>462</v>
      </c>
      <c r="O224" s="4">
        <v>5555.1</v>
      </c>
      <c r="P224" s="4">
        <v>10637.62</v>
      </c>
      <c r="Q224">
        <v>1</v>
      </c>
      <c r="R224">
        <v>0</v>
      </c>
      <c r="S224" t="s">
        <v>44</v>
      </c>
      <c r="T224">
        <v>5</v>
      </c>
      <c r="U224" t="s">
        <v>45</v>
      </c>
      <c r="V224" t="s">
        <v>46</v>
      </c>
    </row>
    <row r="225" spans="1:22">
      <c r="A225" t="s">
        <v>595</v>
      </c>
      <c r="B225" t="s">
        <v>68</v>
      </c>
      <c r="C225" t="s">
        <v>75</v>
      </c>
      <c r="D225" t="s">
        <v>448</v>
      </c>
      <c r="E225" t="s">
        <v>143</v>
      </c>
      <c r="F225" t="s">
        <v>82</v>
      </c>
      <c r="G225" t="s">
        <v>82</v>
      </c>
      <c r="H225" t="s">
        <v>40</v>
      </c>
      <c r="I225" t="s">
        <v>40</v>
      </c>
      <c r="J225" t="s">
        <v>76</v>
      </c>
      <c r="K225" t="s">
        <v>42</v>
      </c>
      <c r="L225" t="s">
        <v>87</v>
      </c>
      <c r="M225" s="5">
        <v>13.8</v>
      </c>
      <c r="N225">
        <v>1618</v>
      </c>
      <c r="O225" s="4">
        <v>6185.4</v>
      </c>
      <c r="P225" s="4">
        <v>8135.58</v>
      </c>
      <c r="Q225">
        <v>2</v>
      </c>
      <c r="R225">
        <v>0</v>
      </c>
      <c r="S225" t="s">
        <v>44</v>
      </c>
      <c r="T225">
        <v>5</v>
      </c>
      <c r="U225" t="s">
        <v>45</v>
      </c>
      <c r="V225" t="s">
        <v>46</v>
      </c>
    </row>
    <row r="226" spans="1:22">
      <c r="A226" t="s">
        <v>596</v>
      </c>
      <c r="B226" t="s">
        <v>597</v>
      </c>
      <c r="C226" t="s">
        <v>597</v>
      </c>
      <c r="D226" t="s">
        <v>69</v>
      </c>
      <c r="E226" t="s">
        <v>67</v>
      </c>
      <c r="F226" t="s">
        <v>82</v>
      </c>
      <c r="G226" t="s">
        <v>82</v>
      </c>
      <c r="H226" t="s">
        <v>82</v>
      </c>
      <c r="I226" t="s">
        <v>82</v>
      </c>
      <c r="J226" t="s">
        <v>41</v>
      </c>
      <c r="K226" t="s">
        <v>65</v>
      </c>
      <c r="L226" t="s">
        <v>61</v>
      </c>
      <c r="M226" s="5">
        <v>16.100000000000001</v>
      </c>
      <c r="N226">
        <v>1818</v>
      </c>
      <c r="O226" s="4">
        <v>6740.9</v>
      </c>
      <c r="P226" s="4">
        <v>11863.81</v>
      </c>
      <c r="Q226">
        <v>7</v>
      </c>
      <c r="R226">
        <v>0</v>
      </c>
      <c r="S226" t="s">
        <v>44</v>
      </c>
      <c r="T226">
        <v>5</v>
      </c>
      <c r="U226" t="s">
        <v>45</v>
      </c>
      <c r="V226" t="s">
        <v>46</v>
      </c>
    </row>
    <row r="227" spans="1:22">
      <c r="A227" t="s">
        <v>598</v>
      </c>
      <c r="B227" t="s">
        <v>129</v>
      </c>
      <c r="C227" t="s">
        <v>347</v>
      </c>
      <c r="D227" t="s">
        <v>114</v>
      </c>
      <c r="E227" t="s">
        <v>191</v>
      </c>
      <c r="F227" t="s">
        <v>54</v>
      </c>
      <c r="G227" t="s">
        <v>54</v>
      </c>
      <c r="H227" t="s">
        <v>40</v>
      </c>
      <c r="I227" t="s">
        <v>40</v>
      </c>
      <c r="J227" t="s">
        <v>55</v>
      </c>
      <c r="K227" t="s">
        <v>65</v>
      </c>
      <c r="L227" t="s">
        <v>77</v>
      </c>
      <c r="M227" s="5">
        <v>17.399999999999999</v>
      </c>
      <c r="N227">
        <v>372</v>
      </c>
      <c r="O227" s="4">
        <v>4248.6000000000004</v>
      </c>
      <c r="P227" s="4">
        <v>8358.99</v>
      </c>
      <c r="Q227">
        <v>10</v>
      </c>
      <c r="R227">
        <v>2</v>
      </c>
      <c r="S227" t="s">
        <v>56</v>
      </c>
      <c r="T227">
        <v>4</v>
      </c>
      <c r="U227" t="s">
        <v>45</v>
      </c>
      <c r="V227" t="s">
        <v>46</v>
      </c>
    </row>
    <row r="228" spans="1:22">
      <c r="A228" t="s">
        <v>599</v>
      </c>
      <c r="B228" t="s">
        <v>344</v>
      </c>
      <c r="C228" t="s">
        <v>420</v>
      </c>
      <c r="D228" t="s">
        <v>259</v>
      </c>
      <c r="E228" t="s">
        <v>445</v>
      </c>
      <c r="F228" t="s">
        <v>40</v>
      </c>
      <c r="G228" t="s">
        <v>40</v>
      </c>
      <c r="H228" t="s">
        <v>52</v>
      </c>
      <c r="I228" t="s">
        <v>53</v>
      </c>
      <c r="J228" t="s">
        <v>55</v>
      </c>
      <c r="K228" t="s">
        <v>72</v>
      </c>
      <c r="L228" t="s">
        <v>61</v>
      </c>
      <c r="M228" s="5">
        <v>10.4</v>
      </c>
      <c r="N228">
        <v>295</v>
      </c>
      <c r="O228" s="4">
        <v>5195</v>
      </c>
      <c r="P228" s="4">
        <v>7903.05</v>
      </c>
      <c r="Q228">
        <v>1</v>
      </c>
      <c r="R228">
        <v>0</v>
      </c>
      <c r="S228" t="s">
        <v>44</v>
      </c>
      <c r="T228">
        <v>5</v>
      </c>
      <c r="U228" t="s">
        <v>45</v>
      </c>
      <c r="V228" t="s">
        <v>46</v>
      </c>
    </row>
    <row r="229" spans="1:22">
      <c r="A229" t="s">
        <v>600</v>
      </c>
      <c r="B229" t="s">
        <v>69</v>
      </c>
      <c r="C229" t="s">
        <v>75</v>
      </c>
      <c r="D229" t="s">
        <v>433</v>
      </c>
      <c r="E229" t="s">
        <v>448</v>
      </c>
      <c r="F229" t="s">
        <v>54</v>
      </c>
      <c r="G229" t="s">
        <v>54</v>
      </c>
      <c r="H229" t="s">
        <v>40</v>
      </c>
      <c r="I229" t="s">
        <v>40</v>
      </c>
      <c r="J229" t="s">
        <v>55</v>
      </c>
      <c r="K229" t="s">
        <v>65</v>
      </c>
      <c r="L229" t="s">
        <v>118</v>
      </c>
      <c r="M229" s="5">
        <v>8.1999999999999993</v>
      </c>
      <c r="N229">
        <v>1851</v>
      </c>
      <c r="O229" s="4">
        <v>6128.8</v>
      </c>
      <c r="P229" s="4">
        <v>8062.85</v>
      </c>
      <c r="Q229">
        <v>5</v>
      </c>
      <c r="R229">
        <v>0</v>
      </c>
      <c r="S229" t="s">
        <v>44</v>
      </c>
      <c r="T229">
        <v>5</v>
      </c>
      <c r="U229" t="s">
        <v>220</v>
      </c>
      <c r="V229" t="s">
        <v>46</v>
      </c>
    </row>
    <row r="230" spans="1:22">
      <c r="A230" t="s">
        <v>601</v>
      </c>
      <c r="B230" t="s">
        <v>602</v>
      </c>
      <c r="C230" t="s">
        <v>402</v>
      </c>
      <c r="D230" t="s">
        <v>603</v>
      </c>
      <c r="E230" t="s">
        <v>604</v>
      </c>
      <c r="F230" t="s">
        <v>52</v>
      </c>
      <c r="G230" t="s">
        <v>53</v>
      </c>
      <c r="H230" t="s">
        <v>52</v>
      </c>
      <c r="I230" t="s">
        <v>53</v>
      </c>
      <c r="J230" t="s">
        <v>55</v>
      </c>
      <c r="K230" t="s">
        <v>72</v>
      </c>
      <c r="L230" t="s">
        <v>118</v>
      </c>
      <c r="M230" s="5">
        <v>16.8</v>
      </c>
      <c r="N230">
        <v>790</v>
      </c>
      <c r="O230" s="4">
        <v>6630</v>
      </c>
      <c r="P230" s="4">
        <v>11597.37</v>
      </c>
      <c r="Q230">
        <v>1</v>
      </c>
      <c r="R230">
        <v>0</v>
      </c>
      <c r="S230" t="s">
        <v>44</v>
      </c>
      <c r="T230">
        <v>5</v>
      </c>
      <c r="U230" t="s">
        <v>45</v>
      </c>
      <c r="V230" t="s">
        <v>46</v>
      </c>
    </row>
    <row r="231" spans="1:22">
      <c r="A231" t="s">
        <v>605</v>
      </c>
      <c r="B231" t="s">
        <v>195</v>
      </c>
      <c r="C231" t="s">
        <v>196</v>
      </c>
      <c r="D231" t="s">
        <v>198</v>
      </c>
      <c r="E231" t="s">
        <v>405</v>
      </c>
      <c r="F231" t="s">
        <v>82</v>
      </c>
      <c r="G231" t="s">
        <v>82</v>
      </c>
      <c r="H231" t="s">
        <v>54</v>
      </c>
      <c r="I231" t="s">
        <v>54</v>
      </c>
      <c r="J231" t="s">
        <v>55</v>
      </c>
      <c r="K231" t="s">
        <v>72</v>
      </c>
      <c r="L231" t="s">
        <v>87</v>
      </c>
      <c r="M231" s="5">
        <v>3</v>
      </c>
      <c r="N231">
        <v>2118</v>
      </c>
      <c r="O231" s="4">
        <v>7847.4</v>
      </c>
      <c r="P231" s="4">
        <v>12831.67</v>
      </c>
      <c r="Q231">
        <v>3</v>
      </c>
      <c r="R231">
        <v>1</v>
      </c>
      <c r="S231" t="s">
        <v>56</v>
      </c>
      <c r="T231">
        <v>5</v>
      </c>
      <c r="U231" t="s">
        <v>45</v>
      </c>
      <c r="V231" t="s">
        <v>46</v>
      </c>
    </row>
    <row r="232" spans="1:22">
      <c r="A232" t="s">
        <v>606</v>
      </c>
      <c r="B232" t="s">
        <v>240</v>
      </c>
      <c r="C232" t="s">
        <v>240</v>
      </c>
      <c r="D232" t="s">
        <v>607</v>
      </c>
      <c r="E232" t="s">
        <v>216</v>
      </c>
      <c r="F232" t="s">
        <v>52</v>
      </c>
      <c r="G232" t="s">
        <v>53</v>
      </c>
      <c r="H232" t="s">
        <v>54</v>
      </c>
      <c r="I232" t="s">
        <v>54</v>
      </c>
      <c r="J232" t="s">
        <v>141</v>
      </c>
      <c r="K232" t="s">
        <v>65</v>
      </c>
      <c r="L232" t="s">
        <v>87</v>
      </c>
      <c r="M232" s="5">
        <v>3.1</v>
      </c>
      <c r="N232">
        <v>335</v>
      </c>
      <c r="O232" s="4">
        <v>2966.5</v>
      </c>
      <c r="P232" s="4">
        <v>4137.6400000000003</v>
      </c>
      <c r="Q232">
        <v>9</v>
      </c>
      <c r="R232">
        <v>1</v>
      </c>
      <c r="S232" t="s">
        <v>56</v>
      </c>
      <c r="T232">
        <v>5</v>
      </c>
      <c r="U232" t="s">
        <v>45</v>
      </c>
      <c r="V232" t="s">
        <v>46</v>
      </c>
    </row>
    <row r="233" spans="1:22">
      <c r="A233" t="s">
        <v>608</v>
      </c>
      <c r="B233" t="s">
        <v>347</v>
      </c>
      <c r="C233" t="s">
        <v>609</v>
      </c>
      <c r="D233" t="s">
        <v>131</v>
      </c>
      <c r="E233" t="s">
        <v>115</v>
      </c>
      <c r="F233" t="s">
        <v>52</v>
      </c>
      <c r="G233" t="s">
        <v>53</v>
      </c>
      <c r="H233" t="s">
        <v>40</v>
      </c>
      <c r="I233" t="s">
        <v>40</v>
      </c>
      <c r="J233" t="s">
        <v>41</v>
      </c>
      <c r="K233" t="s">
        <v>42</v>
      </c>
      <c r="L233" t="s">
        <v>61</v>
      </c>
      <c r="M233" s="5">
        <v>11.9</v>
      </c>
      <c r="N233">
        <v>1102</v>
      </c>
      <c r="O233" s="4">
        <v>5095.1000000000004</v>
      </c>
      <c r="P233" s="4">
        <v>7728.3</v>
      </c>
      <c r="Q233">
        <v>8</v>
      </c>
      <c r="R233">
        <v>3</v>
      </c>
      <c r="S233" t="s">
        <v>56</v>
      </c>
      <c r="T233">
        <v>4</v>
      </c>
      <c r="U233" t="s">
        <v>45</v>
      </c>
      <c r="V233" t="s">
        <v>46</v>
      </c>
    </row>
    <row r="234" spans="1:22">
      <c r="A234" t="s">
        <v>610</v>
      </c>
      <c r="B234" t="s">
        <v>321</v>
      </c>
      <c r="C234" t="s">
        <v>321</v>
      </c>
      <c r="D234" t="s">
        <v>443</v>
      </c>
      <c r="E234" t="s">
        <v>443</v>
      </c>
      <c r="F234" t="s">
        <v>40</v>
      </c>
      <c r="G234" t="s">
        <v>40</v>
      </c>
      <c r="H234" t="s">
        <v>82</v>
      </c>
      <c r="I234" t="s">
        <v>82</v>
      </c>
      <c r="J234" t="s">
        <v>55</v>
      </c>
      <c r="K234" t="s">
        <v>42</v>
      </c>
      <c r="L234" t="s">
        <v>87</v>
      </c>
      <c r="M234" s="5">
        <v>12</v>
      </c>
      <c r="N234">
        <v>1342</v>
      </c>
      <c r="O234" s="4">
        <v>5535.6</v>
      </c>
      <c r="P234" s="4">
        <v>7063.09</v>
      </c>
      <c r="Q234">
        <v>5</v>
      </c>
      <c r="R234">
        <v>0</v>
      </c>
      <c r="S234" t="s">
        <v>44</v>
      </c>
      <c r="T234">
        <v>4</v>
      </c>
      <c r="U234" t="s">
        <v>45</v>
      </c>
      <c r="V234" t="s">
        <v>46</v>
      </c>
    </row>
    <row r="235" spans="1:22">
      <c r="A235" t="s">
        <v>611</v>
      </c>
      <c r="B235" t="s">
        <v>389</v>
      </c>
      <c r="C235" t="s">
        <v>174</v>
      </c>
      <c r="D235" t="s">
        <v>175</v>
      </c>
      <c r="E235" t="s">
        <v>422</v>
      </c>
      <c r="F235" t="s">
        <v>52</v>
      </c>
      <c r="G235" t="s">
        <v>53</v>
      </c>
      <c r="H235" t="s">
        <v>54</v>
      </c>
      <c r="I235" t="s">
        <v>54</v>
      </c>
      <c r="J235" t="s">
        <v>141</v>
      </c>
      <c r="K235" t="s">
        <v>42</v>
      </c>
      <c r="L235" t="s">
        <v>87</v>
      </c>
      <c r="M235" s="5">
        <v>18.100000000000001</v>
      </c>
      <c r="N235">
        <v>1426</v>
      </c>
      <c r="O235" s="4">
        <v>6205.3</v>
      </c>
      <c r="P235" s="4">
        <v>8230.94</v>
      </c>
      <c r="Q235">
        <v>3</v>
      </c>
      <c r="R235">
        <v>0</v>
      </c>
      <c r="S235" t="s">
        <v>44</v>
      </c>
      <c r="T235">
        <v>5</v>
      </c>
      <c r="U235" t="s">
        <v>45</v>
      </c>
      <c r="V235" t="s">
        <v>46</v>
      </c>
    </row>
    <row r="236" spans="1:22">
      <c r="A236" t="s">
        <v>612</v>
      </c>
      <c r="B236" t="s">
        <v>297</v>
      </c>
      <c r="C236" t="s">
        <v>58</v>
      </c>
      <c r="D236" t="s">
        <v>59</v>
      </c>
      <c r="E236" t="s">
        <v>59</v>
      </c>
      <c r="F236" t="s">
        <v>82</v>
      </c>
      <c r="G236" t="s">
        <v>82</v>
      </c>
      <c r="H236" t="s">
        <v>52</v>
      </c>
      <c r="I236" t="s">
        <v>53</v>
      </c>
      <c r="J236" t="s">
        <v>41</v>
      </c>
      <c r="K236" t="s">
        <v>42</v>
      </c>
      <c r="L236" t="s">
        <v>43</v>
      </c>
      <c r="M236" s="5">
        <v>6</v>
      </c>
      <c r="N236">
        <v>1517</v>
      </c>
      <c r="O236" s="4">
        <v>5340.6</v>
      </c>
      <c r="P236" s="4">
        <v>7041.15</v>
      </c>
      <c r="Q236">
        <v>5</v>
      </c>
      <c r="R236">
        <v>0</v>
      </c>
      <c r="S236" t="s">
        <v>44</v>
      </c>
      <c r="T236">
        <v>5</v>
      </c>
      <c r="U236" t="s">
        <v>45</v>
      </c>
      <c r="V236" t="s">
        <v>46</v>
      </c>
    </row>
    <row r="237" spans="1:22">
      <c r="A237" t="s">
        <v>613</v>
      </c>
      <c r="B237" t="s">
        <v>456</v>
      </c>
      <c r="C237" t="s">
        <v>456</v>
      </c>
      <c r="D237" t="s">
        <v>131</v>
      </c>
      <c r="E237" t="s">
        <v>614</v>
      </c>
      <c r="F237" t="s">
        <v>54</v>
      </c>
      <c r="G237" t="s">
        <v>54</v>
      </c>
      <c r="H237" t="s">
        <v>40</v>
      </c>
      <c r="I237" t="s">
        <v>40</v>
      </c>
      <c r="J237" t="s">
        <v>55</v>
      </c>
      <c r="K237" t="s">
        <v>72</v>
      </c>
      <c r="L237" t="s">
        <v>43</v>
      </c>
      <c r="M237" s="5">
        <v>13.3</v>
      </c>
      <c r="N237">
        <v>994</v>
      </c>
      <c r="O237" s="4">
        <v>6699.7</v>
      </c>
      <c r="P237" s="4">
        <v>13855.9</v>
      </c>
      <c r="Q237">
        <v>1</v>
      </c>
      <c r="R237">
        <v>0</v>
      </c>
      <c r="S237" t="s">
        <v>44</v>
      </c>
      <c r="T237">
        <v>4</v>
      </c>
      <c r="U237" t="s">
        <v>45</v>
      </c>
      <c r="V237" t="s">
        <v>46</v>
      </c>
    </row>
    <row r="238" spans="1:22">
      <c r="A238" t="s">
        <v>615</v>
      </c>
      <c r="B238" t="s">
        <v>107</v>
      </c>
      <c r="C238" t="s">
        <v>106</v>
      </c>
      <c r="D238" t="s">
        <v>209</v>
      </c>
      <c r="E238" t="s">
        <v>94</v>
      </c>
      <c r="F238" t="s">
        <v>54</v>
      </c>
      <c r="G238" t="s">
        <v>54</v>
      </c>
      <c r="H238" t="s">
        <v>40</v>
      </c>
      <c r="I238" t="s">
        <v>40</v>
      </c>
      <c r="J238" t="s">
        <v>41</v>
      </c>
      <c r="K238" t="s">
        <v>42</v>
      </c>
      <c r="L238" t="s">
        <v>61</v>
      </c>
      <c r="M238" s="5">
        <v>14.5</v>
      </c>
      <c r="N238">
        <v>504</v>
      </c>
      <c r="O238" s="4">
        <v>4239.7</v>
      </c>
      <c r="P238" s="4">
        <v>6831.05</v>
      </c>
      <c r="Q238">
        <v>2</v>
      </c>
      <c r="R238">
        <v>0</v>
      </c>
      <c r="S238" t="s">
        <v>44</v>
      </c>
      <c r="T238">
        <v>4</v>
      </c>
      <c r="U238" t="s">
        <v>45</v>
      </c>
      <c r="V238" t="s">
        <v>46</v>
      </c>
    </row>
    <row r="239" spans="1:22">
      <c r="A239" t="s">
        <v>616</v>
      </c>
      <c r="B239" t="s">
        <v>307</v>
      </c>
      <c r="C239" t="s">
        <v>270</v>
      </c>
      <c r="D239" t="s">
        <v>143</v>
      </c>
      <c r="E239" t="s">
        <v>617</v>
      </c>
      <c r="F239" t="s">
        <v>70</v>
      </c>
      <c r="G239" t="s">
        <v>71</v>
      </c>
      <c r="H239" t="s">
        <v>52</v>
      </c>
      <c r="I239" t="s">
        <v>53</v>
      </c>
      <c r="J239" t="s">
        <v>141</v>
      </c>
      <c r="K239" t="s">
        <v>65</v>
      </c>
      <c r="L239" t="s">
        <v>77</v>
      </c>
      <c r="M239" s="5">
        <v>4.4000000000000004</v>
      </c>
      <c r="N239">
        <v>889</v>
      </c>
      <c r="O239" s="4">
        <v>4074.2</v>
      </c>
      <c r="P239" s="4">
        <v>6661.83</v>
      </c>
      <c r="Q239">
        <v>9</v>
      </c>
      <c r="R239">
        <v>1</v>
      </c>
      <c r="S239" t="s">
        <v>56</v>
      </c>
      <c r="T239">
        <v>5</v>
      </c>
      <c r="U239" t="s">
        <v>45</v>
      </c>
      <c r="V239" t="s">
        <v>46</v>
      </c>
    </row>
    <row r="240" spans="1:22">
      <c r="A240" t="s">
        <v>618</v>
      </c>
      <c r="B240" t="s">
        <v>281</v>
      </c>
      <c r="C240" t="s">
        <v>281</v>
      </c>
      <c r="D240" t="s">
        <v>479</v>
      </c>
      <c r="E240" t="s">
        <v>479</v>
      </c>
      <c r="F240" t="s">
        <v>40</v>
      </c>
      <c r="G240" t="s">
        <v>40</v>
      </c>
      <c r="H240" t="s">
        <v>52</v>
      </c>
      <c r="I240" t="s">
        <v>53</v>
      </c>
      <c r="J240" t="s">
        <v>55</v>
      </c>
      <c r="K240" t="s">
        <v>65</v>
      </c>
      <c r="L240" t="s">
        <v>43</v>
      </c>
      <c r="M240" s="5">
        <v>6</v>
      </c>
      <c r="N240">
        <v>1488</v>
      </c>
      <c r="O240" s="4">
        <v>5288.4</v>
      </c>
      <c r="P240" s="4">
        <v>9529.75</v>
      </c>
      <c r="Q240">
        <v>8</v>
      </c>
      <c r="R240">
        <v>0</v>
      </c>
      <c r="S240" t="s">
        <v>44</v>
      </c>
      <c r="T240">
        <v>5</v>
      </c>
      <c r="U240" t="s">
        <v>45</v>
      </c>
      <c r="V240" t="s">
        <v>46</v>
      </c>
    </row>
    <row r="241" spans="1:22">
      <c r="A241" t="s">
        <v>619</v>
      </c>
      <c r="B241" t="s">
        <v>406</v>
      </c>
      <c r="C241" t="s">
        <v>200</v>
      </c>
      <c r="D241" t="s">
        <v>90</v>
      </c>
      <c r="E241" t="s">
        <v>620</v>
      </c>
      <c r="F241" t="s">
        <v>82</v>
      </c>
      <c r="G241" t="s">
        <v>82</v>
      </c>
      <c r="H241" t="s">
        <v>40</v>
      </c>
      <c r="I241" t="s">
        <v>40</v>
      </c>
      <c r="J241" t="s">
        <v>76</v>
      </c>
      <c r="K241" t="s">
        <v>65</v>
      </c>
      <c r="L241" t="s">
        <v>87</v>
      </c>
      <c r="M241" s="5">
        <v>10.199999999999999</v>
      </c>
      <c r="N241">
        <v>366</v>
      </c>
      <c r="O241" s="4">
        <v>3625.8</v>
      </c>
      <c r="P241" s="4">
        <v>5724.62</v>
      </c>
      <c r="Q241">
        <v>9</v>
      </c>
      <c r="R241">
        <v>1</v>
      </c>
      <c r="S241" t="s">
        <v>56</v>
      </c>
      <c r="T241">
        <v>5</v>
      </c>
      <c r="U241" t="s">
        <v>45</v>
      </c>
      <c r="V241" t="s">
        <v>46</v>
      </c>
    </row>
    <row r="242" spans="1:22">
      <c r="A242" t="s">
        <v>621</v>
      </c>
      <c r="B242" t="s">
        <v>216</v>
      </c>
      <c r="C242" t="s">
        <v>216</v>
      </c>
      <c r="D242" t="s">
        <v>438</v>
      </c>
      <c r="E242" t="s">
        <v>218</v>
      </c>
      <c r="F242" t="s">
        <v>54</v>
      </c>
      <c r="G242" t="s">
        <v>54</v>
      </c>
      <c r="H242" t="s">
        <v>70</v>
      </c>
      <c r="I242" t="s">
        <v>71</v>
      </c>
      <c r="J242" t="s">
        <v>55</v>
      </c>
      <c r="K242" t="s">
        <v>72</v>
      </c>
      <c r="L242" t="s">
        <v>87</v>
      </c>
      <c r="M242" s="5">
        <v>16.899999999999999</v>
      </c>
      <c r="N242">
        <v>525</v>
      </c>
      <c r="O242" s="4">
        <v>6161.5</v>
      </c>
      <c r="P242" s="4">
        <v>10000.93</v>
      </c>
      <c r="Q242">
        <v>3</v>
      </c>
      <c r="R242">
        <v>1</v>
      </c>
      <c r="S242" t="s">
        <v>56</v>
      </c>
      <c r="T242">
        <v>5</v>
      </c>
      <c r="U242" t="s">
        <v>45</v>
      </c>
      <c r="V242" t="s">
        <v>46</v>
      </c>
    </row>
    <row r="243" spans="1:22">
      <c r="A243" t="s">
        <v>622</v>
      </c>
      <c r="B243" t="s">
        <v>324</v>
      </c>
      <c r="C243" t="s">
        <v>623</v>
      </c>
      <c r="D243" t="s">
        <v>326</v>
      </c>
      <c r="E243" t="s">
        <v>325</v>
      </c>
      <c r="F243" t="s">
        <v>52</v>
      </c>
      <c r="G243" t="s">
        <v>53</v>
      </c>
      <c r="H243" t="s">
        <v>82</v>
      </c>
      <c r="I243" t="s">
        <v>82</v>
      </c>
      <c r="J243" t="s">
        <v>76</v>
      </c>
      <c r="K243" t="s">
        <v>72</v>
      </c>
      <c r="L243" t="s">
        <v>77</v>
      </c>
      <c r="M243" s="5">
        <v>12.5</v>
      </c>
      <c r="N243">
        <v>1339</v>
      </c>
      <c r="O243" s="4">
        <v>7252.7</v>
      </c>
      <c r="P243" s="4">
        <v>12194.84</v>
      </c>
      <c r="Q243">
        <v>1</v>
      </c>
      <c r="R243">
        <v>0</v>
      </c>
      <c r="S243" t="s">
        <v>44</v>
      </c>
      <c r="T243">
        <v>4</v>
      </c>
      <c r="U243" t="s">
        <v>45</v>
      </c>
      <c r="V243" t="s">
        <v>46</v>
      </c>
    </row>
    <row r="244" spans="1:22">
      <c r="A244" t="s">
        <v>624</v>
      </c>
      <c r="B244" t="s">
        <v>625</v>
      </c>
      <c r="C244" t="s">
        <v>537</v>
      </c>
      <c r="D244" t="s">
        <v>278</v>
      </c>
      <c r="E244" t="s">
        <v>278</v>
      </c>
      <c r="F244" t="s">
        <v>54</v>
      </c>
      <c r="G244" t="s">
        <v>54</v>
      </c>
      <c r="H244" t="s">
        <v>70</v>
      </c>
      <c r="I244" t="s">
        <v>71</v>
      </c>
      <c r="J244" t="s">
        <v>41</v>
      </c>
      <c r="K244" t="s">
        <v>42</v>
      </c>
      <c r="L244" t="s">
        <v>43</v>
      </c>
      <c r="M244" s="5">
        <v>4.0999999999999996</v>
      </c>
      <c r="N244">
        <v>550</v>
      </c>
      <c r="O244" s="4">
        <v>3438.5</v>
      </c>
      <c r="P244" s="4">
        <v>5240.3999999999996</v>
      </c>
      <c r="Q244">
        <v>5</v>
      </c>
      <c r="R244">
        <v>0</v>
      </c>
      <c r="S244" t="s">
        <v>44</v>
      </c>
      <c r="T244">
        <v>5</v>
      </c>
      <c r="U244" t="s">
        <v>45</v>
      </c>
      <c r="V244" t="s">
        <v>46</v>
      </c>
    </row>
    <row r="245" spans="1:22">
      <c r="A245" t="s">
        <v>626</v>
      </c>
      <c r="B245" t="s">
        <v>428</v>
      </c>
      <c r="C245" t="s">
        <v>627</v>
      </c>
      <c r="D245" t="s">
        <v>59</v>
      </c>
      <c r="E245" t="s">
        <v>440</v>
      </c>
      <c r="F245" t="s">
        <v>70</v>
      </c>
      <c r="G245" t="s">
        <v>71</v>
      </c>
      <c r="H245" t="s">
        <v>82</v>
      </c>
      <c r="I245" t="s">
        <v>82</v>
      </c>
      <c r="J245" t="s">
        <v>141</v>
      </c>
      <c r="K245" t="s">
        <v>72</v>
      </c>
      <c r="L245" t="s">
        <v>118</v>
      </c>
      <c r="M245" s="5">
        <v>12.9</v>
      </c>
      <c r="N245">
        <v>1807</v>
      </c>
      <c r="O245" s="4">
        <v>8129.1</v>
      </c>
      <c r="P245" s="4">
        <v>13484.8</v>
      </c>
      <c r="Q245">
        <v>1</v>
      </c>
      <c r="R245">
        <v>0</v>
      </c>
      <c r="S245" t="s">
        <v>44</v>
      </c>
      <c r="T245">
        <v>5</v>
      </c>
      <c r="U245" t="s">
        <v>45</v>
      </c>
      <c r="V245" t="s">
        <v>46</v>
      </c>
    </row>
    <row r="246" spans="1:22">
      <c r="A246" t="s">
        <v>628</v>
      </c>
      <c r="B246" t="s">
        <v>268</v>
      </c>
      <c r="C246" t="s">
        <v>268</v>
      </c>
      <c r="D246" t="s">
        <v>226</v>
      </c>
      <c r="E246" t="s">
        <v>271</v>
      </c>
      <c r="F246" t="s">
        <v>82</v>
      </c>
      <c r="G246" t="s">
        <v>82</v>
      </c>
      <c r="H246" t="s">
        <v>54</v>
      </c>
      <c r="I246" t="s">
        <v>54</v>
      </c>
      <c r="J246" t="s">
        <v>55</v>
      </c>
      <c r="K246" t="s">
        <v>65</v>
      </c>
      <c r="L246" t="s">
        <v>77</v>
      </c>
      <c r="M246" s="5">
        <v>6</v>
      </c>
      <c r="N246">
        <v>739</v>
      </c>
      <c r="O246" s="4">
        <v>3940.2</v>
      </c>
      <c r="P246" s="4">
        <v>8112.08</v>
      </c>
      <c r="Q246">
        <v>7</v>
      </c>
      <c r="R246">
        <v>0</v>
      </c>
      <c r="S246" t="s">
        <v>44</v>
      </c>
      <c r="T246">
        <v>5</v>
      </c>
      <c r="U246" t="s">
        <v>45</v>
      </c>
      <c r="V246" t="s">
        <v>46</v>
      </c>
    </row>
    <row r="247" spans="1:22">
      <c r="A247" t="s">
        <v>629</v>
      </c>
      <c r="B247" t="s">
        <v>630</v>
      </c>
      <c r="C247" t="s">
        <v>631</v>
      </c>
      <c r="D247" t="s">
        <v>317</v>
      </c>
      <c r="E247" t="s">
        <v>316</v>
      </c>
      <c r="F247" t="s">
        <v>52</v>
      </c>
      <c r="G247" t="s">
        <v>53</v>
      </c>
      <c r="H247" t="s">
        <v>70</v>
      </c>
      <c r="I247" t="s">
        <v>71</v>
      </c>
      <c r="J247" t="s">
        <v>76</v>
      </c>
      <c r="K247" t="s">
        <v>42</v>
      </c>
      <c r="L247" t="s">
        <v>87</v>
      </c>
      <c r="M247" s="5">
        <v>16.2</v>
      </c>
      <c r="N247">
        <v>1035</v>
      </c>
      <c r="O247" s="4">
        <v>5340</v>
      </c>
      <c r="P247" s="4">
        <v>7510.81</v>
      </c>
      <c r="Q247">
        <v>3</v>
      </c>
      <c r="R247">
        <v>0</v>
      </c>
      <c r="S247" t="s">
        <v>44</v>
      </c>
      <c r="T247">
        <v>5</v>
      </c>
      <c r="U247" t="s">
        <v>45</v>
      </c>
      <c r="V247" t="s">
        <v>46</v>
      </c>
    </row>
    <row r="248" spans="1:22">
      <c r="A248" t="s">
        <v>632</v>
      </c>
      <c r="B248" t="s">
        <v>121</v>
      </c>
      <c r="C248" t="s">
        <v>422</v>
      </c>
      <c r="D248" t="s">
        <v>346</v>
      </c>
      <c r="E248" t="s">
        <v>123</v>
      </c>
      <c r="F248" t="s">
        <v>52</v>
      </c>
      <c r="G248" t="s">
        <v>53</v>
      </c>
      <c r="H248" t="s">
        <v>40</v>
      </c>
      <c r="I248" t="s">
        <v>40</v>
      </c>
      <c r="J248" t="s">
        <v>55</v>
      </c>
      <c r="K248" t="s">
        <v>42</v>
      </c>
      <c r="L248" t="s">
        <v>87</v>
      </c>
      <c r="M248" s="5">
        <v>11.6</v>
      </c>
      <c r="N248">
        <v>402</v>
      </c>
      <c r="O248" s="4">
        <v>3809.6</v>
      </c>
      <c r="P248" s="4">
        <v>7527.52</v>
      </c>
      <c r="Q248">
        <v>3</v>
      </c>
      <c r="R248">
        <v>0</v>
      </c>
      <c r="S248" t="s">
        <v>44</v>
      </c>
      <c r="T248">
        <v>5</v>
      </c>
      <c r="U248" t="s">
        <v>45</v>
      </c>
      <c r="V248" t="s">
        <v>46</v>
      </c>
    </row>
    <row r="249" spans="1:22">
      <c r="A249" t="s">
        <v>633</v>
      </c>
      <c r="B249" t="s">
        <v>257</v>
      </c>
      <c r="C249" t="s">
        <v>581</v>
      </c>
      <c r="D249" t="s">
        <v>634</v>
      </c>
      <c r="E249" t="s">
        <v>330</v>
      </c>
      <c r="F249" t="s">
        <v>52</v>
      </c>
      <c r="G249" t="s">
        <v>53</v>
      </c>
      <c r="H249" t="s">
        <v>70</v>
      </c>
      <c r="I249" t="s">
        <v>71</v>
      </c>
      <c r="J249" t="s">
        <v>141</v>
      </c>
      <c r="K249" t="s">
        <v>72</v>
      </c>
      <c r="L249" t="s">
        <v>61</v>
      </c>
      <c r="M249" s="5">
        <v>12.9</v>
      </c>
      <c r="N249">
        <v>1759</v>
      </c>
      <c r="O249" s="4">
        <v>8042.7</v>
      </c>
      <c r="P249" s="4">
        <v>14083.37</v>
      </c>
      <c r="Q249">
        <v>5</v>
      </c>
      <c r="R249">
        <v>3</v>
      </c>
      <c r="S249" t="s">
        <v>56</v>
      </c>
      <c r="T249">
        <v>4</v>
      </c>
      <c r="U249" t="s">
        <v>45</v>
      </c>
      <c r="V249" t="s">
        <v>46</v>
      </c>
    </row>
    <row r="250" spans="1:22">
      <c r="A250" t="s">
        <v>635</v>
      </c>
      <c r="B250" t="s">
        <v>195</v>
      </c>
      <c r="C250" t="s">
        <v>636</v>
      </c>
      <c r="D250" t="s">
        <v>637</v>
      </c>
      <c r="E250" t="s">
        <v>162</v>
      </c>
      <c r="F250" t="s">
        <v>52</v>
      </c>
      <c r="G250" t="s">
        <v>53</v>
      </c>
      <c r="H250" t="s">
        <v>52</v>
      </c>
      <c r="I250" t="s">
        <v>53</v>
      </c>
      <c r="J250" t="s">
        <v>55</v>
      </c>
      <c r="K250" t="s">
        <v>65</v>
      </c>
      <c r="L250" t="s">
        <v>43</v>
      </c>
      <c r="M250" s="5">
        <v>8.1</v>
      </c>
      <c r="N250">
        <v>1727</v>
      </c>
      <c r="O250" s="4">
        <v>5897.1</v>
      </c>
      <c r="P250" s="4">
        <v>9138.16</v>
      </c>
      <c r="Q250">
        <v>4</v>
      </c>
      <c r="R250">
        <v>0</v>
      </c>
      <c r="S250" t="s">
        <v>44</v>
      </c>
      <c r="T250">
        <v>5</v>
      </c>
      <c r="U250" t="s">
        <v>45</v>
      </c>
      <c r="V250" t="s">
        <v>46</v>
      </c>
    </row>
    <row r="251" spans="1:22">
      <c r="A251" t="s">
        <v>638</v>
      </c>
      <c r="B251" t="s">
        <v>145</v>
      </c>
      <c r="C251" t="s">
        <v>145</v>
      </c>
      <c r="D251" t="s">
        <v>422</v>
      </c>
      <c r="E251" t="s">
        <v>422</v>
      </c>
      <c r="F251" t="s">
        <v>40</v>
      </c>
      <c r="G251" t="s">
        <v>40</v>
      </c>
      <c r="H251" t="s">
        <v>82</v>
      </c>
      <c r="I251" t="s">
        <v>82</v>
      </c>
      <c r="J251" t="s">
        <v>141</v>
      </c>
      <c r="K251" t="s">
        <v>65</v>
      </c>
      <c r="L251" t="s">
        <v>61</v>
      </c>
      <c r="M251" s="5">
        <v>10.6</v>
      </c>
      <c r="N251">
        <v>886</v>
      </c>
      <c r="O251" s="4">
        <v>4595.8</v>
      </c>
      <c r="P251" s="4">
        <v>6881.54</v>
      </c>
      <c r="Q251">
        <v>8</v>
      </c>
      <c r="R251">
        <v>0</v>
      </c>
      <c r="S251" t="s">
        <v>44</v>
      </c>
      <c r="T251">
        <v>5</v>
      </c>
      <c r="U251" t="s">
        <v>45</v>
      </c>
      <c r="V251" t="s">
        <v>46</v>
      </c>
    </row>
    <row r="252" spans="1:22">
      <c r="A252" t="s">
        <v>639</v>
      </c>
      <c r="B252" t="s">
        <v>236</v>
      </c>
      <c r="C252" t="s">
        <v>521</v>
      </c>
      <c r="D252" t="s">
        <v>614</v>
      </c>
      <c r="E252" t="s">
        <v>456</v>
      </c>
      <c r="F252" t="s">
        <v>40</v>
      </c>
      <c r="G252" t="s">
        <v>40</v>
      </c>
      <c r="H252" t="s">
        <v>52</v>
      </c>
      <c r="I252" t="s">
        <v>53</v>
      </c>
      <c r="J252" t="s">
        <v>141</v>
      </c>
      <c r="K252" t="s">
        <v>65</v>
      </c>
      <c r="L252" t="s">
        <v>43</v>
      </c>
      <c r="M252" s="5">
        <v>5.5</v>
      </c>
      <c r="N252">
        <v>1900</v>
      </c>
      <c r="O252" s="4">
        <v>5987.5</v>
      </c>
      <c r="P252" s="4">
        <v>8179.4</v>
      </c>
      <c r="Q252">
        <v>7</v>
      </c>
      <c r="R252">
        <v>0</v>
      </c>
      <c r="S252" t="s">
        <v>44</v>
      </c>
      <c r="T252">
        <v>5</v>
      </c>
      <c r="U252" t="s">
        <v>45</v>
      </c>
      <c r="V252" t="s">
        <v>46</v>
      </c>
    </row>
    <row r="253" spans="1:22">
      <c r="A253" t="s">
        <v>640</v>
      </c>
      <c r="B253" t="s">
        <v>136</v>
      </c>
      <c r="C253" t="s">
        <v>135</v>
      </c>
      <c r="D253" t="s">
        <v>370</v>
      </c>
      <c r="E253" t="s">
        <v>230</v>
      </c>
      <c r="F253" t="s">
        <v>40</v>
      </c>
      <c r="G253" t="s">
        <v>40</v>
      </c>
      <c r="H253" t="s">
        <v>40</v>
      </c>
      <c r="I253" t="s">
        <v>40</v>
      </c>
      <c r="J253" t="s">
        <v>55</v>
      </c>
      <c r="K253" t="s">
        <v>42</v>
      </c>
      <c r="L253" t="s">
        <v>43</v>
      </c>
      <c r="M253" s="5">
        <v>0.3</v>
      </c>
      <c r="N253">
        <v>430</v>
      </c>
      <c r="O253" s="4">
        <v>2899.5</v>
      </c>
      <c r="P253" s="4">
        <v>4452.26</v>
      </c>
      <c r="Q253">
        <v>3</v>
      </c>
      <c r="R253">
        <v>0</v>
      </c>
      <c r="S253" t="s">
        <v>44</v>
      </c>
      <c r="T253">
        <v>5</v>
      </c>
      <c r="U253" t="s">
        <v>45</v>
      </c>
      <c r="V253" t="s">
        <v>46</v>
      </c>
    </row>
    <row r="254" spans="1:22">
      <c r="A254" t="s">
        <v>641</v>
      </c>
      <c r="B254" t="s">
        <v>235</v>
      </c>
      <c r="C254" t="s">
        <v>347</v>
      </c>
      <c r="D254" t="s">
        <v>455</v>
      </c>
      <c r="E254" t="s">
        <v>456</v>
      </c>
      <c r="F254" t="s">
        <v>40</v>
      </c>
      <c r="G254" t="s">
        <v>40</v>
      </c>
      <c r="H254" t="s">
        <v>82</v>
      </c>
      <c r="I254" t="s">
        <v>82</v>
      </c>
      <c r="J254" t="s">
        <v>41</v>
      </c>
      <c r="K254" t="s">
        <v>72</v>
      </c>
      <c r="L254" t="s">
        <v>87</v>
      </c>
      <c r="M254" s="5">
        <v>6.2</v>
      </c>
      <c r="N254">
        <v>1854</v>
      </c>
      <c r="O254" s="4">
        <v>7644.2</v>
      </c>
      <c r="P254" s="4">
        <v>10343.52</v>
      </c>
      <c r="Q254">
        <v>4</v>
      </c>
      <c r="R254">
        <v>2</v>
      </c>
      <c r="S254" t="s">
        <v>56</v>
      </c>
      <c r="T254">
        <v>4</v>
      </c>
      <c r="U254" t="s">
        <v>45</v>
      </c>
      <c r="V254" t="s">
        <v>46</v>
      </c>
    </row>
    <row r="255" spans="1:22">
      <c r="A255" t="s">
        <v>642</v>
      </c>
      <c r="B255" t="s">
        <v>583</v>
      </c>
      <c r="C255" t="s">
        <v>583</v>
      </c>
      <c r="D255" t="s">
        <v>365</v>
      </c>
      <c r="E255" t="s">
        <v>168</v>
      </c>
      <c r="F255" t="s">
        <v>52</v>
      </c>
      <c r="G255" t="s">
        <v>53</v>
      </c>
      <c r="H255" t="s">
        <v>40</v>
      </c>
      <c r="I255" t="s">
        <v>40</v>
      </c>
      <c r="J255" t="s">
        <v>141</v>
      </c>
      <c r="K255" t="s">
        <v>72</v>
      </c>
      <c r="L255" t="s">
        <v>87</v>
      </c>
      <c r="M255" s="5">
        <v>10.6</v>
      </c>
      <c r="N255">
        <v>2068</v>
      </c>
      <c r="O255" s="4">
        <v>8403.4</v>
      </c>
      <c r="P255" s="4">
        <v>14719.22</v>
      </c>
      <c r="Q255">
        <v>1</v>
      </c>
      <c r="R255">
        <v>0</v>
      </c>
      <c r="S255" t="s">
        <v>44</v>
      </c>
      <c r="T255">
        <v>4</v>
      </c>
      <c r="U255" t="s">
        <v>45</v>
      </c>
      <c r="V255" t="s">
        <v>46</v>
      </c>
    </row>
    <row r="256" spans="1:22">
      <c r="A256" t="s">
        <v>643</v>
      </c>
      <c r="B256" t="s">
        <v>232</v>
      </c>
      <c r="C256" t="s">
        <v>231</v>
      </c>
      <c r="D256" t="s">
        <v>575</v>
      </c>
      <c r="E256" t="s">
        <v>419</v>
      </c>
      <c r="F256" t="s">
        <v>82</v>
      </c>
      <c r="G256" t="s">
        <v>82</v>
      </c>
      <c r="H256" t="s">
        <v>82</v>
      </c>
      <c r="I256" t="s">
        <v>82</v>
      </c>
      <c r="J256" t="s">
        <v>76</v>
      </c>
      <c r="K256" t="s">
        <v>65</v>
      </c>
      <c r="L256" t="s">
        <v>61</v>
      </c>
      <c r="M256" s="5">
        <v>18</v>
      </c>
      <c r="N256">
        <v>670</v>
      </c>
      <c r="O256" s="4">
        <v>4836</v>
      </c>
      <c r="P256" s="4">
        <v>8235.1</v>
      </c>
      <c r="Q256">
        <v>4</v>
      </c>
      <c r="R256">
        <v>0</v>
      </c>
      <c r="S256" t="s">
        <v>44</v>
      </c>
      <c r="T256">
        <v>5</v>
      </c>
      <c r="U256" t="s">
        <v>45</v>
      </c>
      <c r="V256" t="s">
        <v>46</v>
      </c>
    </row>
    <row r="257" spans="1:22">
      <c r="A257" t="s">
        <v>644</v>
      </c>
      <c r="B257" t="s">
        <v>247</v>
      </c>
      <c r="C257" t="s">
        <v>645</v>
      </c>
      <c r="D257" t="s">
        <v>351</v>
      </c>
      <c r="E257" t="s">
        <v>501</v>
      </c>
      <c r="F257" t="s">
        <v>52</v>
      </c>
      <c r="G257" t="s">
        <v>53</v>
      </c>
      <c r="H257" t="s">
        <v>82</v>
      </c>
      <c r="I257" t="s">
        <v>82</v>
      </c>
      <c r="J257" t="s">
        <v>41</v>
      </c>
      <c r="K257" t="s">
        <v>72</v>
      </c>
      <c r="L257" t="s">
        <v>61</v>
      </c>
      <c r="M257" s="5">
        <v>10.9</v>
      </c>
      <c r="N257">
        <v>1814</v>
      </c>
      <c r="O257" s="4">
        <v>7971.7</v>
      </c>
      <c r="P257" s="4">
        <v>16304.8</v>
      </c>
      <c r="Q257">
        <v>5</v>
      </c>
      <c r="R257">
        <v>3</v>
      </c>
      <c r="S257" t="s">
        <v>56</v>
      </c>
      <c r="T257">
        <v>4</v>
      </c>
      <c r="U257" t="s">
        <v>45</v>
      </c>
      <c r="V257" t="s">
        <v>46</v>
      </c>
    </row>
    <row r="258" spans="1:22">
      <c r="A258" t="s">
        <v>646</v>
      </c>
      <c r="B258" t="s">
        <v>311</v>
      </c>
      <c r="C258" t="s">
        <v>497</v>
      </c>
      <c r="D258" t="s">
        <v>325</v>
      </c>
      <c r="E258" t="s">
        <v>527</v>
      </c>
      <c r="F258" t="s">
        <v>52</v>
      </c>
      <c r="G258" t="s">
        <v>53</v>
      </c>
      <c r="H258" t="s">
        <v>52</v>
      </c>
      <c r="I258" t="s">
        <v>53</v>
      </c>
      <c r="J258" t="s">
        <v>141</v>
      </c>
      <c r="K258" t="s">
        <v>65</v>
      </c>
      <c r="L258" t="s">
        <v>43</v>
      </c>
      <c r="M258" s="5">
        <v>3.3</v>
      </c>
      <c r="N258">
        <v>1163</v>
      </c>
      <c r="O258" s="4">
        <v>4473.8999999999996</v>
      </c>
      <c r="P258" s="4">
        <v>9204.25</v>
      </c>
      <c r="Q258">
        <v>5</v>
      </c>
      <c r="R258">
        <v>0</v>
      </c>
      <c r="S258" t="s">
        <v>44</v>
      </c>
      <c r="T258">
        <v>5</v>
      </c>
      <c r="U258" t="s">
        <v>45</v>
      </c>
      <c r="V258" t="s">
        <v>46</v>
      </c>
    </row>
    <row r="259" spans="1:22">
      <c r="A259" t="s">
        <v>647</v>
      </c>
      <c r="B259" t="s">
        <v>443</v>
      </c>
      <c r="C259" t="s">
        <v>443</v>
      </c>
      <c r="D259" t="s">
        <v>459</v>
      </c>
      <c r="E259" t="s">
        <v>483</v>
      </c>
      <c r="F259" t="s">
        <v>70</v>
      </c>
      <c r="G259" t="s">
        <v>71</v>
      </c>
      <c r="H259" t="s">
        <v>40</v>
      </c>
      <c r="I259" t="s">
        <v>40</v>
      </c>
      <c r="J259" t="s">
        <v>141</v>
      </c>
      <c r="K259" t="s">
        <v>65</v>
      </c>
      <c r="L259" t="s">
        <v>118</v>
      </c>
      <c r="M259" s="5">
        <v>5.6</v>
      </c>
      <c r="N259">
        <v>1897</v>
      </c>
      <c r="O259" s="4">
        <v>5990.6</v>
      </c>
      <c r="P259" s="4">
        <v>8719.5</v>
      </c>
      <c r="Q259">
        <v>10</v>
      </c>
      <c r="R259">
        <v>2</v>
      </c>
      <c r="S259" t="s">
        <v>56</v>
      </c>
      <c r="T259">
        <v>4</v>
      </c>
      <c r="U259" t="s">
        <v>220</v>
      </c>
      <c r="V259" t="s">
        <v>46</v>
      </c>
    </row>
    <row r="260" spans="1:22">
      <c r="A260" t="s">
        <v>648</v>
      </c>
      <c r="B260" t="s">
        <v>102</v>
      </c>
      <c r="C260" t="s">
        <v>102</v>
      </c>
      <c r="D260" t="s">
        <v>384</v>
      </c>
      <c r="E260" t="s">
        <v>158</v>
      </c>
      <c r="F260" t="s">
        <v>54</v>
      </c>
      <c r="G260" t="s">
        <v>54</v>
      </c>
      <c r="H260" t="s">
        <v>70</v>
      </c>
      <c r="I260" t="s">
        <v>71</v>
      </c>
      <c r="J260" t="s">
        <v>41</v>
      </c>
      <c r="K260" t="s">
        <v>65</v>
      </c>
      <c r="L260" t="s">
        <v>77</v>
      </c>
      <c r="M260" s="5">
        <v>0.4</v>
      </c>
      <c r="N260">
        <v>855</v>
      </c>
      <c r="O260" s="4">
        <v>3673</v>
      </c>
      <c r="P260" s="4">
        <v>4918.32</v>
      </c>
      <c r="Q260">
        <v>9</v>
      </c>
      <c r="R260">
        <v>1</v>
      </c>
      <c r="S260" t="s">
        <v>56</v>
      </c>
      <c r="T260">
        <v>5</v>
      </c>
      <c r="U260" t="s">
        <v>45</v>
      </c>
      <c r="V260" t="s">
        <v>46</v>
      </c>
    </row>
    <row r="261" spans="1:22">
      <c r="A261" t="s">
        <v>649</v>
      </c>
      <c r="B261" t="s">
        <v>650</v>
      </c>
      <c r="C261" t="s">
        <v>232</v>
      </c>
      <c r="D261" t="s">
        <v>651</v>
      </c>
      <c r="E261" t="s">
        <v>574</v>
      </c>
      <c r="F261" t="s">
        <v>70</v>
      </c>
      <c r="G261" t="s">
        <v>71</v>
      </c>
      <c r="H261" t="s">
        <v>54</v>
      </c>
      <c r="I261" t="s">
        <v>54</v>
      </c>
      <c r="J261" t="s">
        <v>41</v>
      </c>
      <c r="K261" t="s">
        <v>65</v>
      </c>
      <c r="L261" t="s">
        <v>118</v>
      </c>
      <c r="M261" s="5">
        <v>6.1</v>
      </c>
      <c r="N261">
        <v>1823</v>
      </c>
      <c r="O261" s="4">
        <v>5899.9</v>
      </c>
      <c r="P261" s="4">
        <v>11502.51</v>
      </c>
      <c r="Q261">
        <v>5</v>
      </c>
      <c r="R261">
        <v>0</v>
      </c>
      <c r="S261" t="s">
        <v>44</v>
      </c>
      <c r="T261">
        <v>5</v>
      </c>
      <c r="U261" t="s">
        <v>45</v>
      </c>
      <c r="V261" t="s">
        <v>46</v>
      </c>
    </row>
    <row r="262" spans="1:22">
      <c r="A262" t="s">
        <v>652</v>
      </c>
      <c r="B262" t="s">
        <v>653</v>
      </c>
      <c r="C262" t="s">
        <v>653</v>
      </c>
      <c r="D262" t="s">
        <v>79</v>
      </c>
      <c r="E262" t="s">
        <v>50</v>
      </c>
      <c r="F262" t="s">
        <v>70</v>
      </c>
      <c r="G262" t="s">
        <v>71</v>
      </c>
      <c r="H262" t="s">
        <v>52</v>
      </c>
      <c r="I262" t="s">
        <v>53</v>
      </c>
      <c r="J262" t="s">
        <v>55</v>
      </c>
      <c r="K262" t="s">
        <v>42</v>
      </c>
      <c r="L262" t="s">
        <v>43</v>
      </c>
      <c r="M262" s="5">
        <v>9.1999999999999993</v>
      </c>
      <c r="N262">
        <v>2006</v>
      </c>
      <c r="O262" s="4">
        <v>6492.8</v>
      </c>
      <c r="P262" s="4">
        <v>13215.76</v>
      </c>
      <c r="Q262">
        <v>3</v>
      </c>
      <c r="R262">
        <v>0</v>
      </c>
      <c r="S262" t="s">
        <v>44</v>
      </c>
      <c r="T262">
        <v>5</v>
      </c>
      <c r="U262" t="s">
        <v>45</v>
      </c>
      <c r="V262" t="s">
        <v>46</v>
      </c>
    </row>
    <row r="263" spans="1:22">
      <c r="A263" t="s">
        <v>654</v>
      </c>
      <c r="B263" t="s">
        <v>94</v>
      </c>
      <c r="C263" t="s">
        <v>534</v>
      </c>
      <c r="D263" t="s">
        <v>655</v>
      </c>
      <c r="E263" t="s">
        <v>504</v>
      </c>
      <c r="F263" t="s">
        <v>52</v>
      </c>
      <c r="G263" t="s">
        <v>53</v>
      </c>
      <c r="H263" t="s">
        <v>70</v>
      </c>
      <c r="I263" t="s">
        <v>71</v>
      </c>
      <c r="J263" t="s">
        <v>76</v>
      </c>
      <c r="K263" t="s">
        <v>42</v>
      </c>
      <c r="L263" t="s">
        <v>87</v>
      </c>
      <c r="M263" s="5">
        <v>18.100000000000001</v>
      </c>
      <c r="N263">
        <v>1874</v>
      </c>
      <c r="O263" s="4">
        <v>7011.7</v>
      </c>
      <c r="P263" s="4">
        <v>9187.1299999999992</v>
      </c>
      <c r="Q263">
        <v>8</v>
      </c>
      <c r="R263">
        <v>3</v>
      </c>
      <c r="S263" t="s">
        <v>56</v>
      </c>
      <c r="T263">
        <v>4</v>
      </c>
      <c r="U263" t="s">
        <v>45</v>
      </c>
      <c r="V263" t="s">
        <v>46</v>
      </c>
    </row>
    <row r="264" spans="1:22">
      <c r="A264" t="s">
        <v>656</v>
      </c>
      <c r="B264" t="s">
        <v>370</v>
      </c>
      <c r="C264" t="s">
        <v>371</v>
      </c>
      <c r="D264" t="s">
        <v>343</v>
      </c>
      <c r="E264" t="s">
        <v>419</v>
      </c>
      <c r="F264" t="s">
        <v>82</v>
      </c>
      <c r="G264" t="s">
        <v>82</v>
      </c>
      <c r="H264" t="s">
        <v>52</v>
      </c>
      <c r="I264" t="s">
        <v>53</v>
      </c>
      <c r="J264" t="s">
        <v>55</v>
      </c>
      <c r="K264" t="s">
        <v>65</v>
      </c>
      <c r="L264" t="s">
        <v>87</v>
      </c>
      <c r="M264" s="5">
        <v>3</v>
      </c>
      <c r="N264">
        <v>1904</v>
      </c>
      <c r="O264" s="4">
        <v>5782.2</v>
      </c>
      <c r="P264" s="4">
        <v>9087.67</v>
      </c>
      <c r="Q264">
        <v>5</v>
      </c>
      <c r="R264">
        <v>0</v>
      </c>
      <c r="S264" t="s">
        <v>44</v>
      </c>
      <c r="T264">
        <v>5</v>
      </c>
      <c r="U264" t="s">
        <v>45</v>
      </c>
      <c r="V264" t="s">
        <v>46</v>
      </c>
    </row>
    <row r="265" spans="1:22">
      <c r="A265" t="s">
        <v>657</v>
      </c>
      <c r="B265" t="s">
        <v>555</v>
      </c>
      <c r="C265" t="s">
        <v>658</v>
      </c>
      <c r="D265" t="s">
        <v>235</v>
      </c>
      <c r="E265" t="s">
        <v>347</v>
      </c>
      <c r="F265" t="s">
        <v>70</v>
      </c>
      <c r="G265" t="s">
        <v>71</v>
      </c>
      <c r="H265" t="s">
        <v>82</v>
      </c>
      <c r="I265" t="s">
        <v>82</v>
      </c>
      <c r="J265" t="s">
        <v>41</v>
      </c>
      <c r="K265" t="s">
        <v>72</v>
      </c>
      <c r="L265" t="s">
        <v>77</v>
      </c>
      <c r="M265" s="5">
        <v>7.8</v>
      </c>
      <c r="N265">
        <v>1679</v>
      </c>
      <c r="O265" s="4">
        <v>7465.2</v>
      </c>
      <c r="P265" s="4">
        <v>13579.57</v>
      </c>
      <c r="Q265">
        <v>4</v>
      </c>
      <c r="R265">
        <v>2</v>
      </c>
      <c r="S265" t="s">
        <v>56</v>
      </c>
      <c r="T265">
        <v>4</v>
      </c>
      <c r="U265" t="s">
        <v>45</v>
      </c>
      <c r="V265" t="s">
        <v>46</v>
      </c>
    </row>
    <row r="266" spans="1:22">
      <c r="A266" t="s">
        <v>659</v>
      </c>
      <c r="B266" t="s">
        <v>464</v>
      </c>
      <c r="C266" t="s">
        <v>166</v>
      </c>
      <c r="D266" t="s">
        <v>158</v>
      </c>
      <c r="E266" t="s">
        <v>157</v>
      </c>
      <c r="F266" t="s">
        <v>52</v>
      </c>
      <c r="G266" t="s">
        <v>53</v>
      </c>
      <c r="H266" t="s">
        <v>70</v>
      </c>
      <c r="I266" t="s">
        <v>71</v>
      </c>
      <c r="J266" t="s">
        <v>76</v>
      </c>
      <c r="K266" t="s">
        <v>42</v>
      </c>
      <c r="L266" t="s">
        <v>61</v>
      </c>
      <c r="M266" s="5">
        <v>1.7</v>
      </c>
      <c r="N266">
        <v>287</v>
      </c>
      <c r="O266" s="4">
        <v>2761.1</v>
      </c>
      <c r="P266" s="4">
        <v>4700.16</v>
      </c>
      <c r="Q266">
        <v>2</v>
      </c>
      <c r="R266">
        <v>0</v>
      </c>
      <c r="S266" t="s">
        <v>44</v>
      </c>
      <c r="T266">
        <v>5</v>
      </c>
      <c r="U266" t="s">
        <v>45</v>
      </c>
      <c r="V266" t="s">
        <v>46</v>
      </c>
    </row>
    <row r="267" spans="1:22">
      <c r="A267" t="s">
        <v>660</v>
      </c>
      <c r="B267" t="s">
        <v>155</v>
      </c>
      <c r="C267" t="s">
        <v>154</v>
      </c>
      <c r="D267" t="s">
        <v>205</v>
      </c>
      <c r="E267" t="s">
        <v>38</v>
      </c>
      <c r="F267" t="s">
        <v>82</v>
      </c>
      <c r="G267" t="s">
        <v>82</v>
      </c>
      <c r="H267" t="s">
        <v>54</v>
      </c>
      <c r="I267" t="s">
        <v>54</v>
      </c>
      <c r="J267" t="s">
        <v>41</v>
      </c>
      <c r="K267" t="s">
        <v>65</v>
      </c>
      <c r="L267" t="s">
        <v>87</v>
      </c>
      <c r="M267" s="5">
        <v>6.1</v>
      </c>
      <c r="N267">
        <v>503</v>
      </c>
      <c r="O267" s="4">
        <v>3523.9</v>
      </c>
      <c r="P267" s="4">
        <v>5473.73</v>
      </c>
      <c r="Q267">
        <v>11</v>
      </c>
      <c r="R267">
        <v>3</v>
      </c>
      <c r="S267" t="s">
        <v>56</v>
      </c>
      <c r="T267">
        <v>4</v>
      </c>
      <c r="U267" t="s">
        <v>45</v>
      </c>
      <c r="V267" t="s">
        <v>46</v>
      </c>
    </row>
    <row r="268" spans="1:22">
      <c r="A268" t="s">
        <v>661</v>
      </c>
      <c r="B268" t="s">
        <v>291</v>
      </c>
      <c r="C268" t="s">
        <v>314</v>
      </c>
      <c r="D268" t="s">
        <v>351</v>
      </c>
      <c r="E268" t="s">
        <v>662</v>
      </c>
      <c r="F268" t="s">
        <v>52</v>
      </c>
      <c r="G268" t="s">
        <v>53</v>
      </c>
      <c r="H268" t="s">
        <v>54</v>
      </c>
      <c r="I268" t="s">
        <v>54</v>
      </c>
      <c r="J268" t="s">
        <v>55</v>
      </c>
      <c r="K268" t="s">
        <v>65</v>
      </c>
      <c r="L268" t="s">
        <v>77</v>
      </c>
      <c r="M268" s="5">
        <v>14.8</v>
      </c>
      <c r="N268">
        <v>1838</v>
      </c>
      <c r="O268" s="4">
        <v>6666.4</v>
      </c>
      <c r="P268" s="4">
        <v>11365.25</v>
      </c>
      <c r="Q268">
        <v>10</v>
      </c>
      <c r="R268">
        <v>2</v>
      </c>
      <c r="S268" t="s">
        <v>56</v>
      </c>
      <c r="T268">
        <v>4</v>
      </c>
      <c r="U268" t="s">
        <v>220</v>
      </c>
      <c r="V268" t="s">
        <v>46</v>
      </c>
    </row>
    <row r="269" spans="1:22">
      <c r="A269" t="s">
        <v>663</v>
      </c>
      <c r="B269" t="s">
        <v>483</v>
      </c>
      <c r="C269" t="s">
        <v>483</v>
      </c>
      <c r="D269" t="s">
        <v>249</v>
      </c>
      <c r="E269" t="s">
        <v>453</v>
      </c>
      <c r="F269" t="s">
        <v>54</v>
      </c>
      <c r="G269" t="s">
        <v>54</v>
      </c>
      <c r="H269" t="s">
        <v>70</v>
      </c>
      <c r="I269" t="s">
        <v>71</v>
      </c>
      <c r="J269" t="s">
        <v>76</v>
      </c>
      <c r="K269" t="s">
        <v>65</v>
      </c>
      <c r="L269" t="s">
        <v>87</v>
      </c>
      <c r="M269" s="5">
        <v>13.8</v>
      </c>
      <c r="N269">
        <v>2106</v>
      </c>
      <c r="O269" s="4">
        <v>7063.8</v>
      </c>
      <c r="P269" s="4">
        <v>9559.5400000000009</v>
      </c>
      <c r="Q269">
        <v>9</v>
      </c>
      <c r="R269">
        <v>1</v>
      </c>
      <c r="S269" t="s">
        <v>56</v>
      </c>
      <c r="T269">
        <v>5</v>
      </c>
      <c r="U269" t="s">
        <v>45</v>
      </c>
      <c r="V269" t="s">
        <v>46</v>
      </c>
    </row>
    <row r="270" spans="1:22">
      <c r="A270" t="s">
        <v>664</v>
      </c>
      <c r="B270" t="s">
        <v>145</v>
      </c>
      <c r="C270" t="s">
        <v>145</v>
      </c>
      <c r="D270" t="s">
        <v>174</v>
      </c>
      <c r="E270" t="s">
        <v>389</v>
      </c>
      <c r="F270" t="s">
        <v>40</v>
      </c>
      <c r="G270" t="s">
        <v>40</v>
      </c>
      <c r="H270" t="s">
        <v>54</v>
      </c>
      <c r="I270" t="s">
        <v>54</v>
      </c>
      <c r="J270" t="s">
        <v>41</v>
      </c>
      <c r="K270" t="s">
        <v>42</v>
      </c>
      <c r="L270" t="s">
        <v>61</v>
      </c>
      <c r="M270" s="5">
        <v>6.9</v>
      </c>
      <c r="N270">
        <v>1056</v>
      </c>
      <c r="O270" s="4">
        <v>4587.3</v>
      </c>
      <c r="P270" s="4">
        <v>7730.1</v>
      </c>
      <c r="Q270">
        <v>3</v>
      </c>
      <c r="R270">
        <v>0</v>
      </c>
      <c r="S270" t="s">
        <v>44</v>
      </c>
      <c r="T270">
        <v>5</v>
      </c>
      <c r="U270" t="s">
        <v>45</v>
      </c>
      <c r="V270" t="s">
        <v>46</v>
      </c>
    </row>
    <row r="271" spans="1:22">
      <c r="A271" t="s">
        <v>665</v>
      </c>
      <c r="B271" t="s">
        <v>153</v>
      </c>
      <c r="C271" t="s">
        <v>484</v>
      </c>
      <c r="D271" t="s">
        <v>204</v>
      </c>
      <c r="E271" t="s">
        <v>249</v>
      </c>
      <c r="F271" t="s">
        <v>70</v>
      </c>
      <c r="G271" t="s">
        <v>71</v>
      </c>
      <c r="H271" t="s">
        <v>52</v>
      </c>
      <c r="I271" t="s">
        <v>53</v>
      </c>
      <c r="J271" t="s">
        <v>41</v>
      </c>
      <c r="K271" t="s">
        <v>65</v>
      </c>
      <c r="L271" t="s">
        <v>61</v>
      </c>
      <c r="M271" s="5">
        <v>0.7</v>
      </c>
      <c r="N271">
        <v>951</v>
      </c>
      <c r="O271" s="4">
        <v>3871.3</v>
      </c>
      <c r="P271" s="4">
        <v>5173.88</v>
      </c>
      <c r="Q271">
        <v>6</v>
      </c>
      <c r="R271">
        <v>0</v>
      </c>
      <c r="S271" t="s">
        <v>44</v>
      </c>
      <c r="T271">
        <v>4</v>
      </c>
      <c r="U271" t="s">
        <v>45</v>
      </c>
      <c r="V271" t="s">
        <v>46</v>
      </c>
    </row>
    <row r="272" spans="1:22">
      <c r="A272" t="s">
        <v>666</v>
      </c>
      <c r="B272" t="s">
        <v>462</v>
      </c>
      <c r="C272" t="s">
        <v>200</v>
      </c>
      <c r="D272" t="s">
        <v>151</v>
      </c>
      <c r="E272" t="s">
        <v>89</v>
      </c>
      <c r="F272" t="s">
        <v>70</v>
      </c>
      <c r="G272" t="s">
        <v>71</v>
      </c>
      <c r="H272" t="s">
        <v>70</v>
      </c>
      <c r="I272" t="s">
        <v>71</v>
      </c>
      <c r="J272" t="s">
        <v>41</v>
      </c>
      <c r="K272" t="s">
        <v>42</v>
      </c>
      <c r="L272" t="s">
        <v>61</v>
      </c>
      <c r="M272" s="5">
        <v>15.6</v>
      </c>
      <c r="N272">
        <v>1379</v>
      </c>
      <c r="O272" s="4">
        <v>5908.2</v>
      </c>
      <c r="P272" s="4">
        <v>8241.1299999999992</v>
      </c>
      <c r="Q272">
        <v>7</v>
      </c>
      <c r="R272">
        <v>2</v>
      </c>
      <c r="S272" t="s">
        <v>56</v>
      </c>
      <c r="T272">
        <v>4</v>
      </c>
      <c r="U272" t="s">
        <v>45</v>
      </c>
      <c r="V272" t="s">
        <v>46</v>
      </c>
    </row>
    <row r="273" spans="1:22">
      <c r="A273" t="s">
        <v>667</v>
      </c>
      <c r="B273" t="s">
        <v>202</v>
      </c>
      <c r="C273" t="s">
        <v>80</v>
      </c>
      <c r="D273" t="s">
        <v>459</v>
      </c>
      <c r="E273" t="s">
        <v>212</v>
      </c>
      <c r="F273" t="s">
        <v>40</v>
      </c>
      <c r="G273" t="s">
        <v>40</v>
      </c>
      <c r="H273" t="s">
        <v>40</v>
      </c>
      <c r="I273" t="s">
        <v>40</v>
      </c>
      <c r="J273" t="s">
        <v>55</v>
      </c>
      <c r="K273" t="s">
        <v>42</v>
      </c>
      <c r="L273" t="s">
        <v>61</v>
      </c>
      <c r="M273" s="5">
        <v>14.6</v>
      </c>
      <c r="N273">
        <v>1280</v>
      </c>
      <c r="O273" s="4">
        <v>5645</v>
      </c>
      <c r="P273" s="4">
        <v>11073.18</v>
      </c>
      <c r="Q273">
        <v>2</v>
      </c>
      <c r="R273">
        <v>0</v>
      </c>
      <c r="S273" t="s">
        <v>44</v>
      </c>
      <c r="T273">
        <v>5</v>
      </c>
      <c r="U273" t="s">
        <v>45</v>
      </c>
      <c r="V273" t="s">
        <v>46</v>
      </c>
    </row>
    <row r="274" spans="1:22">
      <c r="A274" t="s">
        <v>668</v>
      </c>
      <c r="B274" t="s">
        <v>291</v>
      </c>
      <c r="C274" t="s">
        <v>314</v>
      </c>
      <c r="D274" t="s">
        <v>351</v>
      </c>
      <c r="E274" t="s">
        <v>351</v>
      </c>
      <c r="F274" t="s">
        <v>54</v>
      </c>
      <c r="G274" t="s">
        <v>54</v>
      </c>
      <c r="H274" t="s">
        <v>70</v>
      </c>
      <c r="I274" t="s">
        <v>71</v>
      </c>
      <c r="J274" t="s">
        <v>141</v>
      </c>
      <c r="K274" t="s">
        <v>65</v>
      </c>
      <c r="L274" t="s">
        <v>77</v>
      </c>
      <c r="M274" s="5">
        <v>16.8</v>
      </c>
      <c r="N274">
        <v>1669</v>
      </c>
      <c r="O274" s="4">
        <v>6532.2</v>
      </c>
      <c r="P274" s="4">
        <v>12641.15</v>
      </c>
      <c r="Q274">
        <v>8</v>
      </c>
      <c r="R274">
        <v>0</v>
      </c>
      <c r="S274" t="s">
        <v>44</v>
      </c>
      <c r="T274">
        <v>5</v>
      </c>
      <c r="U274" t="s">
        <v>45</v>
      </c>
      <c r="V274" t="s">
        <v>46</v>
      </c>
    </row>
    <row r="275" spans="1:22">
      <c r="A275" t="s">
        <v>669</v>
      </c>
      <c r="B275" t="s">
        <v>51</v>
      </c>
      <c r="C275" t="s">
        <v>51</v>
      </c>
      <c r="D275" t="s">
        <v>212</v>
      </c>
      <c r="E275" t="s">
        <v>382</v>
      </c>
      <c r="F275" t="s">
        <v>70</v>
      </c>
      <c r="G275" t="s">
        <v>71</v>
      </c>
      <c r="H275" t="s">
        <v>82</v>
      </c>
      <c r="I275" t="s">
        <v>82</v>
      </c>
      <c r="J275" t="s">
        <v>55</v>
      </c>
      <c r="K275" t="s">
        <v>65</v>
      </c>
      <c r="L275" t="s">
        <v>87</v>
      </c>
      <c r="M275" s="5">
        <v>11.4</v>
      </c>
      <c r="N275">
        <v>1408</v>
      </c>
      <c r="O275" s="4">
        <v>5603.4</v>
      </c>
      <c r="P275" s="4">
        <v>11666.1</v>
      </c>
      <c r="Q275">
        <v>9</v>
      </c>
      <c r="R275">
        <v>1</v>
      </c>
      <c r="S275" t="s">
        <v>56</v>
      </c>
      <c r="T275">
        <v>4</v>
      </c>
      <c r="U275" t="s">
        <v>45</v>
      </c>
      <c r="V275" t="s">
        <v>46</v>
      </c>
    </row>
    <row r="276" spans="1:22">
      <c r="A276" t="s">
        <v>670</v>
      </c>
      <c r="B276" t="s">
        <v>527</v>
      </c>
      <c r="C276" t="s">
        <v>623</v>
      </c>
      <c r="D276" t="s">
        <v>326</v>
      </c>
      <c r="E276" t="s">
        <v>671</v>
      </c>
      <c r="F276" t="s">
        <v>70</v>
      </c>
      <c r="G276" t="s">
        <v>71</v>
      </c>
      <c r="H276" t="s">
        <v>40</v>
      </c>
      <c r="I276" t="s">
        <v>40</v>
      </c>
      <c r="J276" t="s">
        <v>76</v>
      </c>
      <c r="K276" t="s">
        <v>72</v>
      </c>
      <c r="L276" t="s">
        <v>43</v>
      </c>
      <c r="M276" s="5">
        <v>4.0999999999999996</v>
      </c>
      <c r="N276">
        <v>302</v>
      </c>
      <c r="O276" s="4">
        <v>4672.1000000000004</v>
      </c>
      <c r="P276" s="4">
        <v>5883.8</v>
      </c>
      <c r="Q276">
        <v>3</v>
      </c>
      <c r="R276">
        <v>1</v>
      </c>
      <c r="S276" t="s">
        <v>56</v>
      </c>
      <c r="T276">
        <v>5</v>
      </c>
      <c r="U276" t="s">
        <v>45</v>
      </c>
      <c r="V276" t="s">
        <v>46</v>
      </c>
    </row>
    <row r="277" spans="1:22">
      <c r="A277" t="s">
        <v>672</v>
      </c>
      <c r="B277" t="s">
        <v>650</v>
      </c>
      <c r="C277" t="s">
        <v>650</v>
      </c>
      <c r="D277" t="s">
        <v>673</v>
      </c>
      <c r="E277" t="s">
        <v>574</v>
      </c>
      <c r="F277" t="s">
        <v>70</v>
      </c>
      <c r="G277" t="s">
        <v>71</v>
      </c>
      <c r="H277" t="s">
        <v>70</v>
      </c>
      <c r="I277" t="s">
        <v>71</v>
      </c>
      <c r="J277" t="s">
        <v>141</v>
      </c>
      <c r="K277" t="s">
        <v>42</v>
      </c>
      <c r="L277" t="s">
        <v>43</v>
      </c>
      <c r="M277" s="5">
        <v>7.8</v>
      </c>
      <c r="N277">
        <v>1431</v>
      </c>
      <c r="O277" s="4">
        <v>5338.8</v>
      </c>
      <c r="P277" s="4">
        <v>9611.0300000000007</v>
      </c>
      <c r="Q277">
        <v>7</v>
      </c>
      <c r="R277">
        <v>2</v>
      </c>
      <c r="S277" t="s">
        <v>56</v>
      </c>
      <c r="T277">
        <v>4</v>
      </c>
      <c r="U277" t="s">
        <v>45</v>
      </c>
      <c r="V277" t="s">
        <v>46</v>
      </c>
    </row>
    <row r="278" spans="1:22">
      <c r="A278" t="s">
        <v>674</v>
      </c>
      <c r="B278" t="s">
        <v>232</v>
      </c>
      <c r="C278" t="s">
        <v>232</v>
      </c>
      <c r="D278" t="s">
        <v>231</v>
      </c>
      <c r="E278" t="s">
        <v>574</v>
      </c>
      <c r="F278" t="s">
        <v>70</v>
      </c>
      <c r="G278" t="s">
        <v>71</v>
      </c>
      <c r="H278" t="s">
        <v>82</v>
      </c>
      <c r="I278" t="s">
        <v>82</v>
      </c>
      <c r="J278" t="s">
        <v>41</v>
      </c>
      <c r="K278" t="s">
        <v>72</v>
      </c>
      <c r="L278" t="s">
        <v>61</v>
      </c>
      <c r="M278" s="5">
        <v>8</v>
      </c>
      <c r="N278">
        <v>1016</v>
      </c>
      <c r="O278" s="4">
        <v>6288.8</v>
      </c>
      <c r="P278" s="4">
        <v>8603.18</v>
      </c>
      <c r="Q278">
        <v>5</v>
      </c>
      <c r="R278">
        <v>3</v>
      </c>
      <c r="S278" t="s">
        <v>56</v>
      </c>
      <c r="T278">
        <v>4</v>
      </c>
      <c r="U278" t="s">
        <v>45</v>
      </c>
      <c r="V278" t="s">
        <v>46</v>
      </c>
    </row>
    <row r="279" spans="1:22">
      <c r="A279" t="s">
        <v>675</v>
      </c>
      <c r="B279" t="s">
        <v>636</v>
      </c>
      <c r="C279" t="s">
        <v>198</v>
      </c>
      <c r="D279" t="s">
        <v>461</v>
      </c>
      <c r="E279" t="s">
        <v>162</v>
      </c>
      <c r="F279" t="s">
        <v>40</v>
      </c>
      <c r="G279" t="s">
        <v>40</v>
      </c>
      <c r="H279" t="s">
        <v>70</v>
      </c>
      <c r="I279" t="s">
        <v>71</v>
      </c>
      <c r="J279" t="s">
        <v>41</v>
      </c>
      <c r="K279" t="s">
        <v>42</v>
      </c>
      <c r="L279" t="s">
        <v>118</v>
      </c>
      <c r="M279" s="5">
        <v>10.1</v>
      </c>
      <c r="N279">
        <v>1058</v>
      </c>
      <c r="O279" s="4">
        <v>4862.8999999999996</v>
      </c>
      <c r="P279" s="4">
        <v>7792.82</v>
      </c>
      <c r="Q279">
        <v>3</v>
      </c>
      <c r="R279">
        <v>0</v>
      </c>
      <c r="S279" t="s">
        <v>44</v>
      </c>
      <c r="T279">
        <v>5</v>
      </c>
      <c r="U279" t="s">
        <v>45</v>
      </c>
      <c r="V279" t="s">
        <v>46</v>
      </c>
    </row>
    <row r="280" spans="1:22">
      <c r="A280" t="s">
        <v>676</v>
      </c>
      <c r="B280" t="s">
        <v>545</v>
      </c>
      <c r="C280" t="s">
        <v>545</v>
      </c>
      <c r="D280" t="s">
        <v>196</v>
      </c>
      <c r="E280" t="s">
        <v>636</v>
      </c>
      <c r="F280" t="s">
        <v>40</v>
      </c>
      <c r="G280" t="s">
        <v>40</v>
      </c>
      <c r="H280" t="s">
        <v>54</v>
      </c>
      <c r="I280" t="s">
        <v>54</v>
      </c>
      <c r="J280" t="s">
        <v>141</v>
      </c>
      <c r="K280" t="s">
        <v>72</v>
      </c>
      <c r="L280" t="s">
        <v>61</v>
      </c>
      <c r="M280" s="5">
        <v>7.9</v>
      </c>
      <c r="N280">
        <v>1826</v>
      </c>
      <c r="O280" s="4">
        <v>7738.3</v>
      </c>
      <c r="P280" s="4">
        <v>11186.27</v>
      </c>
      <c r="Q280">
        <v>3</v>
      </c>
      <c r="R280">
        <v>1</v>
      </c>
      <c r="S280" t="s">
        <v>56</v>
      </c>
      <c r="T280">
        <v>5</v>
      </c>
      <c r="U280" t="s">
        <v>45</v>
      </c>
      <c r="V280" t="s">
        <v>46</v>
      </c>
    </row>
    <row r="281" spans="1:22">
      <c r="A281" t="s">
        <v>677</v>
      </c>
      <c r="B281" t="s">
        <v>344</v>
      </c>
      <c r="C281" t="s">
        <v>344</v>
      </c>
      <c r="D281" t="s">
        <v>287</v>
      </c>
      <c r="E281" t="s">
        <v>355</v>
      </c>
      <c r="F281" t="s">
        <v>40</v>
      </c>
      <c r="G281" t="s">
        <v>40</v>
      </c>
      <c r="H281" t="s">
        <v>52</v>
      </c>
      <c r="I281" t="s">
        <v>53</v>
      </c>
      <c r="J281" t="s">
        <v>41</v>
      </c>
      <c r="K281" t="s">
        <v>42</v>
      </c>
      <c r="L281" t="s">
        <v>87</v>
      </c>
      <c r="M281" s="5">
        <v>15.2</v>
      </c>
      <c r="N281">
        <v>1745</v>
      </c>
      <c r="O281" s="4">
        <v>6533</v>
      </c>
      <c r="P281" s="4">
        <v>13287.08</v>
      </c>
      <c r="Q281">
        <v>7</v>
      </c>
      <c r="R281">
        <v>2</v>
      </c>
      <c r="S281" t="s">
        <v>56</v>
      </c>
      <c r="T281">
        <v>4</v>
      </c>
      <c r="U281" t="s">
        <v>45</v>
      </c>
      <c r="V281" t="s">
        <v>46</v>
      </c>
    </row>
    <row r="282" spans="1:22">
      <c r="A282" t="s">
        <v>678</v>
      </c>
      <c r="B282" t="s">
        <v>415</v>
      </c>
      <c r="C282" t="s">
        <v>415</v>
      </c>
      <c r="D282" t="s">
        <v>436</v>
      </c>
      <c r="E282" t="s">
        <v>239</v>
      </c>
      <c r="F282" t="s">
        <v>52</v>
      </c>
      <c r="G282" t="s">
        <v>53</v>
      </c>
      <c r="H282" t="s">
        <v>40</v>
      </c>
      <c r="I282" t="s">
        <v>40</v>
      </c>
      <c r="J282" t="s">
        <v>41</v>
      </c>
      <c r="K282" t="s">
        <v>65</v>
      </c>
      <c r="L282" t="s">
        <v>118</v>
      </c>
      <c r="M282" s="5">
        <v>1.2</v>
      </c>
      <c r="N282">
        <v>1015</v>
      </c>
      <c r="O282" s="4">
        <v>4029</v>
      </c>
      <c r="P282" s="4">
        <v>8392.1</v>
      </c>
      <c r="Q282">
        <v>6</v>
      </c>
      <c r="R282">
        <v>0</v>
      </c>
      <c r="S282" t="s">
        <v>44</v>
      </c>
      <c r="T282">
        <v>5</v>
      </c>
      <c r="U282" t="s">
        <v>45</v>
      </c>
      <c r="V282" t="s">
        <v>46</v>
      </c>
    </row>
    <row r="283" spans="1:22">
      <c r="A283" t="s">
        <v>679</v>
      </c>
      <c r="B283" t="s">
        <v>662</v>
      </c>
      <c r="C283" t="s">
        <v>662</v>
      </c>
      <c r="D283" t="s">
        <v>102</v>
      </c>
      <c r="E283" t="s">
        <v>464</v>
      </c>
      <c r="F283" t="s">
        <v>52</v>
      </c>
      <c r="G283" t="s">
        <v>53</v>
      </c>
      <c r="H283" t="s">
        <v>70</v>
      </c>
      <c r="I283" t="s">
        <v>71</v>
      </c>
      <c r="J283" t="s">
        <v>55</v>
      </c>
      <c r="K283" t="s">
        <v>65</v>
      </c>
      <c r="L283" t="s">
        <v>77</v>
      </c>
      <c r="M283" s="5">
        <v>1.9</v>
      </c>
      <c r="N283">
        <v>1874</v>
      </c>
      <c r="O283" s="4">
        <v>5634.7</v>
      </c>
      <c r="P283" s="4">
        <v>9480.99</v>
      </c>
      <c r="Q283">
        <v>10</v>
      </c>
      <c r="R283">
        <v>2</v>
      </c>
      <c r="S283" t="s">
        <v>56</v>
      </c>
      <c r="T283">
        <v>4</v>
      </c>
      <c r="U283" t="s">
        <v>45</v>
      </c>
      <c r="V283" t="s">
        <v>46</v>
      </c>
    </row>
    <row r="284" spans="1:22">
      <c r="A284" t="s">
        <v>680</v>
      </c>
      <c r="B284" t="s">
        <v>212</v>
      </c>
      <c r="C284" t="s">
        <v>382</v>
      </c>
      <c r="D284" t="s">
        <v>459</v>
      </c>
      <c r="E284" t="s">
        <v>213</v>
      </c>
      <c r="F284" t="s">
        <v>52</v>
      </c>
      <c r="G284" t="s">
        <v>53</v>
      </c>
      <c r="H284" t="s">
        <v>52</v>
      </c>
      <c r="I284" t="s">
        <v>53</v>
      </c>
      <c r="J284" t="s">
        <v>41</v>
      </c>
      <c r="K284" t="s">
        <v>72</v>
      </c>
      <c r="L284" t="s">
        <v>87</v>
      </c>
      <c r="M284" s="5">
        <v>9.6</v>
      </c>
      <c r="N284">
        <v>118</v>
      </c>
      <c r="O284" s="4">
        <v>4808.3999999999996</v>
      </c>
      <c r="P284" s="4">
        <v>7041.53</v>
      </c>
      <c r="Q284">
        <v>1</v>
      </c>
      <c r="R284">
        <v>0</v>
      </c>
      <c r="S284" t="s">
        <v>44</v>
      </c>
      <c r="T284">
        <v>5</v>
      </c>
      <c r="U284" t="s">
        <v>45</v>
      </c>
      <c r="V284" t="s">
        <v>46</v>
      </c>
    </row>
    <row r="285" spans="1:22">
      <c r="A285" t="s">
        <v>681</v>
      </c>
      <c r="B285" t="s">
        <v>226</v>
      </c>
      <c r="C285" t="s">
        <v>69</v>
      </c>
      <c r="D285" t="s">
        <v>75</v>
      </c>
      <c r="E285" t="s">
        <v>617</v>
      </c>
      <c r="F285" t="s">
        <v>70</v>
      </c>
      <c r="G285" t="s">
        <v>71</v>
      </c>
      <c r="H285" t="s">
        <v>52</v>
      </c>
      <c r="I285" t="s">
        <v>53</v>
      </c>
      <c r="J285" t="s">
        <v>41</v>
      </c>
      <c r="K285" t="s">
        <v>72</v>
      </c>
      <c r="L285" t="s">
        <v>87</v>
      </c>
      <c r="M285" s="5">
        <v>8.4</v>
      </c>
      <c r="N285">
        <v>466</v>
      </c>
      <c r="O285" s="4">
        <v>5332.8</v>
      </c>
      <c r="P285" s="4">
        <v>8793.1299999999992</v>
      </c>
      <c r="Q285">
        <v>5</v>
      </c>
      <c r="R285">
        <v>3</v>
      </c>
      <c r="S285" t="s">
        <v>56</v>
      </c>
      <c r="T285">
        <v>4</v>
      </c>
      <c r="U285" t="s">
        <v>45</v>
      </c>
      <c r="V285" t="s">
        <v>46</v>
      </c>
    </row>
    <row r="286" spans="1:22">
      <c r="A286" t="s">
        <v>682</v>
      </c>
      <c r="B286" t="s">
        <v>37</v>
      </c>
      <c r="C286" t="s">
        <v>205</v>
      </c>
      <c r="D286" t="s">
        <v>242</v>
      </c>
      <c r="E286" t="s">
        <v>125</v>
      </c>
      <c r="F286" t="s">
        <v>54</v>
      </c>
      <c r="G286" t="s">
        <v>54</v>
      </c>
      <c r="H286" t="s">
        <v>82</v>
      </c>
      <c r="I286" t="s">
        <v>82</v>
      </c>
      <c r="J286" t="s">
        <v>141</v>
      </c>
      <c r="K286" t="s">
        <v>65</v>
      </c>
      <c r="L286" t="s">
        <v>61</v>
      </c>
      <c r="M286" s="5">
        <v>4.8</v>
      </c>
      <c r="N286">
        <v>1392</v>
      </c>
      <c r="O286" s="4">
        <v>5013.6000000000004</v>
      </c>
      <c r="P286" s="4">
        <v>10156.69</v>
      </c>
      <c r="Q286">
        <v>5</v>
      </c>
      <c r="R286">
        <v>0</v>
      </c>
      <c r="S286" t="s">
        <v>44</v>
      </c>
      <c r="T286">
        <v>5</v>
      </c>
      <c r="U286" t="s">
        <v>45</v>
      </c>
      <c r="V286" t="s">
        <v>46</v>
      </c>
    </row>
    <row r="287" spans="1:22">
      <c r="A287" t="s">
        <v>683</v>
      </c>
      <c r="B287" t="s">
        <v>382</v>
      </c>
      <c r="C287" t="s">
        <v>213</v>
      </c>
      <c r="D287" t="s">
        <v>214</v>
      </c>
      <c r="E287" t="s">
        <v>459</v>
      </c>
      <c r="F287" t="s">
        <v>40</v>
      </c>
      <c r="G287" t="s">
        <v>40</v>
      </c>
      <c r="H287" t="s">
        <v>40</v>
      </c>
      <c r="I287" t="s">
        <v>40</v>
      </c>
      <c r="J287" t="s">
        <v>41</v>
      </c>
      <c r="K287" t="s">
        <v>72</v>
      </c>
      <c r="L287" t="s">
        <v>87</v>
      </c>
      <c r="M287" s="5">
        <v>0.5</v>
      </c>
      <c r="N287">
        <v>1840</v>
      </c>
      <c r="O287" s="4">
        <v>7134.5</v>
      </c>
      <c r="P287" s="4">
        <v>13423.71</v>
      </c>
      <c r="Q287">
        <v>1</v>
      </c>
      <c r="R287">
        <v>0</v>
      </c>
      <c r="S287" t="s">
        <v>44</v>
      </c>
      <c r="T287">
        <v>5</v>
      </c>
      <c r="U287" t="s">
        <v>45</v>
      </c>
      <c r="V287" t="s">
        <v>46</v>
      </c>
    </row>
    <row r="288" spans="1:22">
      <c r="A288" t="s">
        <v>684</v>
      </c>
      <c r="B288" t="s">
        <v>164</v>
      </c>
      <c r="C288" t="s">
        <v>166</v>
      </c>
      <c r="D288" t="s">
        <v>157</v>
      </c>
      <c r="E288" t="s">
        <v>157</v>
      </c>
      <c r="F288" t="s">
        <v>82</v>
      </c>
      <c r="G288" t="s">
        <v>82</v>
      </c>
      <c r="H288" t="s">
        <v>70</v>
      </c>
      <c r="I288" t="s">
        <v>71</v>
      </c>
      <c r="J288" t="s">
        <v>76</v>
      </c>
      <c r="K288" t="s">
        <v>72</v>
      </c>
      <c r="L288" t="s">
        <v>87</v>
      </c>
      <c r="M288" s="5">
        <v>0.8</v>
      </c>
      <c r="N288">
        <v>1866</v>
      </c>
      <c r="O288" s="4">
        <v>7206.8</v>
      </c>
      <c r="P288" s="4">
        <v>10160.61</v>
      </c>
      <c r="Q288">
        <v>2</v>
      </c>
      <c r="R288">
        <v>0</v>
      </c>
      <c r="S288" t="s">
        <v>44</v>
      </c>
      <c r="T288">
        <v>5</v>
      </c>
      <c r="U288" t="s">
        <v>45</v>
      </c>
      <c r="V288" t="s">
        <v>46</v>
      </c>
    </row>
    <row r="289" spans="1:22">
      <c r="A289" t="s">
        <v>685</v>
      </c>
      <c r="B289" t="s">
        <v>316</v>
      </c>
      <c r="C289" t="s">
        <v>373</v>
      </c>
      <c r="D289" t="s">
        <v>364</v>
      </c>
      <c r="E289" t="s">
        <v>361</v>
      </c>
      <c r="F289" t="s">
        <v>52</v>
      </c>
      <c r="G289" t="s">
        <v>53</v>
      </c>
      <c r="H289" t="s">
        <v>52</v>
      </c>
      <c r="I289" t="s">
        <v>53</v>
      </c>
      <c r="J289" t="s">
        <v>141</v>
      </c>
      <c r="K289" t="s">
        <v>65</v>
      </c>
      <c r="L289" t="s">
        <v>87</v>
      </c>
      <c r="M289" s="5">
        <v>8.5</v>
      </c>
      <c r="N289">
        <v>1098</v>
      </c>
      <c r="O289" s="4">
        <v>4798.8999999999996</v>
      </c>
      <c r="P289" s="4">
        <v>8210.31</v>
      </c>
      <c r="Q289">
        <v>4</v>
      </c>
      <c r="R289">
        <v>0</v>
      </c>
      <c r="S289" t="s">
        <v>44</v>
      </c>
      <c r="T289">
        <v>5</v>
      </c>
      <c r="U289" t="s">
        <v>45</v>
      </c>
      <c r="V289" t="s">
        <v>46</v>
      </c>
    </row>
    <row r="290" spans="1:22">
      <c r="A290" t="s">
        <v>686</v>
      </c>
      <c r="B290" t="s">
        <v>687</v>
      </c>
      <c r="C290" t="s">
        <v>687</v>
      </c>
      <c r="D290" t="s">
        <v>294</v>
      </c>
      <c r="E290" t="s">
        <v>505</v>
      </c>
      <c r="F290" t="s">
        <v>52</v>
      </c>
      <c r="G290" t="s">
        <v>53</v>
      </c>
      <c r="H290" t="s">
        <v>40</v>
      </c>
      <c r="I290" t="s">
        <v>40</v>
      </c>
      <c r="J290" t="s">
        <v>41</v>
      </c>
      <c r="K290" t="s">
        <v>42</v>
      </c>
      <c r="L290" t="s">
        <v>118</v>
      </c>
      <c r="M290" s="5">
        <v>7.3</v>
      </c>
      <c r="N290">
        <v>333</v>
      </c>
      <c r="O290" s="4">
        <v>3319.9</v>
      </c>
      <c r="P290" s="4">
        <v>6043.27</v>
      </c>
      <c r="Q290">
        <v>6</v>
      </c>
      <c r="R290">
        <v>1</v>
      </c>
      <c r="S290" t="s">
        <v>56</v>
      </c>
      <c r="T290">
        <v>5</v>
      </c>
      <c r="U290" t="s">
        <v>45</v>
      </c>
      <c r="V290" t="s">
        <v>46</v>
      </c>
    </row>
    <row r="291" spans="1:22">
      <c r="A291" t="s">
        <v>688</v>
      </c>
      <c r="B291" t="s">
        <v>126</v>
      </c>
      <c r="C291" t="s">
        <v>625</v>
      </c>
      <c r="D291" t="s">
        <v>279</v>
      </c>
      <c r="E291" t="s">
        <v>279</v>
      </c>
      <c r="F291" t="s">
        <v>70</v>
      </c>
      <c r="G291" t="s">
        <v>71</v>
      </c>
      <c r="H291" t="s">
        <v>82</v>
      </c>
      <c r="I291" t="s">
        <v>82</v>
      </c>
      <c r="J291" t="s">
        <v>141</v>
      </c>
      <c r="K291" t="s">
        <v>65</v>
      </c>
      <c r="L291" t="s">
        <v>118</v>
      </c>
      <c r="M291" s="5">
        <v>14.9</v>
      </c>
      <c r="N291">
        <v>527</v>
      </c>
      <c r="O291" s="4">
        <v>4315.1000000000004</v>
      </c>
      <c r="P291" s="4">
        <v>7897.89</v>
      </c>
      <c r="Q291">
        <v>8</v>
      </c>
      <c r="R291">
        <v>0</v>
      </c>
      <c r="S291" t="s">
        <v>44</v>
      </c>
      <c r="T291">
        <v>5</v>
      </c>
      <c r="U291" t="s">
        <v>45</v>
      </c>
      <c r="V291" t="s">
        <v>46</v>
      </c>
    </row>
    <row r="292" spans="1:22">
      <c r="A292" t="s">
        <v>689</v>
      </c>
      <c r="B292" t="s">
        <v>484</v>
      </c>
      <c r="C292" t="s">
        <v>328</v>
      </c>
      <c r="D292" t="s">
        <v>690</v>
      </c>
      <c r="E292" t="s">
        <v>37</v>
      </c>
      <c r="F292" t="s">
        <v>52</v>
      </c>
      <c r="G292" t="s">
        <v>53</v>
      </c>
      <c r="H292" t="s">
        <v>82</v>
      </c>
      <c r="I292" t="s">
        <v>82</v>
      </c>
      <c r="J292" t="s">
        <v>141</v>
      </c>
      <c r="K292" t="s">
        <v>65</v>
      </c>
      <c r="L292" t="s">
        <v>77</v>
      </c>
      <c r="M292" s="5">
        <v>0.9</v>
      </c>
      <c r="N292">
        <v>1705</v>
      </c>
      <c r="O292" s="4">
        <v>5245.5</v>
      </c>
      <c r="P292" s="4">
        <v>7846.16</v>
      </c>
      <c r="Q292">
        <v>9</v>
      </c>
      <c r="R292">
        <v>1</v>
      </c>
      <c r="S292" t="s">
        <v>56</v>
      </c>
      <c r="T292">
        <v>5</v>
      </c>
      <c r="U292" t="s">
        <v>45</v>
      </c>
      <c r="V292" t="s">
        <v>46</v>
      </c>
    </row>
    <row r="293" spans="1:22">
      <c r="A293" t="s">
        <v>691</v>
      </c>
      <c r="B293" t="s">
        <v>166</v>
      </c>
      <c r="C293" t="s">
        <v>157</v>
      </c>
      <c r="D293" t="s">
        <v>469</v>
      </c>
      <c r="E293" t="s">
        <v>572</v>
      </c>
      <c r="F293" t="s">
        <v>70</v>
      </c>
      <c r="G293" t="s">
        <v>71</v>
      </c>
      <c r="H293" t="s">
        <v>82</v>
      </c>
      <c r="I293" t="s">
        <v>82</v>
      </c>
      <c r="J293" t="s">
        <v>55</v>
      </c>
      <c r="K293" t="s">
        <v>42</v>
      </c>
      <c r="L293" t="s">
        <v>118</v>
      </c>
      <c r="M293" s="5">
        <v>4.5999999999999996</v>
      </c>
      <c r="N293">
        <v>1400</v>
      </c>
      <c r="O293" s="4">
        <v>5011</v>
      </c>
      <c r="P293" s="4">
        <v>9618.69</v>
      </c>
      <c r="Q293">
        <v>4</v>
      </c>
      <c r="R293">
        <v>0</v>
      </c>
      <c r="S293" t="s">
        <v>44</v>
      </c>
      <c r="T293">
        <v>5</v>
      </c>
      <c r="U293" t="s">
        <v>45</v>
      </c>
      <c r="V293" t="s">
        <v>46</v>
      </c>
    </row>
    <row r="294" spans="1:22">
      <c r="A294" t="s">
        <v>692</v>
      </c>
      <c r="B294" t="s">
        <v>67</v>
      </c>
      <c r="C294" t="s">
        <v>68</v>
      </c>
      <c r="D294" t="s">
        <v>227</v>
      </c>
      <c r="E294" t="s">
        <v>227</v>
      </c>
      <c r="F294" t="s">
        <v>70</v>
      </c>
      <c r="G294" t="s">
        <v>71</v>
      </c>
      <c r="H294" t="s">
        <v>70</v>
      </c>
      <c r="I294" t="s">
        <v>71</v>
      </c>
      <c r="J294" t="s">
        <v>41</v>
      </c>
      <c r="K294" t="s">
        <v>65</v>
      </c>
      <c r="L294" t="s">
        <v>43</v>
      </c>
      <c r="M294" s="5">
        <v>12.5</v>
      </c>
      <c r="N294">
        <v>574</v>
      </c>
      <c r="O294" s="4">
        <v>4195.7</v>
      </c>
      <c r="P294" s="4">
        <v>6527.41</v>
      </c>
      <c r="Q294">
        <v>8</v>
      </c>
      <c r="R294">
        <v>0</v>
      </c>
      <c r="S294" t="s">
        <v>44</v>
      </c>
      <c r="T294">
        <v>4</v>
      </c>
      <c r="U294" t="s">
        <v>45</v>
      </c>
      <c r="V294" t="s">
        <v>46</v>
      </c>
    </row>
    <row r="295" spans="1:22">
      <c r="A295" t="s">
        <v>693</v>
      </c>
      <c r="B295" t="s">
        <v>224</v>
      </c>
      <c r="C295" t="s">
        <v>120</v>
      </c>
      <c r="D295" t="s">
        <v>353</v>
      </c>
      <c r="E295" t="s">
        <v>176</v>
      </c>
      <c r="F295" t="s">
        <v>40</v>
      </c>
      <c r="G295" t="s">
        <v>40</v>
      </c>
      <c r="H295" t="s">
        <v>40</v>
      </c>
      <c r="I295" t="s">
        <v>40</v>
      </c>
      <c r="J295" t="s">
        <v>76</v>
      </c>
      <c r="K295" t="s">
        <v>42</v>
      </c>
      <c r="L295" t="s">
        <v>77</v>
      </c>
      <c r="M295" s="5">
        <v>16</v>
      </c>
      <c r="N295">
        <v>716</v>
      </c>
      <c r="O295" s="4">
        <v>4748.8</v>
      </c>
      <c r="P295" s="4">
        <v>6449.85</v>
      </c>
      <c r="Q295">
        <v>3</v>
      </c>
      <c r="R295">
        <v>0</v>
      </c>
      <c r="S295" t="s">
        <v>44</v>
      </c>
      <c r="T295">
        <v>5</v>
      </c>
      <c r="U295" t="s">
        <v>45</v>
      </c>
      <c r="V295" t="s">
        <v>46</v>
      </c>
    </row>
    <row r="296" spans="1:22">
      <c r="A296" t="s">
        <v>694</v>
      </c>
      <c r="B296" t="s">
        <v>355</v>
      </c>
      <c r="C296" t="s">
        <v>283</v>
      </c>
      <c r="D296" t="s">
        <v>695</v>
      </c>
      <c r="E296" t="s">
        <v>311</v>
      </c>
      <c r="F296" t="s">
        <v>52</v>
      </c>
      <c r="G296" t="s">
        <v>53</v>
      </c>
      <c r="H296" t="s">
        <v>54</v>
      </c>
      <c r="I296" t="s">
        <v>54</v>
      </c>
      <c r="J296" t="s">
        <v>76</v>
      </c>
      <c r="K296" t="s">
        <v>65</v>
      </c>
      <c r="L296" t="s">
        <v>118</v>
      </c>
      <c r="M296" s="5">
        <v>8</v>
      </c>
      <c r="N296">
        <v>2090</v>
      </c>
      <c r="O296" s="4">
        <v>6542</v>
      </c>
      <c r="P296" s="4">
        <v>8536.42</v>
      </c>
      <c r="Q296">
        <v>5</v>
      </c>
      <c r="R296">
        <v>0</v>
      </c>
      <c r="S296" t="s">
        <v>44</v>
      </c>
      <c r="T296">
        <v>5</v>
      </c>
      <c r="U296" t="s">
        <v>45</v>
      </c>
      <c r="V296" t="s">
        <v>46</v>
      </c>
    </row>
    <row r="297" spans="1:22">
      <c r="A297" t="s">
        <v>696</v>
      </c>
      <c r="B297" t="s">
        <v>328</v>
      </c>
      <c r="C297" t="s">
        <v>155</v>
      </c>
      <c r="D297" t="s">
        <v>204</v>
      </c>
      <c r="E297" t="s">
        <v>453</v>
      </c>
      <c r="F297" t="s">
        <v>70</v>
      </c>
      <c r="G297" t="s">
        <v>71</v>
      </c>
      <c r="H297" t="s">
        <v>70</v>
      </c>
      <c r="I297" t="s">
        <v>71</v>
      </c>
      <c r="J297" t="s">
        <v>76</v>
      </c>
      <c r="K297" t="s">
        <v>42</v>
      </c>
      <c r="L297" t="s">
        <v>87</v>
      </c>
      <c r="M297" s="5">
        <v>2.6</v>
      </c>
      <c r="N297">
        <v>1078</v>
      </c>
      <c r="O297" s="4">
        <v>4261.3999999999996</v>
      </c>
      <c r="P297" s="4">
        <v>6084.2</v>
      </c>
      <c r="Q297">
        <v>4</v>
      </c>
      <c r="R297">
        <v>0</v>
      </c>
      <c r="S297" t="s">
        <v>44</v>
      </c>
      <c r="T297">
        <v>5</v>
      </c>
      <c r="U297" t="s">
        <v>220</v>
      </c>
      <c r="V297" t="s">
        <v>46</v>
      </c>
    </row>
    <row r="298" spans="1:22">
      <c r="A298" t="s">
        <v>697</v>
      </c>
      <c r="B298" t="s">
        <v>226</v>
      </c>
      <c r="C298" t="s">
        <v>69</v>
      </c>
      <c r="D298" t="s">
        <v>223</v>
      </c>
      <c r="E298" t="s">
        <v>222</v>
      </c>
      <c r="F298" t="s">
        <v>40</v>
      </c>
      <c r="G298" t="s">
        <v>40</v>
      </c>
      <c r="H298" t="s">
        <v>52</v>
      </c>
      <c r="I298" t="s">
        <v>53</v>
      </c>
      <c r="J298" t="s">
        <v>141</v>
      </c>
      <c r="K298" t="s">
        <v>65</v>
      </c>
      <c r="L298" t="s">
        <v>77</v>
      </c>
      <c r="M298" s="5">
        <v>6.8</v>
      </c>
      <c r="N298">
        <v>2040</v>
      </c>
      <c r="O298" s="4">
        <v>6350</v>
      </c>
      <c r="P298" s="4">
        <v>11321.59</v>
      </c>
      <c r="Q298">
        <v>6</v>
      </c>
      <c r="R298">
        <v>0</v>
      </c>
      <c r="S298" t="s">
        <v>44</v>
      </c>
      <c r="T298">
        <v>4</v>
      </c>
      <c r="U298" t="s">
        <v>45</v>
      </c>
      <c r="V298" t="s">
        <v>46</v>
      </c>
    </row>
    <row r="299" spans="1:22">
      <c r="A299" t="s">
        <v>698</v>
      </c>
      <c r="B299" t="s">
        <v>178</v>
      </c>
      <c r="C299" t="s">
        <v>180</v>
      </c>
      <c r="D299" t="s">
        <v>303</v>
      </c>
      <c r="E299" t="s">
        <v>303</v>
      </c>
      <c r="F299" t="s">
        <v>54</v>
      </c>
      <c r="G299" t="s">
        <v>54</v>
      </c>
      <c r="H299" t="s">
        <v>54</v>
      </c>
      <c r="I299" t="s">
        <v>54</v>
      </c>
      <c r="J299" t="s">
        <v>41</v>
      </c>
      <c r="K299" t="s">
        <v>65</v>
      </c>
      <c r="L299" t="s">
        <v>118</v>
      </c>
      <c r="M299" s="5">
        <v>2.2999999999999998</v>
      </c>
      <c r="N299">
        <v>336</v>
      </c>
      <c r="O299" s="4">
        <v>2900.3</v>
      </c>
      <c r="P299" s="4">
        <v>4629.5200000000004</v>
      </c>
      <c r="Q299">
        <v>8</v>
      </c>
      <c r="R299">
        <v>0</v>
      </c>
      <c r="S299" t="s">
        <v>44</v>
      </c>
      <c r="T299">
        <v>4</v>
      </c>
      <c r="U299" t="s">
        <v>45</v>
      </c>
      <c r="V299" t="s">
        <v>46</v>
      </c>
    </row>
    <row r="300" spans="1:22">
      <c r="A300" t="s">
        <v>699</v>
      </c>
      <c r="B300" t="s">
        <v>386</v>
      </c>
      <c r="C300" t="s">
        <v>102</v>
      </c>
      <c r="D300" t="s">
        <v>464</v>
      </c>
      <c r="E300" t="s">
        <v>103</v>
      </c>
      <c r="F300" t="s">
        <v>82</v>
      </c>
      <c r="G300" t="s">
        <v>82</v>
      </c>
      <c r="H300" t="s">
        <v>70</v>
      </c>
      <c r="I300" t="s">
        <v>71</v>
      </c>
      <c r="J300" t="s">
        <v>76</v>
      </c>
      <c r="K300" t="s">
        <v>72</v>
      </c>
      <c r="L300" t="s">
        <v>77</v>
      </c>
      <c r="M300" s="5">
        <v>16.5</v>
      </c>
      <c r="N300">
        <v>1258</v>
      </c>
      <c r="O300" s="4">
        <v>7446.9</v>
      </c>
      <c r="P300" s="4">
        <v>15313.38</v>
      </c>
      <c r="Q300">
        <v>1</v>
      </c>
      <c r="R300">
        <v>0</v>
      </c>
      <c r="S300" t="s">
        <v>44</v>
      </c>
      <c r="T300">
        <v>5</v>
      </c>
      <c r="U300" t="s">
        <v>45</v>
      </c>
      <c r="V300" t="s">
        <v>46</v>
      </c>
    </row>
    <row r="301" spans="1:22">
      <c r="A301" t="s">
        <v>700</v>
      </c>
      <c r="B301" t="s">
        <v>382</v>
      </c>
      <c r="C301" t="s">
        <v>459</v>
      </c>
      <c r="D301" t="s">
        <v>154</v>
      </c>
      <c r="E301" t="s">
        <v>155</v>
      </c>
      <c r="F301" t="s">
        <v>82</v>
      </c>
      <c r="G301" t="s">
        <v>82</v>
      </c>
      <c r="H301" t="s">
        <v>52</v>
      </c>
      <c r="I301" t="s">
        <v>53</v>
      </c>
      <c r="J301" t="s">
        <v>41</v>
      </c>
      <c r="K301" t="s">
        <v>65</v>
      </c>
      <c r="L301" t="s">
        <v>87</v>
      </c>
      <c r="M301" s="5">
        <v>0.6</v>
      </c>
      <c r="N301">
        <v>1467</v>
      </c>
      <c r="O301" s="4">
        <v>4791.6000000000004</v>
      </c>
      <c r="P301" s="4">
        <v>7925</v>
      </c>
      <c r="Q301">
        <v>7</v>
      </c>
      <c r="R301">
        <v>0</v>
      </c>
      <c r="S301" t="s">
        <v>44</v>
      </c>
      <c r="T301">
        <v>4</v>
      </c>
      <c r="U301" t="s">
        <v>45</v>
      </c>
      <c r="V301" t="s">
        <v>46</v>
      </c>
    </row>
    <row r="302" spans="1:22">
      <c r="A302" t="s">
        <v>701</v>
      </c>
      <c r="B302" t="s">
        <v>182</v>
      </c>
      <c r="C302" t="s">
        <v>185</v>
      </c>
      <c r="D302" t="s">
        <v>569</v>
      </c>
      <c r="E302" t="s">
        <v>184</v>
      </c>
      <c r="F302" t="s">
        <v>40</v>
      </c>
      <c r="G302" t="s">
        <v>40</v>
      </c>
      <c r="H302" t="s">
        <v>52</v>
      </c>
      <c r="I302" t="s">
        <v>53</v>
      </c>
      <c r="J302" t="s">
        <v>55</v>
      </c>
      <c r="K302" t="s">
        <v>42</v>
      </c>
      <c r="L302" t="s">
        <v>61</v>
      </c>
      <c r="M302" s="5">
        <v>1.9</v>
      </c>
      <c r="N302">
        <v>1212</v>
      </c>
      <c r="O302" s="4">
        <v>4443.1000000000004</v>
      </c>
      <c r="P302" s="4">
        <v>8579.11</v>
      </c>
      <c r="Q302">
        <v>4</v>
      </c>
      <c r="R302">
        <v>0</v>
      </c>
      <c r="S302" t="s">
        <v>44</v>
      </c>
      <c r="T302">
        <v>5</v>
      </c>
      <c r="U302" t="s">
        <v>45</v>
      </c>
      <c r="V302" t="s">
        <v>46</v>
      </c>
    </row>
    <row r="303" spans="1:22">
      <c r="A303" t="s">
        <v>702</v>
      </c>
      <c r="B303" t="s">
        <v>218</v>
      </c>
      <c r="C303" t="s">
        <v>218</v>
      </c>
      <c r="D303" t="s">
        <v>393</v>
      </c>
      <c r="E303" t="s">
        <v>58</v>
      </c>
      <c r="F303" t="s">
        <v>70</v>
      </c>
      <c r="G303" t="s">
        <v>71</v>
      </c>
      <c r="H303" t="s">
        <v>54</v>
      </c>
      <c r="I303" t="s">
        <v>54</v>
      </c>
      <c r="J303" t="s">
        <v>55</v>
      </c>
      <c r="K303" t="s">
        <v>72</v>
      </c>
      <c r="L303" t="s">
        <v>77</v>
      </c>
      <c r="M303" s="5">
        <v>14.2</v>
      </c>
      <c r="N303">
        <v>2038</v>
      </c>
      <c r="O303" s="4">
        <v>8655.4</v>
      </c>
      <c r="P303" s="4">
        <v>16597.169999999998</v>
      </c>
      <c r="Q303">
        <v>5</v>
      </c>
      <c r="R303">
        <v>3</v>
      </c>
      <c r="S303" t="s">
        <v>56</v>
      </c>
      <c r="T303">
        <v>4</v>
      </c>
      <c r="U303" t="s">
        <v>45</v>
      </c>
      <c r="V303" t="s">
        <v>46</v>
      </c>
    </row>
    <row r="304" spans="1:22">
      <c r="A304" t="s">
        <v>703</v>
      </c>
      <c r="B304" t="s">
        <v>115</v>
      </c>
      <c r="C304" t="s">
        <v>115</v>
      </c>
      <c r="D304" t="s">
        <v>252</v>
      </c>
      <c r="E304" t="s">
        <v>309</v>
      </c>
      <c r="F304" t="s">
        <v>54</v>
      </c>
      <c r="G304" t="s">
        <v>54</v>
      </c>
      <c r="H304" t="s">
        <v>70</v>
      </c>
      <c r="I304" t="s">
        <v>71</v>
      </c>
      <c r="J304" t="s">
        <v>55</v>
      </c>
      <c r="K304" t="s">
        <v>42</v>
      </c>
      <c r="L304" t="s">
        <v>77</v>
      </c>
      <c r="M304" s="5">
        <v>6</v>
      </c>
      <c r="N304">
        <v>1079</v>
      </c>
      <c r="O304" s="4">
        <v>4552.2</v>
      </c>
      <c r="P304" s="4">
        <v>8250.5400000000009</v>
      </c>
      <c r="Q304">
        <v>6</v>
      </c>
      <c r="R304">
        <v>1</v>
      </c>
      <c r="S304" t="s">
        <v>56</v>
      </c>
      <c r="T304">
        <v>5</v>
      </c>
      <c r="U304" t="s">
        <v>45</v>
      </c>
      <c r="V304" t="s">
        <v>46</v>
      </c>
    </row>
    <row r="305" spans="1:22">
      <c r="A305" t="s">
        <v>704</v>
      </c>
      <c r="B305" t="s">
        <v>243</v>
      </c>
      <c r="C305" t="s">
        <v>255</v>
      </c>
      <c r="D305" t="s">
        <v>134</v>
      </c>
      <c r="E305" t="s">
        <v>134</v>
      </c>
      <c r="F305" t="s">
        <v>40</v>
      </c>
      <c r="G305" t="s">
        <v>40</v>
      </c>
      <c r="H305" t="s">
        <v>82</v>
      </c>
      <c r="I305" t="s">
        <v>82</v>
      </c>
      <c r="J305" t="s">
        <v>141</v>
      </c>
      <c r="K305" t="s">
        <v>65</v>
      </c>
      <c r="L305" t="s">
        <v>43</v>
      </c>
      <c r="M305" s="5">
        <v>14.7</v>
      </c>
      <c r="N305">
        <v>1413</v>
      </c>
      <c r="O305" s="4">
        <v>5892.9</v>
      </c>
      <c r="P305" s="4">
        <v>8122.99</v>
      </c>
      <c r="Q305">
        <v>8</v>
      </c>
      <c r="R305">
        <v>0</v>
      </c>
      <c r="S305" t="s">
        <v>44</v>
      </c>
      <c r="T305">
        <v>5</v>
      </c>
      <c r="U305" t="s">
        <v>45</v>
      </c>
      <c r="V305" t="s">
        <v>46</v>
      </c>
    </row>
    <row r="306" spans="1:22">
      <c r="A306" t="s">
        <v>705</v>
      </c>
      <c r="B306" t="s">
        <v>213</v>
      </c>
      <c r="C306" t="s">
        <v>213</v>
      </c>
      <c r="D306" t="s">
        <v>155</v>
      </c>
      <c r="E306" t="s">
        <v>155</v>
      </c>
      <c r="F306" t="s">
        <v>40</v>
      </c>
      <c r="G306" t="s">
        <v>40</v>
      </c>
      <c r="H306" t="s">
        <v>40</v>
      </c>
      <c r="I306" t="s">
        <v>40</v>
      </c>
      <c r="J306" t="s">
        <v>55</v>
      </c>
      <c r="K306" t="s">
        <v>65</v>
      </c>
      <c r="L306" t="s">
        <v>118</v>
      </c>
      <c r="M306" s="5">
        <v>17.7</v>
      </c>
      <c r="N306">
        <v>1265</v>
      </c>
      <c r="O306" s="4">
        <v>5881.5</v>
      </c>
      <c r="P306" s="4">
        <v>8646.8700000000008</v>
      </c>
      <c r="Q306">
        <v>8</v>
      </c>
      <c r="R306">
        <v>0</v>
      </c>
      <c r="S306" t="s">
        <v>44</v>
      </c>
      <c r="T306">
        <v>5</v>
      </c>
      <c r="U306" t="s">
        <v>45</v>
      </c>
      <c r="V306" t="s">
        <v>46</v>
      </c>
    </row>
    <row r="307" spans="1:22">
      <c r="A307" t="s">
        <v>706</v>
      </c>
      <c r="B307" t="s">
        <v>158</v>
      </c>
      <c r="C307" t="s">
        <v>469</v>
      </c>
      <c r="D307" t="s">
        <v>301</v>
      </c>
      <c r="E307" t="s">
        <v>470</v>
      </c>
      <c r="F307" t="s">
        <v>70</v>
      </c>
      <c r="G307" t="s">
        <v>71</v>
      </c>
      <c r="H307" t="s">
        <v>40</v>
      </c>
      <c r="I307" t="s">
        <v>40</v>
      </c>
      <c r="J307" t="s">
        <v>141</v>
      </c>
      <c r="K307" t="s">
        <v>42</v>
      </c>
      <c r="L307" t="s">
        <v>61</v>
      </c>
      <c r="M307" s="5">
        <v>8.3000000000000007</v>
      </c>
      <c r="N307">
        <v>1798</v>
      </c>
      <c r="O307" s="4">
        <v>6041.9</v>
      </c>
      <c r="P307" s="4">
        <v>8386.6299999999992</v>
      </c>
      <c r="Q307">
        <v>2</v>
      </c>
      <c r="R307">
        <v>0</v>
      </c>
      <c r="S307" t="s">
        <v>44</v>
      </c>
      <c r="T307">
        <v>5</v>
      </c>
      <c r="U307" t="s">
        <v>45</v>
      </c>
      <c r="V307" t="s">
        <v>46</v>
      </c>
    </row>
    <row r="308" spans="1:22">
      <c r="A308" t="s">
        <v>707</v>
      </c>
      <c r="B308" t="s">
        <v>318</v>
      </c>
      <c r="C308" t="s">
        <v>363</v>
      </c>
      <c r="D308" t="s">
        <v>489</v>
      </c>
      <c r="E308" t="s">
        <v>364</v>
      </c>
      <c r="F308" t="s">
        <v>70</v>
      </c>
      <c r="G308" t="s">
        <v>71</v>
      </c>
      <c r="H308" t="s">
        <v>40</v>
      </c>
      <c r="I308" t="s">
        <v>40</v>
      </c>
      <c r="J308" t="s">
        <v>141</v>
      </c>
      <c r="K308" t="s">
        <v>72</v>
      </c>
      <c r="L308" t="s">
        <v>77</v>
      </c>
      <c r="M308" s="5">
        <v>8.4</v>
      </c>
      <c r="N308">
        <v>317</v>
      </c>
      <c r="O308" s="4">
        <v>5064.6000000000004</v>
      </c>
      <c r="P308" s="4">
        <v>9142.4699999999993</v>
      </c>
      <c r="Q308">
        <v>1</v>
      </c>
      <c r="R308">
        <v>0</v>
      </c>
      <c r="S308" t="s">
        <v>44</v>
      </c>
      <c r="T308">
        <v>5</v>
      </c>
      <c r="U308" t="s">
        <v>45</v>
      </c>
      <c r="V308" t="s">
        <v>46</v>
      </c>
    </row>
    <row r="309" spans="1:22">
      <c r="A309" t="s">
        <v>708</v>
      </c>
      <c r="B309" t="s">
        <v>384</v>
      </c>
      <c r="C309" t="s">
        <v>384</v>
      </c>
      <c r="D309" t="s">
        <v>470</v>
      </c>
      <c r="E309" t="s">
        <v>469</v>
      </c>
      <c r="F309" t="s">
        <v>70</v>
      </c>
      <c r="G309" t="s">
        <v>71</v>
      </c>
      <c r="H309" t="s">
        <v>40</v>
      </c>
      <c r="I309" t="s">
        <v>40</v>
      </c>
      <c r="J309" t="s">
        <v>141</v>
      </c>
      <c r="K309" t="s">
        <v>42</v>
      </c>
      <c r="L309" t="s">
        <v>77</v>
      </c>
      <c r="M309" s="5">
        <v>13.8</v>
      </c>
      <c r="N309">
        <v>885</v>
      </c>
      <c r="O309" s="4">
        <v>4866</v>
      </c>
      <c r="P309" s="4">
        <v>8897.44</v>
      </c>
      <c r="Q309">
        <v>3</v>
      </c>
      <c r="R309">
        <v>0</v>
      </c>
      <c r="S309" t="s">
        <v>44</v>
      </c>
      <c r="T309">
        <v>4</v>
      </c>
      <c r="U309" t="s">
        <v>45</v>
      </c>
      <c r="V309" t="s">
        <v>46</v>
      </c>
    </row>
    <row r="310" spans="1:22">
      <c r="A310" t="s">
        <v>709</v>
      </c>
      <c r="B310" t="s">
        <v>254</v>
      </c>
      <c r="C310" t="s">
        <v>187</v>
      </c>
      <c r="D310" t="s">
        <v>380</v>
      </c>
      <c r="E310" t="s">
        <v>279</v>
      </c>
      <c r="F310" t="s">
        <v>40</v>
      </c>
      <c r="G310" t="s">
        <v>40</v>
      </c>
      <c r="H310" t="s">
        <v>70</v>
      </c>
      <c r="I310" t="s">
        <v>71</v>
      </c>
      <c r="J310" t="s">
        <v>41</v>
      </c>
      <c r="K310" t="s">
        <v>42</v>
      </c>
      <c r="L310" t="s">
        <v>61</v>
      </c>
      <c r="M310" s="5">
        <v>13.1</v>
      </c>
      <c r="N310">
        <v>1040</v>
      </c>
      <c r="O310" s="4">
        <v>5085.5</v>
      </c>
      <c r="P310" s="4">
        <v>8703.2199999999993</v>
      </c>
      <c r="Q310">
        <v>3</v>
      </c>
      <c r="R310">
        <v>0</v>
      </c>
      <c r="S310" t="s">
        <v>44</v>
      </c>
      <c r="T310">
        <v>4</v>
      </c>
      <c r="U310" t="s">
        <v>45</v>
      </c>
      <c r="V310" t="s">
        <v>46</v>
      </c>
    </row>
    <row r="311" spans="1:22">
      <c r="A311" t="s">
        <v>710</v>
      </c>
      <c r="B311" t="s">
        <v>48</v>
      </c>
      <c r="C311" t="s">
        <v>48</v>
      </c>
      <c r="D311" t="s">
        <v>49</v>
      </c>
      <c r="E311" t="s">
        <v>653</v>
      </c>
      <c r="F311" t="s">
        <v>54</v>
      </c>
      <c r="G311" t="s">
        <v>54</v>
      </c>
      <c r="H311" t="s">
        <v>54</v>
      </c>
      <c r="I311" t="s">
        <v>54</v>
      </c>
      <c r="J311" t="s">
        <v>41</v>
      </c>
      <c r="K311" t="s">
        <v>72</v>
      </c>
      <c r="L311" t="s">
        <v>118</v>
      </c>
      <c r="M311" s="5">
        <v>11.1</v>
      </c>
      <c r="N311">
        <v>772</v>
      </c>
      <c r="O311" s="4">
        <v>6113.1</v>
      </c>
      <c r="P311" s="4">
        <v>10463.969999999999</v>
      </c>
      <c r="Q311">
        <v>4</v>
      </c>
      <c r="R311">
        <v>2</v>
      </c>
      <c r="S311" t="s">
        <v>56</v>
      </c>
      <c r="T311">
        <v>4</v>
      </c>
      <c r="U311" t="s">
        <v>45</v>
      </c>
      <c r="V311" t="s">
        <v>46</v>
      </c>
    </row>
    <row r="312" spans="1:22">
      <c r="A312" t="s">
        <v>711</v>
      </c>
      <c r="B312" t="s">
        <v>218</v>
      </c>
      <c r="C312" t="s">
        <v>218</v>
      </c>
      <c r="D312" t="s">
        <v>627</v>
      </c>
      <c r="E312" t="s">
        <v>358</v>
      </c>
      <c r="F312" t="s">
        <v>40</v>
      </c>
      <c r="G312" t="s">
        <v>40</v>
      </c>
      <c r="H312" t="s">
        <v>54</v>
      </c>
      <c r="I312" t="s">
        <v>54</v>
      </c>
      <c r="J312" t="s">
        <v>76</v>
      </c>
      <c r="K312" t="s">
        <v>65</v>
      </c>
      <c r="L312" t="s">
        <v>118</v>
      </c>
      <c r="M312" s="5">
        <v>4.7</v>
      </c>
      <c r="N312">
        <v>2073</v>
      </c>
      <c r="O312" s="4">
        <v>6230.9</v>
      </c>
      <c r="P312" s="4">
        <v>9212.2099999999991</v>
      </c>
      <c r="Q312">
        <v>6</v>
      </c>
      <c r="R312">
        <v>0</v>
      </c>
      <c r="S312" t="s">
        <v>44</v>
      </c>
      <c r="T312">
        <v>5</v>
      </c>
      <c r="U312" t="s">
        <v>45</v>
      </c>
      <c r="V312" t="s">
        <v>46</v>
      </c>
    </row>
    <row r="313" spans="1:22">
      <c r="A313" t="s">
        <v>712</v>
      </c>
      <c r="B313" t="s">
        <v>377</v>
      </c>
      <c r="C313" t="s">
        <v>245</v>
      </c>
      <c r="D313" t="s">
        <v>314</v>
      </c>
      <c r="E313" t="s">
        <v>412</v>
      </c>
      <c r="F313" t="s">
        <v>70</v>
      </c>
      <c r="G313" t="s">
        <v>71</v>
      </c>
      <c r="H313" t="s">
        <v>82</v>
      </c>
      <c r="I313" t="s">
        <v>82</v>
      </c>
      <c r="J313" t="s">
        <v>55</v>
      </c>
      <c r="K313" t="s">
        <v>42</v>
      </c>
      <c r="L313" t="s">
        <v>118</v>
      </c>
      <c r="M313" s="5">
        <v>4.3</v>
      </c>
      <c r="N313">
        <v>1731</v>
      </c>
      <c r="O313" s="4">
        <v>5581.3</v>
      </c>
      <c r="P313" s="4">
        <v>7913.61</v>
      </c>
      <c r="Q313">
        <v>7</v>
      </c>
      <c r="R313">
        <v>2</v>
      </c>
      <c r="S313" t="s">
        <v>56</v>
      </c>
      <c r="T313">
        <v>4</v>
      </c>
      <c r="U313" t="s">
        <v>45</v>
      </c>
      <c r="V313" t="s">
        <v>46</v>
      </c>
    </row>
    <row r="314" spans="1:22">
      <c r="A314" t="s">
        <v>713</v>
      </c>
      <c r="B314" t="s">
        <v>287</v>
      </c>
      <c r="C314" t="s">
        <v>355</v>
      </c>
      <c r="D314" t="s">
        <v>479</v>
      </c>
      <c r="E314" t="s">
        <v>398</v>
      </c>
      <c r="F314" t="s">
        <v>54</v>
      </c>
      <c r="G314" t="s">
        <v>54</v>
      </c>
      <c r="H314" t="s">
        <v>70</v>
      </c>
      <c r="I314" t="s">
        <v>71</v>
      </c>
      <c r="J314" t="s">
        <v>141</v>
      </c>
      <c r="K314" t="s">
        <v>42</v>
      </c>
      <c r="L314" t="s">
        <v>77</v>
      </c>
      <c r="M314" s="5">
        <v>15.9</v>
      </c>
      <c r="N314">
        <v>1145</v>
      </c>
      <c r="O314" s="4">
        <v>5512.5</v>
      </c>
      <c r="P314" s="4">
        <v>11516.91</v>
      </c>
      <c r="Q314">
        <v>3</v>
      </c>
      <c r="R314">
        <v>0</v>
      </c>
      <c r="S314" t="s">
        <v>44</v>
      </c>
      <c r="T314">
        <v>5</v>
      </c>
      <c r="U314" t="s">
        <v>45</v>
      </c>
      <c r="V314" t="s">
        <v>46</v>
      </c>
    </row>
    <row r="315" spans="1:22">
      <c r="A315" t="s">
        <v>714</v>
      </c>
      <c r="B315" t="s">
        <v>188</v>
      </c>
      <c r="C315" t="s">
        <v>585</v>
      </c>
      <c r="D315" t="s">
        <v>133</v>
      </c>
      <c r="E315" t="s">
        <v>380</v>
      </c>
      <c r="F315" t="s">
        <v>70</v>
      </c>
      <c r="G315" t="s">
        <v>71</v>
      </c>
      <c r="H315" t="s">
        <v>82</v>
      </c>
      <c r="I315" t="s">
        <v>82</v>
      </c>
      <c r="J315" t="s">
        <v>141</v>
      </c>
      <c r="K315" t="s">
        <v>72</v>
      </c>
      <c r="L315" t="s">
        <v>87</v>
      </c>
      <c r="M315" s="5">
        <v>1.6</v>
      </c>
      <c r="N315">
        <v>2010</v>
      </c>
      <c r="O315" s="4">
        <v>7534</v>
      </c>
      <c r="P315" s="4">
        <v>15583.9</v>
      </c>
      <c r="Q315">
        <v>1</v>
      </c>
      <c r="R315">
        <v>0</v>
      </c>
      <c r="S315" t="s">
        <v>44</v>
      </c>
      <c r="T315">
        <v>5</v>
      </c>
      <c r="U315" t="s">
        <v>45</v>
      </c>
      <c r="V315" t="s">
        <v>46</v>
      </c>
    </row>
    <row r="316" spans="1:22">
      <c r="A316" t="s">
        <v>715</v>
      </c>
      <c r="B316" t="s">
        <v>448</v>
      </c>
      <c r="C316" t="s">
        <v>448</v>
      </c>
      <c r="D316" t="s">
        <v>144</v>
      </c>
      <c r="E316" t="s">
        <v>227</v>
      </c>
      <c r="F316" t="s">
        <v>52</v>
      </c>
      <c r="G316" t="s">
        <v>53</v>
      </c>
      <c r="H316" t="s">
        <v>70</v>
      </c>
      <c r="I316" t="s">
        <v>71</v>
      </c>
      <c r="J316" t="s">
        <v>141</v>
      </c>
      <c r="K316" t="s">
        <v>42</v>
      </c>
      <c r="L316" t="s">
        <v>61</v>
      </c>
      <c r="M316" s="5">
        <v>2.7</v>
      </c>
      <c r="N316">
        <v>1726</v>
      </c>
      <c r="O316" s="4">
        <v>5436.3</v>
      </c>
      <c r="P316" s="4">
        <v>9253.59</v>
      </c>
      <c r="Q316">
        <v>2</v>
      </c>
      <c r="R316">
        <v>0</v>
      </c>
      <c r="S316" t="s">
        <v>44</v>
      </c>
      <c r="T316">
        <v>5</v>
      </c>
      <c r="U316" t="s">
        <v>45</v>
      </c>
      <c r="V316" t="s">
        <v>46</v>
      </c>
    </row>
    <row r="317" spans="1:22">
      <c r="A317" t="s">
        <v>716</v>
      </c>
      <c r="B317" t="s">
        <v>464</v>
      </c>
      <c r="C317" t="s">
        <v>164</v>
      </c>
      <c r="D317" t="s">
        <v>469</v>
      </c>
      <c r="E317" t="s">
        <v>572</v>
      </c>
      <c r="F317" t="s">
        <v>52</v>
      </c>
      <c r="G317" t="s">
        <v>53</v>
      </c>
      <c r="H317" t="s">
        <v>82</v>
      </c>
      <c r="I317" t="s">
        <v>82</v>
      </c>
      <c r="J317" t="s">
        <v>55</v>
      </c>
      <c r="K317" t="s">
        <v>65</v>
      </c>
      <c r="L317" t="s">
        <v>61</v>
      </c>
      <c r="M317" s="5">
        <v>6.4</v>
      </c>
      <c r="N317">
        <v>1970</v>
      </c>
      <c r="O317" s="4">
        <v>6190</v>
      </c>
      <c r="P317" s="4">
        <v>10338.48</v>
      </c>
      <c r="Q317">
        <v>7</v>
      </c>
      <c r="R317">
        <v>0</v>
      </c>
      <c r="S317" t="s">
        <v>44</v>
      </c>
      <c r="T317">
        <v>5</v>
      </c>
      <c r="U317" t="s">
        <v>45</v>
      </c>
      <c r="V317" t="s">
        <v>46</v>
      </c>
    </row>
    <row r="318" spans="1:22">
      <c r="A318" t="s">
        <v>717</v>
      </c>
      <c r="B318" t="s">
        <v>240</v>
      </c>
      <c r="C318" t="s">
        <v>436</v>
      </c>
      <c r="D318" t="s">
        <v>216</v>
      </c>
      <c r="E318" t="s">
        <v>217</v>
      </c>
      <c r="F318" t="s">
        <v>40</v>
      </c>
      <c r="G318" t="s">
        <v>40</v>
      </c>
      <c r="H318" t="s">
        <v>82</v>
      </c>
      <c r="I318" t="s">
        <v>82</v>
      </c>
      <c r="J318" t="s">
        <v>141</v>
      </c>
      <c r="K318" t="s">
        <v>65</v>
      </c>
      <c r="L318" t="s">
        <v>118</v>
      </c>
      <c r="M318" s="5">
        <v>0.8</v>
      </c>
      <c r="N318">
        <v>698</v>
      </c>
      <c r="O318" s="4">
        <v>3424.4</v>
      </c>
      <c r="P318" s="4">
        <v>6835.02</v>
      </c>
      <c r="Q318">
        <v>9</v>
      </c>
      <c r="R318">
        <v>1</v>
      </c>
      <c r="S318" t="s">
        <v>56</v>
      </c>
      <c r="T318">
        <v>5</v>
      </c>
      <c r="U318" t="s">
        <v>45</v>
      </c>
      <c r="V318" t="s">
        <v>46</v>
      </c>
    </row>
    <row r="319" spans="1:22">
      <c r="A319" t="s">
        <v>718</v>
      </c>
      <c r="B319" t="s">
        <v>278</v>
      </c>
      <c r="C319" t="s">
        <v>278</v>
      </c>
      <c r="D319" t="s">
        <v>279</v>
      </c>
      <c r="E319" t="s">
        <v>188</v>
      </c>
      <c r="F319" t="s">
        <v>70</v>
      </c>
      <c r="G319" t="s">
        <v>71</v>
      </c>
      <c r="H319" t="s">
        <v>82</v>
      </c>
      <c r="I319" t="s">
        <v>82</v>
      </c>
      <c r="J319" t="s">
        <v>55</v>
      </c>
      <c r="K319" t="s">
        <v>72</v>
      </c>
      <c r="L319" t="s">
        <v>77</v>
      </c>
      <c r="M319" s="5">
        <v>6.4</v>
      </c>
      <c r="N319">
        <v>1342</v>
      </c>
      <c r="O319" s="4">
        <v>6739.6</v>
      </c>
      <c r="P319" s="4">
        <v>13176.78</v>
      </c>
      <c r="Q319">
        <v>1</v>
      </c>
      <c r="R319">
        <v>0</v>
      </c>
      <c r="S319" t="s">
        <v>44</v>
      </c>
      <c r="T319">
        <v>5</v>
      </c>
      <c r="U319" t="s">
        <v>45</v>
      </c>
      <c r="V319" t="s">
        <v>46</v>
      </c>
    </row>
    <row r="320" spans="1:22">
      <c r="A320" t="s">
        <v>719</v>
      </c>
      <c r="B320" t="s">
        <v>236</v>
      </c>
      <c r="C320" t="s">
        <v>236</v>
      </c>
      <c r="D320" t="s">
        <v>347</v>
      </c>
      <c r="E320" t="s">
        <v>455</v>
      </c>
      <c r="F320" t="s">
        <v>54</v>
      </c>
      <c r="G320" t="s">
        <v>54</v>
      </c>
      <c r="H320" t="s">
        <v>82</v>
      </c>
      <c r="I320" t="s">
        <v>82</v>
      </c>
      <c r="J320" t="s">
        <v>76</v>
      </c>
      <c r="K320" t="s">
        <v>42</v>
      </c>
      <c r="L320" t="s">
        <v>77</v>
      </c>
      <c r="M320" s="5">
        <v>0.9</v>
      </c>
      <c r="N320">
        <v>1930</v>
      </c>
      <c r="O320" s="4">
        <v>5650.5</v>
      </c>
      <c r="P320" s="4">
        <v>10328.540000000001</v>
      </c>
      <c r="Q320">
        <v>7</v>
      </c>
      <c r="R320">
        <v>2</v>
      </c>
      <c r="S320" t="s">
        <v>56</v>
      </c>
      <c r="T320">
        <v>4</v>
      </c>
      <c r="U320" t="s">
        <v>220</v>
      </c>
      <c r="V320" t="s">
        <v>46</v>
      </c>
    </row>
    <row r="321" spans="1:22">
      <c r="A321" t="s">
        <v>720</v>
      </c>
      <c r="B321" t="s">
        <v>353</v>
      </c>
      <c r="C321" t="s">
        <v>175</v>
      </c>
      <c r="D321" t="s">
        <v>555</v>
      </c>
      <c r="E321" t="s">
        <v>555</v>
      </c>
      <c r="F321" t="s">
        <v>82</v>
      </c>
      <c r="G321" t="s">
        <v>82</v>
      </c>
      <c r="H321" t="s">
        <v>82</v>
      </c>
      <c r="I321" t="s">
        <v>82</v>
      </c>
      <c r="J321" t="s">
        <v>76</v>
      </c>
      <c r="K321" t="s">
        <v>42</v>
      </c>
      <c r="L321" t="s">
        <v>43</v>
      </c>
      <c r="M321" s="5">
        <v>10.199999999999999</v>
      </c>
      <c r="N321">
        <v>1472</v>
      </c>
      <c r="O321" s="4">
        <v>5616.6</v>
      </c>
      <c r="P321" s="4">
        <v>10487.08</v>
      </c>
      <c r="Q321">
        <v>5</v>
      </c>
      <c r="R321">
        <v>0</v>
      </c>
      <c r="S321" t="s">
        <v>44</v>
      </c>
      <c r="T321">
        <v>5</v>
      </c>
      <c r="U321" t="s">
        <v>45</v>
      </c>
      <c r="V321" t="s">
        <v>46</v>
      </c>
    </row>
    <row r="322" spans="1:22">
      <c r="A322" t="s">
        <v>721</v>
      </c>
      <c r="B322" t="s">
        <v>486</v>
      </c>
      <c r="C322" t="s">
        <v>80</v>
      </c>
      <c r="D322" t="s">
        <v>153</v>
      </c>
      <c r="E322" t="s">
        <v>483</v>
      </c>
      <c r="F322" t="s">
        <v>82</v>
      </c>
      <c r="G322" t="s">
        <v>82</v>
      </c>
      <c r="H322" t="s">
        <v>54</v>
      </c>
      <c r="I322" t="s">
        <v>54</v>
      </c>
      <c r="J322" t="s">
        <v>76</v>
      </c>
      <c r="K322" t="s">
        <v>65</v>
      </c>
      <c r="L322" t="s">
        <v>77</v>
      </c>
      <c r="M322" s="5">
        <v>10.3</v>
      </c>
      <c r="N322">
        <v>2164</v>
      </c>
      <c r="O322" s="4">
        <v>6870.7</v>
      </c>
      <c r="P322" s="4">
        <v>10920.6</v>
      </c>
      <c r="Q322">
        <v>7</v>
      </c>
      <c r="R322">
        <v>0</v>
      </c>
      <c r="S322" t="s">
        <v>44</v>
      </c>
      <c r="T322">
        <v>5</v>
      </c>
      <c r="U322" t="s">
        <v>45</v>
      </c>
      <c r="V322" t="s">
        <v>46</v>
      </c>
    </row>
    <row r="323" spans="1:22">
      <c r="A323" t="s">
        <v>722</v>
      </c>
      <c r="B323" t="s">
        <v>723</v>
      </c>
      <c r="C323" t="s">
        <v>723</v>
      </c>
      <c r="D323" t="s">
        <v>149</v>
      </c>
      <c r="E323" t="s">
        <v>724</v>
      </c>
      <c r="F323" t="s">
        <v>52</v>
      </c>
      <c r="G323" t="s">
        <v>53</v>
      </c>
      <c r="H323" t="s">
        <v>70</v>
      </c>
      <c r="I323" t="s">
        <v>71</v>
      </c>
      <c r="J323" t="s">
        <v>55</v>
      </c>
      <c r="K323" t="s">
        <v>42</v>
      </c>
      <c r="L323" t="s">
        <v>61</v>
      </c>
      <c r="M323" s="5">
        <v>10.6</v>
      </c>
      <c r="N323">
        <v>743</v>
      </c>
      <c r="O323" s="4">
        <v>4338.3999999999996</v>
      </c>
      <c r="P323" s="4">
        <v>8683.52</v>
      </c>
      <c r="Q323">
        <v>8</v>
      </c>
      <c r="R323">
        <v>3</v>
      </c>
      <c r="S323" t="s">
        <v>56</v>
      </c>
      <c r="T323">
        <v>4</v>
      </c>
      <c r="U323" t="s">
        <v>45</v>
      </c>
      <c r="V323" t="s">
        <v>46</v>
      </c>
    </row>
    <row r="324" spans="1:22">
      <c r="A324" t="s">
        <v>725</v>
      </c>
      <c r="B324" t="s">
        <v>268</v>
      </c>
      <c r="C324" t="s">
        <v>268</v>
      </c>
      <c r="D324" t="s">
        <v>597</v>
      </c>
      <c r="E324" t="s">
        <v>726</v>
      </c>
      <c r="F324" t="s">
        <v>70</v>
      </c>
      <c r="G324" t="s">
        <v>71</v>
      </c>
      <c r="H324" t="s">
        <v>40</v>
      </c>
      <c r="I324" t="s">
        <v>40</v>
      </c>
      <c r="J324" t="s">
        <v>55</v>
      </c>
      <c r="K324" t="s">
        <v>72</v>
      </c>
      <c r="L324" t="s">
        <v>118</v>
      </c>
      <c r="M324" s="5">
        <v>0.6</v>
      </c>
      <c r="N324">
        <v>1047</v>
      </c>
      <c r="O324" s="4">
        <v>5715.6</v>
      </c>
      <c r="P324" s="4">
        <v>11250.4</v>
      </c>
      <c r="Q324">
        <v>3</v>
      </c>
      <c r="R324">
        <v>1</v>
      </c>
      <c r="S324" t="s">
        <v>56</v>
      </c>
      <c r="T324">
        <v>5</v>
      </c>
      <c r="U324" t="s">
        <v>45</v>
      </c>
      <c r="V324" t="s">
        <v>46</v>
      </c>
    </row>
    <row r="325" spans="1:22">
      <c r="A325" t="s">
        <v>727</v>
      </c>
      <c r="B325" t="s">
        <v>393</v>
      </c>
      <c r="C325" t="s">
        <v>297</v>
      </c>
      <c r="D325" t="s">
        <v>627</v>
      </c>
      <c r="E325" t="s">
        <v>60</v>
      </c>
      <c r="F325" t="s">
        <v>82</v>
      </c>
      <c r="G325" t="s">
        <v>82</v>
      </c>
      <c r="H325" t="s">
        <v>52</v>
      </c>
      <c r="I325" t="s">
        <v>53</v>
      </c>
      <c r="J325" t="s">
        <v>55</v>
      </c>
      <c r="K325" t="s">
        <v>42</v>
      </c>
      <c r="L325" t="s">
        <v>118</v>
      </c>
      <c r="M325" s="5">
        <v>3.1</v>
      </c>
      <c r="N325">
        <v>1464</v>
      </c>
      <c r="O325" s="4">
        <v>4998.7</v>
      </c>
      <c r="P325" s="4">
        <v>9127.35</v>
      </c>
      <c r="Q325">
        <v>8</v>
      </c>
      <c r="R325">
        <v>3</v>
      </c>
      <c r="S325" t="s">
        <v>56</v>
      </c>
      <c r="T325">
        <v>3</v>
      </c>
      <c r="U325" t="s">
        <v>45</v>
      </c>
      <c r="V325" t="s">
        <v>46</v>
      </c>
    </row>
    <row r="326" spans="1:22">
      <c r="A326" t="s">
        <v>728</v>
      </c>
      <c r="B326" t="s">
        <v>550</v>
      </c>
      <c r="C326" t="s">
        <v>470</v>
      </c>
      <c r="D326" t="s">
        <v>139</v>
      </c>
      <c r="E326" t="s">
        <v>299</v>
      </c>
      <c r="F326" t="s">
        <v>40</v>
      </c>
      <c r="G326" t="s">
        <v>40</v>
      </c>
      <c r="H326" t="s">
        <v>52</v>
      </c>
      <c r="I326" t="s">
        <v>53</v>
      </c>
      <c r="J326" t="s">
        <v>55</v>
      </c>
      <c r="K326" t="s">
        <v>72</v>
      </c>
      <c r="L326" t="s">
        <v>87</v>
      </c>
      <c r="M326" s="5">
        <v>4</v>
      </c>
      <c r="N326">
        <v>790</v>
      </c>
      <c r="O326" s="4">
        <v>5542</v>
      </c>
      <c r="P326" s="4">
        <v>11163.54</v>
      </c>
      <c r="Q326">
        <v>1</v>
      </c>
      <c r="R326">
        <v>0</v>
      </c>
      <c r="S326" t="s">
        <v>44</v>
      </c>
      <c r="T326">
        <v>5</v>
      </c>
      <c r="U326" t="s">
        <v>45</v>
      </c>
      <c r="V326" t="s">
        <v>46</v>
      </c>
    </row>
    <row r="327" spans="1:22">
      <c r="A327" t="s">
        <v>729</v>
      </c>
      <c r="B327" t="s">
        <v>295</v>
      </c>
      <c r="C327" t="s">
        <v>505</v>
      </c>
      <c r="D327" t="s">
        <v>553</v>
      </c>
      <c r="E327" t="s">
        <v>730</v>
      </c>
      <c r="F327" t="s">
        <v>82</v>
      </c>
      <c r="G327" t="s">
        <v>82</v>
      </c>
      <c r="H327" t="s">
        <v>52</v>
      </c>
      <c r="I327" t="s">
        <v>53</v>
      </c>
      <c r="J327" t="s">
        <v>76</v>
      </c>
      <c r="K327" t="s">
        <v>42</v>
      </c>
      <c r="L327" t="s">
        <v>118</v>
      </c>
      <c r="M327" s="5">
        <v>13.2</v>
      </c>
      <c r="N327">
        <v>2094</v>
      </c>
      <c r="O327" s="4">
        <v>6991.2</v>
      </c>
      <c r="P327" s="4">
        <v>10119.67</v>
      </c>
      <c r="Q327">
        <v>7</v>
      </c>
      <c r="R327">
        <v>2</v>
      </c>
      <c r="S327" t="s">
        <v>56</v>
      </c>
      <c r="T327">
        <v>4</v>
      </c>
      <c r="U327" t="s">
        <v>45</v>
      </c>
      <c r="V327" t="s">
        <v>46</v>
      </c>
    </row>
    <row r="328" spans="1:22">
      <c r="A328" t="s">
        <v>731</v>
      </c>
      <c r="B328" t="s">
        <v>630</v>
      </c>
      <c r="C328" t="s">
        <v>630</v>
      </c>
      <c r="D328" t="s">
        <v>373</v>
      </c>
      <c r="E328" t="s">
        <v>374</v>
      </c>
      <c r="F328" t="s">
        <v>52</v>
      </c>
      <c r="G328" t="s">
        <v>53</v>
      </c>
      <c r="H328" t="s">
        <v>54</v>
      </c>
      <c r="I328" t="s">
        <v>54</v>
      </c>
      <c r="J328" t="s">
        <v>41</v>
      </c>
      <c r="K328" t="s">
        <v>42</v>
      </c>
      <c r="L328" t="s">
        <v>87</v>
      </c>
      <c r="M328" s="5">
        <v>15.7</v>
      </c>
      <c r="N328">
        <v>629</v>
      </c>
      <c r="O328" s="4">
        <v>4566.7</v>
      </c>
      <c r="P328" s="4">
        <v>7741.37</v>
      </c>
      <c r="Q328">
        <v>8</v>
      </c>
      <c r="R328">
        <v>3</v>
      </c>
      <c r="S328" t="s">
        <v>56</v>
      </c>
      <c r="T328">
        <v>4</v>
      </c>
      <c r="U328" t="s">
        <v>220</v>
      </c>
      <c r="V328" t="s">
        <v>46</v>
      </c>
    </row>
    <row r="329" spans="1:22">
      <c r="A329" t="s">
        <v>732</v>
      </c>
      <c r="B329" t="s">
        <v>373</v>
      </c>
      <c r="C329" t="s">
        <v>317</v>
      </c>
      <c r="D329" t="s">
        <v>374</v>
      </c>
      <c r="E329" t="s">
        <v>361</v>
      </c>
      <c r="F329" t="s">
        <v>70</v>
      </c>
      <c r="G329" t="s">
        <v>71</v>
      </c>
      <c r="H329" t="s">
        <v>52</v>
      </c>
      <c r="I329" t="s">
        <v>53</v>
      </c>
      <c r="J329" t="s">
        <v>76</v>
      </c>
      <c r="K329" t="s">
        <v>72</v>
      </c>
      <c r="L329" t="s">
        <v>61</v>
      </c>
      <c r="M329" s="5">
        <v>5.4</v>
      </c>
      <c r="N329">
        <v>2032</v>
      </c>
      <c r="O329" s="4">
        <v>7896.6</v>
      </c>
      <c r="P329" s="4">
        <v>14385.95</v>
      </c>
      <c r="Q329">
        <v>3</v>
      </c>
      <c r="R329">
        <v>1</v>
      </c>
      <c r="S329" t="s">
        <v>56</v>
      </c>
      <c r="T329">
        <v>5</v>
      </c>
      <c r="U329" t="s">
        <v>45</v>
      </c>
      <c r="V329" t="s">
        <v>46</v>
      </c>
    </row>
    <row r="330" spans="1:22">
      <c r="A330" t="s">
        <v>733</v>
      </c>
      <c r="B330" t="s">
        <v>489</v>
      </c>
      <c r="C330" t="s">
        <v>168</v>
      </c>
      <c r="D330" t="s">
        <v>49</v>
      </c>
      <c r="E330" t="s">
        <v>734</v>
      </c>
      <c r="F330" t="s">
        <v>40</v>
      </c>
      <c r="G330" t="s">
        <v>40</v>
      </c>
      <c r="H330" t="s">
        <v>52</v>
      </c>
      <c r="I330" t="s">
        <v>53</v>
      </c>
      <c r="J330" t="s">
        <v>76</v>
      </c>
      <c r="K330" t="s">
        <v>42</v>
      </c>
      <c r="L330" t="s">
        <v>61</v>
      </c>
      <c r="M330" s="5">
        <v>11.1</v>
      </c>
      <c r="N330">
        <v>888</v>
      </c>
      <c r="O330" s="4">
        <v>4641.8999999999996</v>
      </c>
      <c r="P330" s="4">
        <v>6672.6</v>
      </c>
      <c r="Q330">
        <v>4</v>
      </c>
      <c r="R330">
        <v>0</v>
      </c>
      <c r="S330" t="s">
        <v>44</v>
      </c>
      <c r="T330">
        <v>5</v>
      </c>
      <c r="U330" t="s">
        <v>45</v>
      </c>
      <c r="V330" t="s">
        <v>46</v>
      </c>
    </row>
    <row r="331" spans="1:22">
      <c r="A331" t="s">
        <v>735</v>
      </c>
      <c r="B331" t="s">
        <v>349</v>
      </c>
      <c r="C331" t="s">
        <v>412</v>
      </c>
      <c r="D331" t="s">
        <v>411</v>
      </c>
      <c r="E331" t="s">
        <v>247</v>
      </c>
      <c r="F331" t="s">
        <v>70</v>
      </c>
      <c r="G331" t="s">
        <v>71</v>
      </c>
      <c r="H331" t="s">
        <v>70</v>
      </c>
      <c r="I331" t="s">
        <v>71</v>
      </c>
      <c r="J331" t="s">
        <v>55</v>
      </c>
      <c r="K331" t="s">
        <v>72</v>
      </c>
      <c r="L331" t="s">
        <v>87</v>
      </c>
      <c r="M331" s="5">
        <v>3</v>
      </c>
      <c r="N331">
        <v>745</v>
      </c>
      <c r="O331" s="4">
        <v>5376</v>
      </c>
      <c r="P331" s="4">
        <v>7406.24</v>
      </c>
      <c r="Q331">
        <v>3</v>
      </c>
      <c r="R331">
        <v>1</v>
      </c>
      <c r="S331" t="s">
        <v>56</v>
      </c>
      <c r="T331">
        <v>5</v>
      </c>
      <c r="U331" t="s">
        <v>45</v>
      </c>
      <c r="V331" t="s">
        <v>46</v>
      </c>
    </row>
    <row r="332" spans="1:22">
      <c r="A332" t="s">
        <v>736</v>
      </c>
      <c r="B332" t="s">
        <v>246</v>
      </c>
      <c r="C332" t="s">
        <v>411</v>
      </c>
      <c r="D332" t="s">
        <v>645</v>
      </c>
      <c r="E332" t="s">
        <v>247</v>
      </c>
      <c r="F332" t="s">
        <v>54</v>
      </c>
      <c r="G332" t="s">
        <v>54</v>
      </c>
      <c r="H332" t="s">
        <v>82</v>
      </c>
      <c r="I332" t="s">
        <v>82</v>
      </c>
      <c r="J332" t="s">
        <v>141</v>
      </c>
      <c r="K332" t="s">
        <v>72</v>
      </c>
      <c r="L332" t="s">
        <v>43</v>
      </c>
      <c r="M332" s="5">
        <v>15.8</v>
      </c>
      <c r="N332">
        <v>2055</v>
      </c>
      <c r="O332" s="4">
        <v>8822</v>
      </c>
      <c r="P332" s="4">
        <v>16423.53</v>
      </c>
      <c r="Q332">
        <v>1</v>
      </c>
      <c r="R332">
        <v>0</v>
      </c>
      <c r="S332" t="s">
        <v>44</v>
      </c>
      <c r="T332">
        <v>5</v>
      </c>
      <c r="U332" t="s">
        <v>45</v>
      </c>
      <c r="V332" t="s">
        <v>46</v>
      </c>
    </row>
    <row r="333" spans="1:22">
      <c r="A333" t="s">
        <v>737</v>
      </c>
      <c r="B333" t="s">
        <v>238</v>
      </c>
      <c r="C333" t="s">
        <v>170</v>
      </c>
      <c r="D333" t="s">
        <v>171</v>
      </c>
      <c r="E333" t="s">
        <v>266</v>
      </c>
      <c r="F333" t="s">
        <v>70</v>
      </c>
      <c r="G333" t="s">
        <v>71</v>
      </c>
      <c r="H333" t="s">
        <v>52</v>
      </c>
      <c r="I333" t="s">
        <v>53</v>
      </c>
      <c r="J333" t="s">
        <v>55</v>
      </c>
      <c r="K333" t="s">
        <v>72</v>
      </c>
      <c r="L333" t="s">
        <v>118</v>
      </c>
      <c r="M333" s="5">
        <v>15.7</v>
      </c>
      <c r="N333">
        <v>1035</v>
      </c>
      <c r="O333" s="4">
        <v>6977.5</v>
      </c>
      <c r="P333" s="4">
        <v>11407.71</v>
      </c>
      <c r="Q333">
        <v>4</v>
      </c>
      <c r="R333">
        <v>2</v>
      </c>
      <c r="S333" t="s">
        <v>56</v>
      </c>
      <c r="T333">
        <v>4</v>
      </c>
      <c r="U333" t="s">
        <v>45</v>
      </c>
      <c r="V333" t="s">
        <v>46</v>
      </c>
    </row>
    <row r="334" spans="1:22">
      <c r="A334" t="s">
        <v>738</v>
      </c>
      <c r="B334" t="s">
        <v>739</v>
      </c>
      <c r="C334" t="s">
        <v>101</v>
      </c>
      <c r="D334" t="s">
        <v>102</v>
      </c>
      <c r="E334" t="s">
        <v>386</v>
      </c>
      <c r="F334" t="s">
        <v>40</v>
      </c>
      <c r="G334" t="s">
        <v>40</v>
      </c>
      <c r="H334" t="s">
        <v>40</v>
      </c>
      <c r="I334" t="s">
        <v>40</v>
      </c>
      <c r="J334" t="s">
        <v>141</v>
      </c>
      <c r="K334" t="s">
        <v>72</v>
      </c>
      <c r="L334" t="s">
        <v>87</v>
      </c>
      <c r="M334" s="5">
        <v>11.1</v>
      </c>
      <c r="N334">
        <v>790</v>
      </c>
      <c r="O334" s="4">
        <v>6145.5</v>
      </c>
      <c r="P334" s="4">
        <v>8357.98</v>
      </c>
      <c r="Q334">
        <v>1</v>
      </c>
      <c r="R334">
        <v>0</v>
      </c>
      <c r="S334" t="s">
        <v>44</v>
      </c>
      <c r="T334">
        <v>5</v>
      </c>
      <c r="U334" t="s">
        <v>45</v>
      </c>
      <c r="V334" t="s">
        <v>46</v>
      </c>
    </row>
    <row r="335" spans="1:22">
      <c r="A335" t="s">
        <v>740</v>
      </c>
      <c r="B335" t="s">
        <v>630</v>
      </c>
      <c r="C335" t="s">
        <v>630</v>
      </c>
      <c r="D335" t="s">
        <v>409</v>
      </c>
      <c r="E335" t="s">
        <v>631</v>
      </c>
      <c r="F335" t="s">
        <v>82</v>
      </c>
      <c r="G335" t="s">
        <v>82</v>
      </c>
      <c r="H335" t="s">
        <v>40</v>
      </c>
      <c r="I335" t="s">
        <v>40</v>
      </c>
      <c r="J335" t="s">
        <v>141</v>
      </c>
      <c r="K335" t="s">
        <v>72</v>
      </c>
      <c r="L335" t="s">
        <v>61</v>
      </c>
      <c r="M335" s="5">
        <v>12.3</v>
      </c>
      <c r="N335">
        <v>1337</v>
      </c>
      <c r="O335" s="4">
        <v>7232.1</v>
      </c>
      <c r="P335" s="4">
        <v>12838.23</v>
      </c>
      <c r="Q335">
        <v>1</v>
      </c>
      <c r="R335">
        <v>0</v>
      </c>
      <c r="S335" t="s">
        <v>44</v>
      </c>
      <c r="T335">
        <v>4</v>
      </c>
      <c r="U335" t="s">
        <v>45</v>
      </c>
      <c r="V335" t="s">
        <v>46</v>
      </c>
    </row>
    <row r="336" spans="1:22">
      <c r="A336" t="s">
        <v>741</v>
      </c>
      <c r="B336" t="s">
        <v>325</v>
      </c>
      <c r="C336" t="s">
        <v>326</v>
      </c>
      <c r="D336" t="s">
        <v>742</v>
      </c>
      <c r="E336" t="s">
        <v>742</v>
      </c>
      <c r="F336" t="s">
        <v>70</v>
      </c>
      <c r="G336" t="s">
        <v>71</v>
      </c>
      <c r="H336" t="s">
        <v>40</v>
      </c>
      <c r="I336" t="s">
        <v>40</v>
      </c>
      <c r="J336" t="s">
        <v>41</v>
      </c>
      <c r="K336" t="s">
        <v>42</v>
      </c>
      <c r="L336" t="s">
        <v>43</v>
      </c>
      <c r="M336" s="5">
        <v>14.5</v>
      </c>
      <c r="N336">
        <v>917</v>
      </c>
      <c r="O336" s="4">
        <v>4983.1000000000004</v>
      </c>
      <c r="P336" s="4">
        <v>10068.52</v>
      </c>
      <c r="Q336">
        <v>5</v>
      </c>
      <c r="R336">
        <v>0</v>
      </c>
      <c r="S336" t="s">
        <v>44</v>
      </c>
      <c r="T336">
        <v>5</v>
      </c>
      <c r="U336" t="s">
        <v>45</v>
      </c>
      <c r="V336" t="s">
        <v>46</v>
      </c>
    </row>
    <row r="337" spans="1:22">
      <c r="A337" t="s">
        <v>743</v>
      </c>
      <c r="B337" t="s">
        <v>166</v>
      </c>
      <c r="C337" t="s">
        <v>165</v>
      </c>
      <c r="D337" t="s">
        <v>138</v>
      </c>
      <c r="E337" t="s">
        <v>157</v>
      </c>
      <c r="F337" t="s">
        <v>52</v>
      </c>
      <c r="G337" t="s">
        <v>53</v>
      </c>
      <c r="H337" t="s">
        <v>40</v>
      </c>
      <c r="I337" t="s">
        <v>40</v>
      </c>
      <c r="J337" t="s">
        <v>55</v>
      </c>
      <c r="K337" t="s">
        <v>72</v>
      </c>
      <c r="L337" t="s">
        <v>61</v>
      </c>
      <c r="M337" s="5">
        <v>9.1</v>
      </c>
      <c r="N337">
        <v>1768</v>
      </c>
      <c r="O337" s="4">
        <v>7735.9</v>
      </c>
      <c r="P337" s="4">
        <v>13639.68</v>
      </c>
      <c r="Q337">
        <v>1</v>
      </c>
      <c r="R337">
        <v>0</v>
      </c>
      <c r="S337" t="s">
        <v>44</v>
      </c>
      <c r="T337">
        <v>5</v>
      </c>
      <c r="U337" t="s">
        <v>45</v>
      </c>
      <c r="V337" t="s">
        <v>46</v>
      </c>
    </row>
    <row r="338" spans="1:22">
      <c r="A338" t="s">
        <v>744</v>
      </c>
      <c r="B338" t="s">
        <v>269</v>
      </c>
      <c r="C338" t="s">
        <v>726</v>
      </c>
      <c r="D338" t="s">
        <v>226</v>
      </c>
      <c r="E338" t="s">
        <v>271</v>
      </c>
      <c r="F338" t="s">
        <v>70</v>
      </c>
      <c r="G338" t="s">
        <v>71</v>
      </c>
      <c r="H338" t="s">
        <v>70</v>
      </c>
      <c r="I338" t="s">
        <v>71</v>
      </c>
      <c r="J338" t="s">
        <v>76</v>
      </c>
      <c r="K338" t="s">
        <v>42</v>
      </c>
      <c r="L338" t="s">
        <v>118</v>
      </c>
      <c r="M338" s="5">
        <v>16.399999999999999</v>
      </c>
      <c r="N338">
        <v>490</v>
      </c>
      <c r="O338" s="4">
        <v>4376</v>
      </c>
      <c r="P338" s="4">
        <v>5833.19</v>
      </c>
      <c r="Q338">
        <v>4</v>
      </c>
      <c r="R338">
        <v>0</v>
      </c>
      <c r="S338" t="s">
        <v>44</v>
      </c>
      <c r="T338">
        <v>4</v>
      </c>
      <c r="U338" t="s">
        <v>45</v>
      </c>
      <c r="V338" t="s">
        <v>46</v>
      </c>
    </row>
    <row r="339" spans="1:22">
      <c r="A339" t="s">
        <v>745</v>
      </c>
      <c r="B339" t="s">
        <v>411</v>
      </c>
      <c r="C339" t="s">
        <v>645</v>
      </c>
      <c r="D339" t="s">
        <v>739</v>
      </c>
      <c r="E339" t="s">
        <v>501</v>
      </c>
      <c r="F339" t="s">
        <v>54</v>
      </c>
      <c r="G339" t="s">
        <v>54</v>
      </c>
      <c r="H339" t="s">
        <v>52</v>
      </c>
      <c r="I339" t="s">
        <v>53</v>
      </c>
      <c r="J339" t="s">
        <v>55</v>
      </c>
      <c r="K339" t="s">
        <v>65</v>
      </c>
      <c r="L339" t="s">
        <v>87</v>
      </c>
      <c r="M339" s="5">
        <v>14.3</v>
      </c>
      <c r="N339">
        <v>1659</v>
      </c>
      <c r="O339" s="4">
        <v>6301.7</v>
      </c>
      <c r="P339" s="4">
        <v>12075.24</v>
      </c>
      <c r="Q339">
        <v>5</v>
      </c>
      <c r="R339">
        <v>0</v>
      </c>
      <c r="S339" t="s">
        <v>44</v>
      </c>
      <c r="T339">
        <v>5</v>
      </c>
      <c r="U339" t="s">
        <v>45</v>
      </c>
      <c r="V339" t="s">
        <v>46</v>
      </c>
    </row>
    <row r="340" spans="1:22">
      <c r="A340" t="s">
        <v>746</v>
      </c>
      <c r="B340" t="s">
        <v>574</v>
      </c>
      <c r="C340" t="s">
        <v>419</v>
      </c>
      <c r="D340" t="s">
        <v>344</v>
      </c>
      <c r="E340" t="s">
        <v>420</v>
      </c>
      <c r="F340" t="s">
        <v>40</v>
      </c>
      <c r="G340" t="s">
        <v>40</v>
      </c>
      <c r="H340" t="s">
        <v>40</v>
      </c>
      <c r="I340" t="s">
        <v>40</v>
      </c>
      <c r="J340" t="s">
        <v>76</v>
      </c>
      <c r="K340" t="s">
        <v>42</v>
      </c>
      <c r="L340" t="s">
        <v>43</v>
      </c>
      <c r="M340" s="5">
        <v>12.8</v>
      </c>
      <c r="N340">
        <v>1234</v>
      </c>
      <c r="O340" s="4">
        <v>5409.2</v>
      </c>
      <c r="P340" s="4">
        <v>7672.66</v>
      </c>
      <c r="Q340">
        <v>6</v>
      </c>
      <c r="R340">
        <v>1</v>
      </c>
      <c r="S340" t="s">
        <v>56</v>
      </c>
      <c r="T340">
        <v>5</v>
      </c>
      <c r="U340" t="s">
        <v>45</v>
      </c>
      <c r="V340" t="s">
        <v>46</v>
      </c>
    </row>
    <row r="341" spans="1:22">
      <c r="A341" t="s">
        <v>747</v>
      </c>
      <c r="B341" t="s">
        <v>528</v>
      </c>
      <c r="C341" t="s">
        <v>748</v>
      </c>
      <c r="D341" t="s">
        <v>749</v>
      </c>
      <c r="E341" t="s">
        <v>749</v>
      </c>
      <c r="F341" t="s">
        <v>52</v>
      </c>
      <c r="G341" t="s">
        <v>53</v>
      </c>
      <c r="H341" t="s">
        <v>54</v>
      </c>
      <c r="I341" t="s">
        <v>54</v>
      </c>
      <c r="J341" t="s">
        <v>76</v>
      </c>
      <c r="K341" t="s">
        <v>65</v>
      </c>
      <c r="L341" t="s">
        <v>77</v>
      </c>
      <c r="M341" s="5">
        <v>9.5</v>
      </c>
      <c r="N341">
        <v>1739</v>
      </c>
      <c r="O341" s="4">
        <v>6037.7</v>
      </c>
      <c r="P341" s="4">
        <v>9383</v>
      </c>
      <c r="Q341">
        <v>8</v>
      </c>
      <c r="R341">
        <v>0</v>
      </c>
      <c r="S341" t="s">
        <v>44</v>
      </c>
      <c r="T341">
        <v>5</v>
      </c>
      <c r="U341" t="s">
        <v>45</v>
      </c>
      <c r="V341" t="s">
        <v>46</v>
      </c>
    </row>
    <row r="342" spans="1:22">
      <c r="A342" t="s">
        <v>750</v>
      </c>
      <c r="B342" t="s">
        <v>164</v>
      </c>
      <c r="C342" t="s">
        <v>164</v>
      </c>
      <c r="D342" t="s">
        <v>384</v>
      </c>
      <c r="E342" t="s">
        <v>158</v>
      </c>
      <c r="F342" t="s">
        <v>52</v>
      </c>
      <c r="G342" t="s">
        <v>53</v>
      </c>
      <c r="H342" t="s">
        <v>40</v>
      </c>
      <c r="I342" t="s">
        <v>40</v>
      </c>
      <c r="J342" t="s">
        <v>76</v>
      </c>
      <c r="K342" t="s">
        <v>42</v>
      </c>
      <c r="L342" t="s">
        <v>61</v>
      </c>
      <c r="M342" s="5">
        <v>6.7</v>
      </c>
      <c r="N342">
        <v>1689</v>
      </c>
      <c r="O342" s="4">
        <v>5709.7</v>
      </c>
      <c r="P342" s="4">
        <v>11783.94</v>
      </c>
      <c r="Q342">
        <v>6</v>
      </c>
      <c r="R342">
        <v>1</v>
      </c>
      <c r="S342" t="s">
        <v>56</v>
      </c>
      <c r="T342">
        <v>5</v>
      </c>
      <c r="U342" t="s">
        <v>45</v>
      </c>
      <c r="V342" t="s">
        <v>46</v>
      </c>
    </row>
    <row r="343" spans="1:22">
      <c r="A343" t="s">
        <v>751</v>
      </c>
      <c r="B343" t="s">
        <v>469</v>
      </c>
      <c r="C343" t="s">
        <v>550</v>
      </c>
      <c r="D343" t="s">
        <v>299</v>
      </c>
      <c r="E343" t="s">
        <v>301</v>
      </c>
      <c r="F343" t="s">
        <v>40</v>
      </c>
      <c r="G343" t="s">
        <v>40</v>
      </c>
      <c r="H343" t="s">
        <v>54</v>
      </c>
      <c r="I343" t="s">
        <v>54</v>
      </c>
      <c r="J343" t="s">
        <v>55</v>
      </c>
      <c r="K343" t="s">
        <v>72</v>
      </c>
      <c r="L343" t="s">
        <v>61</v>
      </c>
      <c r="M343" s="5">
        <v>11.7</v>
      </c>
      <c r="N343">
        <v>1385</v>
      </c>
      <c r="O343" s="4">
        <v>7267.5</v>
      </c>
      <c r="P343" s="4">
        <v>14103.09</v>
      </c>
      <c r="Q343">
        <v>4</v>
      </c>
      <c r="R343">
        <v>2</v>
      </c>
      <c r="S343" t="s">
        <v>56</v>
      </c>
      <c r="T343">
        <v>4</v>
      </c>
      <c r="U343" t="s">
        <v>45</v>
      </c>
      <c r="V343" t="s">
        <v>46</v>
      </c>
    </row>
    <row r="344" spans="1:22">
      <c r="A344" t="s">
        <v>752</v>
      </c>
      <c r="B344" t="s">
        <v>753</v>
      </c>
      <c r="C344" t="s">
        <v>730</v>
      </c>
      <c r="D344" t="s">
        <v>402</v>
      </c>
      <c r="E344" t="s">
        <v>402</v>
      </c>
      <c r="F344" t="s">
        <v>52</v>
      </c>
      <c r="G344" t="s">
        <v>53</v>
      </c>
      <c r="H344" t="s">
        <v>40</v>
      </c>
      <c r="I344" t="s">
        <v>40</v>
      </c>
      <c r="J344" t="s">
        <v>41</v>
      </c>
      <c r="K344" t="s">
        <v>42</v>
      </c>
      <c r="L344" t="s">
        <v>87</v>
      </c>
      <c r="M344" s="5">
        <v>17.8</v>
      </c>
      <c r="N344">
        <v>1903</v>
      </c>
      <c r="O344" s="4">
        <v>7038.4</v>
      </c>
      <c r="P344" s="4">
        <v>10992.22</v>
      </c>
      <c r="Q344">
        <v>5</v>
      </c>
      <c r="R344">
        <v>0</v>
      </c>
      <c r="S344" t="s">
        <v>44</v>
      </c>
      <c r="T344">
        <v>4</v>
      </c>
      <c r="U344" t="s">
        <v>45</v>
      </c>
      <c r="V344" t="s">
        <v>46</v>
      </c>
    </row>
    <row r="345" spans="1:22">
      <c r="A345" t="s">
        <v>754</v>
      </c>
      <c r="B345" t="s">
        <v>575</v>
      </c>
      <c r="C345" t="s">
        <v>420</v>
      </c>
      <c r="D345" t="s">
        <v>282</v>
      </c>
      <c r="E345" t="s">
        <v>355</v>
      </c>
      <c r="F345" t="s">
        <v>52</v>
      </c>
      <c r="G345" t="s">
        <v>53</v>
      </c>
      <c r="H345" t="s">
        <v>70</v>
      </c>
      <c r="I345" t="s">
        <v>71</v>
      </c>
      <c r="J345" t="s">
        <v>141</v>
      </c>
      <c r="K345" t="s">
        <v>42</v>
      </c>
      <c r="L345" t="s">
        <v>77</v>
      </c>
      <c r="M345" s="5">
        <v>6.6</v>
      </c>
      <c r="N345">
        <v>627</v>
      </c>
      <c r="O345" s="4">
        <v>3789.6</v>
      </c>
      <c r="P345" s="4">
        <v>7477.24</v>
      </c>
      <c r="Q345">
        <v>6</v>
      </c>
      <c r="R345">
        <v>1</v>
      </c>
      <c r="S345" t="s">
        <v>56</v>
      </c>
      <c r="T345">
        <v>5</v>
      </c>
      <c r="U345" t="s">
        <v>45</v>
      </c>
      <c r="V345" t="s">
        <v>46</v>
      </c>
    </row>
    <row r="346" spans="1:22">
      <c r="A346" t="s">
        <v>755</v>
      </c>
      <c r="B346" t="s">
        <v>396</v>
      </c>
      <c r="C346" t="s">
        <v>396</v>
      </c>
      <c r="D346" t="s">
        <v>349</v>
      </c>
      <c r="E346" t="s">
        <v>349</v>
      </c>
      <c r="F346" t="s">
        <v>82</v>
      </c>
      <c r="G346" t="s">
        <v>82</v>
      </c>
      <c r="H346" t="s">
        <v>70</v>
      </c>
      <c r="I346" t="s">
        <v>71</v>
      </c>
      <c r="J346" t="s">
        <v>76</v>
      </c>
      <c r="K346" t="s">
        <v>42</v>
      </c>
      <c r="L346" t="s">
        <v>61</v>
      </c>
      <c r="M346" s="5">
        <v>1.4</v>
      </c>
      <c r="N346">
        <v>2072</v>
      </c>
      <c r="O346" s="4">
        <v>5948.6</v>
      </c>
      <c r="P346" s="4">
        <v>8417.7000000000007</v>
      </c>
      <c r="Q346">
        <v>5</v>
      </c>
      <c r="R346">
        <v>0</v>
      </c>
      <c r="S346" t="s">
        <v>44</v>
      </c>
      <c r="T346">
        <v>5</v>
      </c>
      <c r="U346" t="s">
        <v>45</v>
      </c>
      <c r="V346" t="s">
        <v>46</v>
      </c>
    </row>
    <row r="347" spans="1:22">
      <c r="A347" t="s">
        <v>756</v>
      </c>
      <c r="B347" t="s">
        <v>431</v>
      </c>
      <c r="C347" t="s">
        <v>431</v>
      </c>
      <c r="D347" t="s">
        <v>493</v>
      </c>
      <c r="E347" t="s">
        <v>209</v>
      </c>
      <c r="F347" t="s">
        <v>70</v>
      </c>
      <c r="G347" t="s">
        <v>71</v>
      </c>
      <c r="H347" t="s">
        <v>52</v>
      </c>
      <c r="I347" t="s">
        <v>53</v>
      </c>
      <c r="J347" t="s">
        <v>141</v>
      </c>
      <c r="K347" t="s">
        <v>42</v>
      </c>
      <c r="L347" t="s">
        <v>61</v>
      </c>
      <c r="M347" s="5">
        <v>2.1</v>
      </c>
      <c r="N347">
        <v>1460</v>
      </c>
      <c r="O347" s="4">
        <v>4906.5</v>
      </c>
      <c r="P347" s="4">
        <v>9550.9500000000007</v>
      </c>
      <c r="Q347">
        <v>2</v>
      </c>
      <c r="R347">
        <v>0</v>
      </c>
      <c r="S347" t="s">
        <v>44</v>
      </c>
      <c r="T347">
        <v>5</v>
      </c>
      <c r="U347" t="s">
        <v>45</v>
      </c>
      <c r="V347" t="s">
        <v>46</v>
      </c>
    </row>
    <row r="348" spans="1:22">
      <c r="A348" t="s">
        <v>757</v>
      </c>
      <c r="B348" t="s">
        <v>231</v>
      </c>
      <c r="C348" t="s">
        <v>231</v>
      </c>
      <c r="D348" t="s">
        <v>285</v>
      </c>
      <c r="E348" t="s">
        <v>673</v>
      </c>
      <c r="F348" t="s">
        <v>40</v>
      </c>
      <c r="G348" t="s">
        <v>40</v>
      </c>
      <c r="H348" t="s">
        <v>40</v>
      </c>
      <c r="I348" t="s">
        <v>40</v>
      </c>
      <c r="J348" t="s">
        <v>76</v>
      </c>
      <c r="K348" t="s">
        <v>72</v>
      </c>
      <c r="L348" t="s">
        <v>77</v>
      </c>
      <c r="M348" s="5">
        <v>0.9</v>
      </c>
      <c r="N348">
        <v>1665</v>
      </c>
      <c r="O348" s="4">
        <v>6853.5</v>
      </c>
      <c r="P348" s="4">
        <v>12067.09</v>
      </c>
      <c r="Q348">
        <v>1</v>
      </c>
      <c r="R348">
        <v>0</v>
      </c>
      <c r="S348" t="s">
        <v>44</v>
      </c>
      <c r="T348">
        <v>5</v>
      </c>
      <c r="U348" t="s">
        <v>45</v>
      </c>
      <c r="V348" t="s">
        <v>46</v>
      </c>
    </row>
    <row r="349" spans="1:22">
      <c r="A349" t="s">
        <v>758</v>
      </c>
      <c r="B349" t="s">
        <v>260</v>
      </c>
      <c r="C349" t="s">
        <v>398</v>
      </c>
      <c r="D349" t="s">
        <v>497</v>
      </c>
      <c r="E349" t="s">
        <v>311</v>
      </c>
      <c r="F349" t="s">
        <v>40</v>
      </c>
      <c r="G349" t="s">
        <v>40</v>
      </c>
      <c r="H349" t="s">
        <v>40</v>
      </c>
      <c r="I349" t="s">
        <v>40</v>
      </c>
      <c r="J349" t="s">
        <v>76</v>
      </c>
      <c r="K349" t="s">
        <v>42</v>
      </c>
      <c r="L349" t="s">
        <v>77</v>
      </c>
      <c r="M349" s="5">
        <v>2.1</v>
      </c>
      <c r="N349">
        <v>1214</v>
      </c>
      <c r="O349" s="4">
        <v>4463.7</v>
      </c>
      <c r="P349" s="4">
        <v>6189.63</v>
      </c>
      <c r="Q349">
        <v>4</v>
      </c>
      <c r="R349">
        <v>0</v>
      </c>
      <c r="S349" t="s">
        <v>44</v>
      </c>
      <c r="T349">
        <v>5</v>
      </c>
      <c r="U349" t="s">
        <v>45</v>
      </c>
      <c r="V349" t="s">
        <v>46</v>
      </c>
    </row>
    <row r="350" spans="1:22">
      <c r="A350" t="s">
        <v>759</v>
      </c>
      <c r="B350" t="s">
        <v>374</v>
      </c>
      <c r="C350" t="s">
        <v>361</v>
      </c>
      <c r="D350" t="s">
        <v>489</v>
      </c>
      <c r="E350" t="s">
        <v>489</v>
      </c>
      <c r="F350" t="s">
        <v>82</v>
      </c>
      <c r="G350" t="s">
        <v>82</v>
      </c>
      <c r="H350" t="s">
        <v>82</v>
      </c>
      <c r="I350" t="s">
        <v>82</v>
      </c>
      <c r="J350" t="s">
        <v>76</v>
      </c>
      <c r="K350" t="s">
        <v>42</v>
      </c>
      <c r="L350" t="s">
        <v>61</v>
      </c>
      <c r="M350" s="5">
        <v>0.4</v>
      </c>
      <c r="N350">
        <v>1445</v>
      </c>
      <c r="O350" s="4">
        <v>4735</v>
      </c>
      <c r="P350" s="4">
        <v>9509.06</v>
      </c>
      <c r="Q350">
        <v>5</v>
      </c>
      <c r="R350">
        <v>0</v>
      </c>
      <c r="S350" t="s">
        <v>44</v>
      </c>
      <c r="T350">
        <v>4</v>
      </c>
      <c r="U350" t="s">
        <v>45</v>
      </c>
      <c r="V350" t="s">
        <v>46</v>
      </c>
    </row>
    <row r="351" spans="1:22">
      <c r="A351" t="s">
        <v>760</v>
      </c>
      <c r="B351" t="s">
        <v>231</v>
      </c>
      <c r="C351" t="s">
        <v>285</v>
      </c>
      <c r="D351" t="s">
        <v>343</v>
      </c>
      <c r="E351" t="s">
        <v>575</v>
      </c>
      <c r="F351" t="s">
        <v>40</v>
      </c>
      <c r="G351" t="s">
        <v>40</v>
      </c>
      <c r="H351" t="s">
        <v>70</v>
      </c>
      <c r="I351" t="s">
        <v>71</v>
      </c>
      <c r="J351" t="s">
        <v>55</v>
      </c>
      <c r="K351" t="s">
        <v>42</v>
      </c>
      <c r="L351" t="s">
        <v>77</v>
      </c>
      <c r="M351" s="5">
        <v>12.1</v>
      </c>
      <c r="N351">
        <v>941</v>
      </c>
      <c r="O351" s="4">
        <v>4822.3</v>
      </c>
      <c r="P351" s="4">
        <v>9498</v>
      </c>
      <c r="Q351">
        <v>6</v>
      </c>
      <c r="R351">
        <v>1</v>
      </c>
      <c r="S351" t="s">
        <v>56</v>
      </c>
      <c r="T351">
        <v>5</v>
      </c>
      <c r="U351" t="s">
        <v>45</v>
      </c>
      <c r="V351" t="s">
        <v>46</v>
      </c>
    </row>
    <row r="352" spans="1:22">
      <c r="A352" t="s">
        <v>761</v>
      </c>
      <c r="B352" t="s">
        <v>411</v>
      </c>
      <c r="C352" t="s">
        <v>247</v>
      </c>
      <c r="D352" t="s">
        <v>662</v>
      </c>
      <c r="E352" t="s">
        <v>645</v>
      </c>
      <c r="F352" t="s">
        <v>54</v>
      </c>
      <c r="G352" t="s">
        <v>54</v>
      </c>
      <c r="H352" t="s">
        <v>54</v>
      </c>
      <c r="I352" t="s">
        <v>54</v>
      </c>
      <c r="J352" t="s">
        <v>141</v>
      </c>
      <c r="K352" t="s">
        <v>42</v>
      </c>
      <c r="L352" t="s">
        <v>61</v>
      </c>
      <c r="M352" s="5">
        <v>6.2</v>
      </c>
      <c r="N352">
        <v>1539</v>
      </c>
      <c r="O352" s="4">
        <v>5397.2</v>
      </c>
      <c r="P352" s="4">
        <v>7402.97</v>
      </c>
      <c r="Q352">
        <v>1</v>
      </c>
      <c r="R352">
        <v>0</v>
      </c>
      <c r="S352" t="s">
        <v>44</v>
      </c>
      <c r="T352">
        <v>5</v>
      </c>
      <c r="U352" t="s">
        <v>45</v>
      </c>
      <c r="V352" t="s">
        <v>46</v>
      </c>
    </row>
    <row r="353" spans="1:22">
      <c r="A353" t="s">
        <v>762</v>
      </c>
      <c r="B353" t="s">
        <v>351</v>
      </c>
      <c r="C353" t="s">
        <v>350</v>
      </c>
      <c r="D353" t="s">
        <v>386</v>
      </c>
      <c r="E353" t="s">
        <v>103</v>
      </c>
      <c r="F353" t="s">
        <v>70</v>
      </c>
      <c r="G353" t="s">
        <v>71</v>
      </c>
      <c r="H353" t="s">
        <v>40</v>
      </c>
      <c r="I353" t="s">
        <v>40</v>
      </c>
      <c r="J353" t="s">
        <v>76</v>
      </c>
      <c r="K353" t="s">
        <v>65</v>
      </c>
      <c r="L353" t="s">
        <v>87</v>
      </c>
      <c r="M353" s="5">
        <v>0.8</v>
      </c>
      <c r="N353">
        <v>2089</v>
      </c>
      <c r="O353" s="4">
        <v>5928.2</v>
      </c>
      <c r="P353" s="4">
        <v>10975.9</v>
      </c>
      <c r="Q353">
        <v>10</v>
      </c>
      <c r="R353">
        <v>2</v>
      </c>
      <c r="S353" t="s">
        <v>56</v>
      </c>
      <c r="T353">
        <v>3</v>
      </c>
      <c r="U353" t="s">
        <v>45</v>
      </c>
      <c r="V353" t="s">
        <v>46</v>
      </c>
    </row>
    <row r="354" spans="1:22">
      <c r="A354" t="s">
        <v>763</v>
      </c>
      <c r="B354" t="s">
        <v>305</v>
      </c>
      <c r="C354" t="s">
        <v>305</v>
      </c>
      <c r="D354" t="s">
        <v>340</v>
      </c>
      <c r="E354" t="s">
        <v>340</v>
      </c>
      <c r="F354" t="s">
        <v>82</v>
      </c>
      <c r="G354" t="s">
        <v>82</v>
      </c>
      <c r="H354" t="s">
        <v>54</v>
      </c>
      <c r="I354" t="s">
        <v>54</v>
      </c>
      <c r="J354" t="s">
        <v>41</v>
      </c>
      <c r="K354" t="s">
        <v>72</v>
      </c>
      <c r="L354" t="s">
        <v>77</v>
      </c>
      <c r="M354" s="5">
        <v>15.3</v>
      </c>
      <c r="N354">
        <v>2079</v>
      </c>
      <c r="O354" s="4">
        <v>8822.7000000000007</v>
      </c>
      <c r="P354" s="4">
        <v>15519.98</v>
      </c>
      <c r="Q354">
        <v>2</v>
      </c>
      <c r="R354">
        <v>0</v>
      </c>
      <c r="S354" t="s">
        <v>44</v>
      </c>
      <c r="T354">
        <v>4</v>
      </c>
      <c r="U354" t="s">
        <v>45</v>
      </c>
      <c r="V354" t="s">
        <v>46</v>
      </c>
    </row>
    <row r="355" spans="1:22">
      <c r="A355" t="s">
        <v>764</v>
      </c>
      <c r="B355" t="s">
        <v>623</v>
      </c>
      <c r="C355" t="s">
        <v>326</v>
      </c>
      <c r="D355" t="s">
        <v>742</v>
      </c>
      <c r="E355" t="s">
        <v>765</v>
      </c>
      <c r="F355" t="s">
        <v>82</v>
      </c>
      <c r="G355" t="s">
        <v>82</v>
      </c>
      <c r="H355" t="s">
        <v>70</v>
      </c>
      <c r="I355" t="s">
        <v>71</v>
      </c>
      <c r="J355" t="s">
        <v>76</v>
      </c>
      <c r="K355" t="s">
        <v>42</v>
      </c>
      <c r="L355" t="s">
        <v>61</v>
      </c>
      <c r="M355" s="5">
        <v>4.5999999999999996</v>
      </c>
      <c r="N355">
        <v>1112</v>
      </c>
      <c r="O355" s="4">
        <v>4492.6000000000004</v>
      </c>
      <c r="P355" s="4">
        <v>5918.45</v>
      </c>
      <c r="Q355">
        <v>7</v>
      </c>
      <c r="R355">
        <v>2</v>
      </c>
      <c r="S355" t="s">
        <v>56</v>
      </c>
      <c r="T355">
        <v>4</v>
      </c>
      <c r="U355" t="s">
        <v>45</v>
      </c>
      <c r="V355" t="s">
        <v>46</v>
      </c>
    </row>
    <row r="356" spans="1:22">
      <c r="A356" t="s">
        <v>766</v>
      </c>
      <c r="B356" t="s">
        <v>178</v>
      </c>
      <c r="C356" t="s">
        <v>178</v>
      </c>
      <c r="D356" t="s">
        <v>561</v>
      </c>
      <c r="E356" t="s">
        <v>183</v>
      </c>
      <c r="F356" t="s">
        <v>70</v>
      </c>
      <c r="G356" t="s">
        <v>71</v>
      </c>
      <c r="H356" t="s">
        <v>82</v>
      </c>
      <c r="I356" t="s">
        <v>82</v>
      </c>
      <c r="J356" t="s">
        <v>76</v>
      </c>
      <c r="K356" t="s">
        <v>42</v>
      </c>
      <c r="L356" t="s">
        <v>87</v>
      </c>
      <c r="M356" s="5">
        <v>11.5</v>
      </c>
      <c r="N356">
        <v>1509</v>
      </c>
      <c r="O356" s="4">
        <v>5793.7</v>
      </c>
      <c r="P356" s="4">
        <v>8220.09</v>
      </c>
      <c r="Q356">
        <v>7</v>
      </c>
      <c r="R356">
        <v>2</v>
      </c>
      <c r="S356" t="s">
        <v>56</v>
      </c>
      <c r="T356">
        <v>4</v>
      </c>
      <c r="U356" t="s">
        <v>45</v>
      </c>
      <c r="V356" t="s">
        <v>46</v>
      </c>
    </row>
    <row r="357" spans="1:22">
      <c r="A357" t="s">
        <v>767</v>
      </c>
      <c r="B357" t="s">
        <v>263</v>
      </c>
      <c r="C357" t="s">
        <v>264</v>
      </c>
      <c r="D357" t="s">
        <v>265</v>
      </c>
      <c r="E357" t="s">
        <v>172</v>
      </c>
      <c r="F357" t="s">
        <v>54</v>
      </c>
      <c r="G357" t="s">
        <v>54</v>
      </c>
      <c r="H357" t="s">
        <v>70</v>
      </c>
      <c r="I357" t="s">
        <v>71</v>
      </c>
      <c r="J357" t="s">
        <v>141</v>
      </c>
      <c r="K357" t="s">
        <v>65</v>
      </c>
      <c r="L357" t="s">
        <v>77</v>
      </c>
      <c r="M357" s="5">
        <v>4.5999999999999996</v>
      </c>
      <c r="N357">
        <v>1025</v>
      </c>
      <c r="O357" s="4">
        <v>4336</v>
      </c>
      <c r="P357" s="4">
        <v>8516.32</v>
      </c>
      <c r="Q357">
        <v>6</v>
      </c>
      <c r="R357">
        <v>0</v>
      </c>
      <c r="S357" t="s">
        <v>44</v>
      </c>
      <c r="T357">
        <v>5</v>
      </c>
      <c r="U357" t="s">
        <v>45</v>
      </c>
      <c r="V357" t="s">
        <v>46</v>
      </c>
    </row>
    <row r="358" spans="1:22">
      <c r="A358" t="s">
        <v>768</v>
      </c>
      <c r="B358" t="s">
        <v>168</v>
      </c>
      <c r="C358" t="s">
        <v>63</v>
      </c>
      <c r="D358" t="s">
        <v>50</v>
      </c>
      <c r="E358" t="s">
        <v>79</v>
      </c>
      <c r="F358" t="s">
        <v>70</v>
      </c>
      <c r="G358" t="s">
        <v>71</v>
      </c>
      <c r="H358" t="s">
        <v>70</v>
      </c>
      <c r="I358" t="s">
        <v>71</v>
      </c>
      <c r="J358" t="s">
        <v>41</v>
      </c>
      <c r="K358" t="s">
        <v>65</v>
      </c>
      <c r="L358" t="s">
        <v>77</v>
      </c>
      <c r="M358" s="5">
        <v>3.9</v>
      </c>
      <c r="N358">
        <v>1060</v>
      </c>
      <c r="O358" s="4">
        <v>4339.5</v>
      </c>
      <c r="P358" s="4">
        <v>7732.77</v>
      </c>
      <c r="Q358">
        <v>10</v>
      </c>
      <c r="R358">
        <v>2</v>
      </c>
      <c r="S358" t="s">
        <v>56</v>
      </c>
      <c r="T358">
        <v>3</v>
      </c>
      <c r="U358" t="s">
        <v>45</v>
      </c>
      <c r="V358" t="s">
        <v>46</v>
      </c>
    </row>
    <row r="359" spans="1:22">
      <c r="A359" t="s">
        <v>769</v>
      </c>
      <c r="B359" t="s">
        <v>428</v>
      </c>
      <c r="C359" t="s">
        <v>440</v>
      </c>
      <c r="D359" t="s">
        <v>636</v>
      </c>
      <c r="E359" t="s">
        <v>198</v>
      </c>
      <c r="F359" t="s">
        <v>70</v>
      </c>
      <c r="G359" t="s">
        <v>71</v>
      </c>
      <c r="H359" t="s">
        <v>82</v>
      </c>
      <c r="I359" t="s">
        <v>82</v>
      </c>
      <c r="J359" t="s">
        <v>55</v>
      </c>
      <c r="K359" t="s">
        <v>65</v>
      </c>
      <c r="L359" t="s">
        <v>43</v>
      </c>
      <c r="M359" s="5">
        <v>5</v>
      </c>
      <c r="N359">
        <v>627</v>
      </c>
      <c r="O359" s="4">
        <v>3653.6</v>
      </c>
      <c r="P359" s="4">
        <v>6932.21</v>
      </c>
      <c r="Q359">
        <v>9</v>
      </c>
      <c r="R359">
        <v>1</v>
      </c>
      <c r="S359" t="s">
        <v>56</v>
      </c>
      <c r="T359">
        <v>5</v>
      </c>
      <c r="U359" t="s">
        <v>45</v>
      </c>
      <c r="V359" t="s">
        <v>46</v>
      </c>
    </row>
    <row r="360" spans="1:22">
      <c r="A360" t="s">
        <v>770</v>
      </c>
      <c r="B360" t="s">
        <v>60</v>
      </c>
      <c r="C360" t="s">
        <v>60</v>
      </c>
      <c r="D360" t="s">
        <v>161</v>
      </c>
      <c r="E360" t="s">
        <v>195</v>
      </c>
      <c r="F360" t="s">
        <v>54</v>
      </c>
      <c r="G360" t="s">
        <v>54</v>
      </c>
      <c r="H360" t="s">
        <v>54</v>
      </c>
      <c r="I360" t="s">
        <v>54</v>
      </c>
      <c r="J360" t="s">
        <v>141</v>
      </c>
      <c r="K360" t="s">
        <v>72</v>
      </c>
      <c r="L360" t="s">
        <v>43</v>
      </c>
      <c r="M360" s="5">
        <v>15.2</v>
      </c>
      <c r="N360">
        <v>1904</v>
      </c>
      <c r="O360" s="4">
        <v>8499.2000000000007</v>
      </c>
      <c r="P360" s="4">
        <v>16072.43</v>
      </c>
      <c r="Q360">
        <v>4</v>
      </c>
      <c r="R360">
        <v>2</v>
      </c>
      <c r="S360" t="s">
        <v>56</v>
      </c>
      <c r="T360">
        <v>4</v>
      </c>
      <c r="U360" t="s">
        <v>45</v>
      </c>
      <c r="V360" t="s">
        <v>46</v>
      </c>
    </row>
    <row r="361" spans="1:22">
      <c r="A361" t="s">
        <v>771</v>
      </c>
      <c r="B361" t="s">
        <v>538</v>
      </c>
      <c r="C361" t="s">
        <v>538</v>
      </c>
      <c r="D361" t="s">
        <v>278</v>
      </c>
      <c r="E361" t="s">
        <v>279</v>
      </c>
      <c r="F361" t="s">
        <v>54</v>
      </c>
      <c r="G361" t="s">
        <v>54</v>
      </c>
      <c r="H361" t="s">
        <v>82</v>
      </c>
      <c r="I361" t="s">
        <v>82</v>
      </c>
      <c r="J361" t="s">
        <v>41</v>
      </c>
      <c r="K361" t="s">
        <v>65</v>
      </c>
      <c r="L361" t="s">
        <v>87</v>
      </c>
      <c r="M361" s="5">
        <v>15.5</v>
      </c>
      <c r="N361">
        <v>578</v>
      </c>
      <c r="O361" s="4">
        <v>4457.8999999999996</v>
      </c>
      <c r="P361" s="4">
        <v>8189.6</v>
      </c>
      <c r="Q361">
        <v>10</v>
      </c>
      <c r="R361">
        <v>2</v>
      </c>
      <c r="S361" t="s">
        <v>56</v>
      </c>
      <c r="T361">
        <v>4</v>
      </c>
      <c r="U361" t="s">
        <v>45</v>
      </c>
      <c r="V361" t="s">
        <v>46</v>
      </c>
    </row>
    <row r="362" spans="1:22">
      <c r="A362" t="s">
        <v>772</v>
      </c>
      <c r="B362" t="s">
        <v>271</v>
      </c>
      <c r="C362" t="s">
        <v>67</v>
      </c>
      <c r="D362" t="s">
        <v>448</v>
      </c>
      <c r="E362" t="s">
        <v>617</v>
      </c>
      <c r="F362" t="s">
        <v>70</v>
      </c>
      <c r="G362" t="s">
        <v>71</v>
      </c>
      <c r="H362" t="s">
        <v>82</v>
      </c>
      <c r="I362" t="s">
        <v>82</v>
      </c>
      <c r="J362" t="s">
        <v>141</v>
      </c>
      <c r="K362" t="s">
        <v>65</v>
      </c>
      <c r="L362" t="s">
        <v>118</v>
      </c>
      <c r="M362" s="5">
        <v>10.199999999999999</v>
      </c>
      <c r="N362">
        <v>1009</v>
      </c>
      <c r="O362" s="4">
        <v>4783.2</v>
      </c>
      <c r="P362" s="4">
        <v>8200.33</v>
      </c>
      <c r="Q362">
        <v>6</v>
      </c>
      <c r="R362">
        <v>0</v>
      </c>
      <c r="S362" t="s">
        <v>44</v>
      </c>
      <c r="T362">
        <v>5</v>
      </c>
      <c r="U362" t="s">
        <v>45</v>
      </c>
      <c r="V362" t="s">
        <v>46</v>
      </c>
    </row>
    <row r="363" spans="1:22">
      <c r="A363" t="s">
        <v>773</v>
      </c>
      <c r="B363" t="s">
        <v>183</v>
      </c>
      <c r="C363" t="s">
        <v>303</v>
      </c>
      <c r="D363" t="s">
        <v>97</v>
      </c>
      <c r="E363" t="s">
        <v>96</v>
      </c>
      <c r="F363" t="s">
        <v>82</v>
      </c>
      <c r="G363" t="s">
        <v>82</v>
      </c>
      <c r="H363" t="s">
        <v>52</v>
      </c>
      <c r="I363" t="s">
        <v>53</v>
      </c>
      <c r="J363" t="s">
        <v>41</v>
      </c>
      <c r="K363" t="s">
        <v>72</v>
      </c>
      <c r="L363" t="s">
        <v>77</v>
      </c>
      <c r="M363" s="5">
        <v>5.8</v>
      </c>
      <c r="N363">
        <v>1792</v>
      </c>
      <c r="O363" s="4">
        <v>7498.6</v>
      </c>
      <c r="P363" s="4">
        <v>12622.89</v>
      </c>
      <c r="Q363">
        <v>1</v>
      </c>
      <c r="R363">
        <v>0</v>
      </c>
      <c r="S363" t="s">
        <v>44</v>
      </c>
      <c r="T363">
        <v>4</v>
      </c>
      <c r="U363" t="s">
        <v>45</v>
      </c>
      <c r="V363" t="s">
        <v>46</v>
      </c>
    </row>
    <row r="364" spans="1:22">
      <c r="A364" t="s">
        <v>774</v>
      </c>
      <c r="B364" t="s">
        <v>355</v>
      </c>
      <c r="C364" t="s">
        <v>355</v>
      </c>
      <c r="D364" t="s">
        <v>497</v>
      </c>
      <c r="E364" t="s">
        <v>497</v>
      </c>
      <c r="F364" t="s">
        <v>82</v>
      </c>
      <c r="G364" t="s">
        <v>82</v>
      </c>
      <c r="H364" t="s">
        <v>52</v>
      </c>
      <c r="I364" t="s">
        <v>53</v>
      </c>
      <c r="J364" t="s">
        <v>55</v>
      </c>
      <c r="K364" t="s">
        <v>65</v>
      </c>
      <c r="L364" t="s">
        <v>77</v>
      </c>
      <c r="M364" s="5">
        <v>13.2</v>
      </c>
      <c r="N364">
        <v>479</v>
      </c>
      <c r="O364" s="4">
        <v>4084.2</v>
      </c>
      <c r="P364" s="4">
        <v>5798.44</v>
      </c>
      <c r="Q364">
        <v>8</v>
      </c>
      <c r="R364">
        <v>0</v>
      </c>
      <c r="S364" t="s">
        <v>44</v>
      </c>
      <c r="T364">
        <v>5</v>
      </c>
      <c r="U364" t="s">
        <v>45</v>
      </c>
      <c r="V364" t="s">
        <v>46</v>
      </c>
    </row>
    <row r="365" spans="1:22">
      <c r="A365" t="s">
        <v>775</v>
      </c>
      <c r="B365" t="s">
        <v>224</v>
      </c>
      <c r="C365" t="s">
        <v>389</v>
      </c>
      <c r="D365" t="s">
        <v>174</v>
      </c>
      <c r="E365" t="s">
        <v>120</v>
      </c>
      <c r="F365" t="s">
        <v>40</v>
      </c>
      <c r="G365" t="s">
        <v>40</v>
      </c>
      <c r="H365" t="s">
        <v>82</v>
      </c>
      <c r="I365" t="s">
        <v>82</v>
      </c>
      <c r="J365" t="s">
        <v>76</v>
      </c>
      <c r="K365" t="s">
        <v>72</v>
      </c>
      <c r="L365" t="s">
        <v>77</v>
      </c>
      <c r="M365" s="5">
        <v>5.5</v>
      </c>
      <c r="N365">
        <v>1846</v>
      </c>
      <c r="O365" s="4">
        <v>7570.3</v>
      </c>
      <c r="P365" s="4">
        <v>13480.75</v>
      </c>
      <c r="Q365">
        <v>1</v>
      </c>
      <c r="R365">
        <v>0</v>
      </c>
      <c r="S365" t="s">
        <v>44</v>
      </c>
      <c r="T365">
        <v>5</v>
      </c>
      <c r="U365" t="s">
        <v>45</v>
      </c>
      <c r="V365" t="s">
        <v>46</v>
      </c>
    </row>
    <row r="366" spans="1:22">
      <c r="A366" t="s">
        <v>776</v>
      </c>
      <c r="B366" t="s">
        <v>255</v>
      </c>
      <c r="C366" t="s">
        <v>278</v>
      </c>
      <c r="D366" t="s">
        <v>279</v>
      </c>
      <c r="E366" t="s">
        <v>380</v>
      </c>
      <c r="F366" t="s">
        <v>54</v>
      </c>
      <c r="G366" t="s">
        <v>54</v>
      </c>
      <c r="H366" t="s">
        <v>82</v>
      </c>
      <c r="I366" t="s">
        <v>82</v>
      </c>
      <c r="J366" t="s">
        <v>141</v>
      </c>
      <c r="K366" t="s">
        <v>72</v>
      </c>
      <c r="L366" t="s">
        <v>87</v>
      </c>
      <c r="M366" s="5">
        <v>8.3000000000000007</v>
      </c>
      <c r="N366">
        <v>1467</v>
      </c>
      <c r="O366" s="4">
        <v>7126.1</v>
      </c>
      <c r="P366" s="4">
        <v>14433.13</v>
      </c>
      <c r="Q366">
        <v>4</v>
      </c>
      <c r="R366">
        <v>2</v>
      </c>
      <c r="S366" t="s">
        <v>56</v>
      </c>
      <c r="T366">
        <v>4</v>
      </c>
      <c r="U366" t="s">
        <v>45</v>
      </c>
      <c r="V366" t="s">
        <v>46</v>
      </c>
    </row>
    <row r="367" spans="1:22">
      <c r="A367" t="s">
        <v>777</v>
      </c>
      <c r="B367" t="s">
        <v>235</v>
      </c>
      <c r="C367" t="s">
        <v>129</v>
      </c>
      <c r="D367" t="s">
        <v>130</v>
      </c>
      <c r="E367" t="s">
        <v>130</v>
      </c>
      <c r="F367" t="s">
        <v>40</v>
      </c>
      <c r="G367" t="s">
        <v>40</v>
      </c>
      <c r="H367" t="s">
        <v>54</v>
      </c>
      <c r="I367" t="s">
        <v>54</v>
      </c>
      <c r="J367" t="s">
        <v>141</v>
      </c>
      <c r="K367" t="s">
        <v>65</v>
      </c>
      <c r="L367" t="s">
        <v>77</v>
      </c>
      <c r="M367" s="5">
        <v>4.4000000000000004</v>
      </c>
      <c r="N367">
        <v>1050</v>
      </c>
      <c r="O367" s="4">
        <v>4364</v>
      </c>
      <c r="P367" s="4">
        <v>9085.5300000000007</v>
      </c>
      <c r="Q367">
        <v>8</v>
      </c>
      <c r="R367">
        <v>0</v>
      </c>
      <c r="S367" t="s">
        <v>44</v>
      </c>
      <c r="T367">
        <v>5</v>
      </c>
      <c r="U367" t="s">
        <v>45</v>
      </c>
      <c r="V367" t="s">
        <v>46</v>
      </c>
    </row>
    <row r="368" spans="1:22">
      <c r="A368" t="s">
        <v>778</v>
      </c>
      <c r="B368" t="s">
        <v>455</v>
      </c>
      <c r="C368" t="s">
        <v>455</v>
      </c>
      <c r="D368" t="s">
        <v>456</v>
      </c>
      <c r="E368" t="s">
        <v>457</v>
      </c>
      <c r="F368" t="s">
        <v>54</v>
      </c>
      <c r="G368" t="s">
        <v>54</v>
      </c>
      <c r="H368" t="s">
        <v>54</v>
      </c>
      <c r="I368" t="s">
        <v>54</v>
      </c>
      <c r="J368" t="s">
        <v>41</v>
      </c>
      <c r="K368" t="s">
        <v>72</v>
      </c>
      <c r="L368" t="s">
        <v>77</v>
      </c>
      <c r="M368" s="5">
        <v>6.3</v>
      </c>
      <c r="N368">
        <v>219</v>
      </c>
      <c r="O368" s="4">
        <v>4709.7</v>
      </c>
      <c r="P368" s="4">
        <v>9455.4699999999993</v>
      </c>
      <c r="Q368">
        <v>1</v>
      </c>
      <c r="R368">
        <v>0</v>
      </c>
      <c r="S368" t="s">
        <v>44</v>
      </c>
      <c r="T368">
        <v>5</v>
      </c>
      <c r="U368" t="s">
        <v>45</v>
      </c>
      <c r="V368" t="s">
        <v>46</v>
      </c>
    </row>
    <row r="369" spans="1:22">
      <c r="A369" t="s">
        <v>779</v>
      </c>
      <c r="B369" t="s">
        <v>384</v>
      </c>
      <c r="C369" t="s">
        <v>384</v>
      </c>
      <c r="D369" t="s">
        <v>572</v>
      </c>
      <c r="E369" t="s">
        <v>158</v>
      </c>
      <c r="F369" t="s">
        <v>82</v>
      </c>
      <c r="G369" t="s">
        <v>82</v>
      </c>
      <c r="H369" t="s">
        <v>40</v>
      </c>
      <c r="I369" t="s">
        <v>40</v>
      </c>
      <c r="J369" t="s">
        <v>76</v>
      </c>
      <c r="K369" t="s">
        <v>72</v>
      </c>
      <c r="L369" t="s">
        <v>77</v>
      </c>
      <c r="M369" s="5">
        <v>13.8</v>
      </c>
      <c r="N369">
        <v>2003</v>
      </c>
      <c r="O369" s="4">
        <v>8558.4</v>
      </c>
      <c r="P369" s="4">
        <v>16959.2</v>
      </c>
      <c r="Q369">
        <v>1</v>
      </c>
      <c r="R369">
        <v>0</v>
      </c>
      <c r="S369" t="s">
        <v>44</v>
      </c>
      <c r="T369">
        <v>5</v>
      </c>
      <c r="U369" t="s">
        <v>45</v>
      </c>
      <c r="V369" t="s">
        <v>46</v>
      </c>
    </row>
    <row r="370" spans="1:22">
      <c r="A370" t="s">
        <v>780</v>
      </c>
      <c r="B370" t="s">
        <v>246</v>
      </c>
      <c r="C370" t="s">
        <v>247</v>
      </c>
      <c r="D370" t="s">
        <v>84</v>
      </c>
      <c r="E370" t="s">
        <v>84</v>
      </c>
      <c r="F370" t="s">
        <v>70</v>
      </c>
      <c r="G370" t="s">
        <v>71</v>
      </c>
      <c r="H370" t="s">
        <v>70</v>
      </c>
      <c r="I370" t="s">
        <v>71</v>
      </c>
      <c r="J370" t="s">
        <v>41</v>
      </c>
      <c r="K370" t="s">
        <v>72</v>
      </c>
      <c r="L370" t="s">
        <v>43</v>
      </c>
      <c r="M370" s="5">
        <v>12.7</v>
      </c>
      <c r="N370">
        <v>1112</v>
      </c>
      <c r="O370" s="4">
        <v>6861.1</v>
      </c>
      <c r="P370" s="4">
        <v>11200.71</v>
      </c>
      <c r="Q370">
        <v>2</v>
      </c>
      <c r="R370">
        <v>0</v>
      </c>
      <c r="S370" t="s">
        <v>44</v>
      </c>
      <c r="T370">
        <v>5</v>
      </c>
      <c r="U370" t="s">
        <v>45</v>
      </c>
      <c r="V370" t="s">
        <v>46</v>
      </c>
    </row>
    <row r="371" spans="1:22">
      <c r="A371" t="s">
        <v>781</v>
      </c>
      <c r="B371" t="s">
        <v>483</v>
      </c>
      <c r="C371" t="s">
        <v>483</v>
      </c>
      <c r="D371" t="s">
        <v>484</v>
      </c>
      <c r="E371" t="s">
        <v>484</v>
      </c>
      <c r="F371" t="s">
        <v>40</v>
      </c>
      <c r="G371" t="s">
        <v>40</v>
      </c>
      <c r="H371" t="s">
        <v>70</v>
      </c>
      <c r="I371" t="s">
        <v>71</v>
      </c>
      <c r="J371" t="s">
        <v>76</v>
      </c>
      <c r="K371" t="s">
        <v>72</v>
      </c>
      <c r="L371" t="s">
        <v>118</v>
      </c>
      <c r="M371" s="5">
        <v>14.8</v>
      </c>
      <c r="N371">
        <v>1832</v>
      </c>
      <c r="O371" s="4">
        <v>8335.6</v>
      </c>
      <c r="P371" s="4">
        <v>11011.45</v>
      </c>
      <c r="Q371">
        <v>2</v>
      </c>
      <c r="R371">
        <v>0</v>
      </c>
      <c r="S371" t="s">
        <v>44</v>
      </c>
      <c r="T371">
        <v>5</v>
      </c>
      <c r="U371" t="s">
        <v>45</v>
      </c>
      <c r="V371" t="s">
        <v>46</v>
      </c>
    </row>
    <row r="372" spans="1:22">
      <c r="A372" t="s">
        <v>782</v>
      </c>
      <c r="B372" t="s">
        <v>84</v>
      </c>
      <c r="C372" t="s">
        <v>84</v>
      </c>
      <c r="D372" t="s">
        <v>85</v>
      </c>
      <c r="E372" t="s">
        <v>86</v>
      </c>
      <c r="F372" t="s">
        <v>54</v>
      </c>
      <c r="G372" t="s">
        <v>54</v>
      </c>
      <c r="H372" t="s">
        <v>54</v>
      </c>
      <c r="I372" t="s">
        <v>54</v>
      </c>
      <c r="J372" t="s">
        <v>76</v>
      </c>
      <c r="K372" t="s">
        <v>65</v>
      </c>
      <c r="L372" t="s">
        <v>87</v>
      </c>
      <c r="M372" s="5">
        <v>17.899999999999999</v>
      </c>
      <c r="N372">
        <v>1267</v>
      </c>
      <c r="O372" s="4">
        <v>5902.1</v>
      </c>
      <c r="P372" s="4">
        <v>7621.18</v>
      </c>
      <c r="Q372">
        <v>6</v>
      </c>
      <c r="R372">
        <v>0</v>
      </c>
      <c r="S372" t="s">
        <v>44</v>
      </c>
      <c r="T372">
        <v>4</v>
      </c>
      <c r="U372" t="s">
        <v>45</v>
      </c>
      <c r="V372" t="s">
        <v>46</v>
      </c>
    </row>
    <row r="373" spans="1:22">
      <c r="A373" t="s">
        <v>783</v>
      </c>
      <c r="B373" t="s">
        <v>236</v>
      </c>
      <c r="C373" t="s">
        <v>236</v>
      </c>
      <c r="D373" t="s">
        <v>347</v>
      </c>
      <c r="E373" t="s">
        <v>235</v>
      </c>
      <c r="F373" t="s">
        <v>40</v>
      </c>
      <c r="G373" t="s">
        <v>40</v>
      </c>
      <c r="H373" t="s">
        <v>54</v>
      </c>
      <c r="I373" t="s">
        <v>54</v>
      </c>
      <c r="J373" t="s">
        <v>141</v>
      </c>
      <c r="K373" t="s">
        <v>42</v>
      </c>
      <c r="L373" t="s">
        <v>43</v>
      </c>
      <c r="M373" s="5">
        <v>13.3</v>
      </c>
      <c r="N373">
        <v>894</v>
      </c>
      <c r="O373" s="4">
        <v>4839.7</v>
      </c>
      <c r="P373" s="4">
        <v>6446.07</v>
      </c>
      <c r="Q373">
        <v>3</v>
      </c>
      <c r="R373">
        <v>0</v>
      </c>
      <c r="S373" t="s">
        <v>44</v>
      </c>
      <c r="T373">
        <v>5</v>
      </c>
      <c r="U373" t="s">
        <v>45</v>
      </c>
      <c r="V373" t="s">
        <v>46</v>
      </c>
    </row>
    <row r="374" spans="1:22">
      <c r="A374" t="s">
        <v>784</v>
      </c>
      <c r="B374" t="s">
        <v>528</v>
      </c>
      <c r="C374" t="s">
        <v>527</v>
      </c>
      <c r="D374" t="s">
        <v>623</v>
      </c>
      <c r="E374" t="s">
        <v>623</v>
      </c>
      <c r="F374" t="s">
        <v>54</v>
      </c>
      <c r="G374" t="s">
        <v>54</v>
      </c>
      <c r="H374" t="s">
        <v>52</v>
      </c>
      <c r="I374" t="s">
        <v>53</v>
      </c>
      <c r="J374" t="s">
        <v>76</v>
      </c>
      <c r="K374" t="s">
        <v>72</v>
      </c>
      <c r="L374" t="s">
        <v>43</v>
      </c>
      <c r="M374" s="5">
        <v>17</v>
      </c>
      <c r="N374">
        <v>1850</v>
      </c>
      <c r="O374" s="4">
        <v>8555</v>
      </c>
      <c r="P374" s="4">
        <v>12548.29</v>
      </c>
      <c r="Q374">
        <v>2</v>
      </c>
      <c r="R374">
        <v>0</v>
      </c>
      <c r="S374" t="s">
        <v>44</v>
      </c>
      <c r="T374">
        <v>5</v>
      </c>
      <c r="U374" t="s">
        <v>45</v>
      </c>
      <c r="V374" t="s">
        <v>46</v>
      </c>
    </row>
    <row r="375" spans="1:22">
      <c r="A375" t="s">
        <v>785</v>
      </c>
      <c r="B375" t="s">
        <v>93</v>
      </c>
      <c r="C375" t="s">
        <v>330</v>
      </c>
      <c r="D375" t="s">
        <v>473</v>
      </c>
      <c r="E375" t="s">
        <v>655</v>
      </c>
      <c r="F375" t="s">
        <v>82</v>
      </c>
      <c r="G375" t="s">
        <v>82</v>
      </c>
      <c r="H375" t="s">
        <v>70</v>
      </c>
      <c r="I375" t="s">
        <v>71</v>
      </c>
      <c r="J375" t="s">
        <v>55</v>
      </c>
      <c r="K375" t="s">
        <v>65</v>
      </c>
      <c r="L375" t="s">
        <v>43</v>
      </c>
      <c r="M375" s="5">
        <v>1.4</v>
      </c>
      <c r="N375">
        <v>975</v>
      </c>
      <c r="O375" s="4">
        <v>3974</v>
      </c>
      <c r="P375" s="4">
        <v>5747.14</v>
      </c>
      <c r="Q375">
        <v>11</v>
      </c>
      <c r="R375">
        <v>3</v>
      </c>
      <c r="S375" t="s">
        <v>56</v>
      </c>
      <c r="T375">
        <v>4</v>
      </c>
      <c r="U375" t="s">
        <v>45</v>
      </c>
      <c r="V375" t="s">
        <v>46</v>
      </c>
    </row>
    <row r="376" spans="1:22">
      <c r="A376" t="s">
        <v>786</v>
      </c>
      <c r="B376" t="s">
        <v>50</v>
      </c>
      <c r="C376" t="s">
        <v>79</v>
      </c>
      <c r="D376" t="s">
        <v>80</v>
      </c>
      <c r="E376" t="s">
        <v>382</v>
      </c>
      <c r="F376" t="s">
        <v>54</v>
      </c>
      <c r="G376" t="s">
        <v>54</v>
      </c>
      <c r="H376" t="s">
        <v>40</v>
      </c>
      <c r="I376" t="s">
        <v>40</v>
      </c>
      <c r="J376" t="s">
        <v>55</v>
      </c>
      <c r="K376" t="s">
        <v>42</v>
      </c>
      <c r="L376" t="s">
        <v>61</v>
      </c>
      <c r="M376" s="5">
        <v>0.4</v>
      </c>
      <c r="N376">
        <v>1271</v>
      </c>
      <c r="O376" s="4">
        <v>4421.8</v>
      </c>
      <c r="P376" s="4">
        <v>7871.6</v>
      </c>
      <c r="Q376">
        <v>8</v>
      </c>
      <c r="R376">
        <v>3</v>
      </c>
      <c r="S376" t="s">
        <v>56</v>
      </c>
      <c r="T376">
        <v>4</v>
      </c>
      <c r="U376" t="s">
        <v>45</v>
      </c>
      <c r="V376" t="s">
        <v>46</v>
      </c>
    </row>
    <row r="377" spans="1:22">
      <c r="A377" t="s">
        <v>787</v>
      </c>
      <c r="B377" t="s">
        <v>170</v>
      </c>
      <c r="C377" t="s">
        <v>172</v>
      </c>
      <c r="D377" t="s">
        <v>265</v>
      </c>
      <c r="E377" t="s">
        <v>265</v>
      </c>
      <c r="F377" t="s">
        <v>40</v>
      </c>
      <c r="G377" t="s">
        <v>40</v>
      </c>
      <c r="H377" t="s">
        <v>52</v>
      </c>
      <c r="I377" t="s">
        <v>53</v>
      </c>
      <c r="J377" t="s">
        <v>141</v>
      </c>
      <c r="K377" t="s">
        <v>72</v>
      </c>
      <c r="L377" t="s">
        <v>118</v>
      </c>
      <c r="M377" s="5">
        <v>3.1</v>
      </c>
      <c r="N377">
        <v>1650</v>
      </c>
      <c r="O377" s="4">
        <v>7013.5</v>
      </c>
      <c r="P377" s="4">
        <v>10004.200000000001</v>
      </c>
      <c r="Q377">
        <v>2</v>
      </c>
      <c r="R377">
        <v>0</v>
      </c>
      <c r="S377" t="s">
        <v>44</v>
      </c>
      <c r="T377">
        <v>5</v>
      </c>
      <c r="U377" t="s">
        <v>45</v>
      </c>
      <c r="V377" t="s">
        <v>46</v>
      </c>
    </row>
    <row r="378" spans="1:22">
      <c r="A378" t="s">
        <v>788</v>
      </c>
      <c r="B378" t="s">
        <v>287</v>
      </c>
      <c r="C378" t="s">
        <v>287</v>
      </c>
      <c r="D378" t="s">
        <v>480</v>
      </c>
      <c r="E378" t="s">
        <v>479</v>
      </c>
      <c r="F378" t="s">
        <v>70</v>
      </c>
      <c r="G378" t="s">
        <v>71</v>
      </c>
      <c r="H378" t="s">
        <v>70</v>
      </c>
      <c r="I378" t="s">
        <v>71</v>
      </c>
      <c r="J378" t="s">
        <v>41</v>
      </c>
      <c r="K378" t="s">
        <v>65</v>
      </c>
      <c r="L378" t="s">
        <v>118</v>
      </c>
      <c r="M378" s="5">
        <v>8.6999999999999993</v>
      </c>
      <c r="N378">
        <v>1741</v>
      </c>
      <c r="O378" s="4">
        <v>5973.3</v>
      </c>
      <c r="P378" s="4">
        <v>11264.96</v>
      </c>
      <c r="Q378">
        <v>7</v>
      </c>
      <c r="R378">
        <v>0</v>
      </c>
      <c r="S378" t="s">
        <v>44</v>
      </c>
      <c r="T378">
        <v>5</v>
      </c>
      <c r="U378" t="s">
        <v>45</v>
      </c>
      <c r="V378" t="s">
        <v>46</v>
      </c>
    </row>
    <row r="379" spans="1:22">
      <c r="A379" t="s">
        <v>789</v>
      </c>
      <c r="B379" t="s">
        <v>479</v>
      </c>
      <c r="C379" t="s">
        <v>479</v>
      </c>
      <c r="D379" t="s">
        <v>527</v>
      </c>
      <c r="E379" t="s">
        <v>528</v>
      </c>
      <c r="F379" t="s">
        <v>54</v>
      </c>
      <c r="G379" t="s">
        <v>54</v>
      </c>
      <c r="H379" t="s">
        <v>40</v>
      </c>
      <c r="I379" t="s">
        <v>40</v>
      </c>
      <c r="J379" t="s">
        <v>55</v>
      </c>
      <c r="K379" t="s">
        <v>65</v>
      </c>
      <c r="L379" t="s">
        <v>61</v>
      </c>
      <c r="M379" s="5">
        <v>15.2</v>
      </c>
      <c r="N379">
        <v>1134</v>
      </c>
      <c r="O379" s="4">
        <v>5433.2</v>
      </c>
      <c r="P379" s="4">
        <v>7996.94</v>
      </c>
      <c r="Q379">
        <v>6</v>
      </c>
      <c r="R379">
        <v>0</v>
      </c>
      <c r="S379" t="s">
        <v>44</v>
      </c>
      <c r="T379">
        <v>5</v>
      </c>
      <c r="U379" t="s">
        <v>45</v>
      </c>
      <c r="V379" t="s">
        <v>46</v>
      </c>
    </row>
    <row r="380" spans="1:22">
      <c r="A380" t="s">
        <v>790</v>
      </c>
      <c r="B380" t="s">
        <v>330</v>
      </c>
      <c r="C380" t="s">
        <v>106</v>
      </c>
      <c r="D380" t="s">
        <v>94</v>
      </c>
      <c r="E380" t="s">
        <v>331</v>
      </c>
      <c r="F380" t="s">
        <v>52</v>
      </c>
      <c r="G380" t="s">
        <v>53</v>
      </c>
      <c r="H380" t="s">
        <v>70</v>
      </c>
      <c r="I380" t="s">
        <v>71</v>
      </c>
      <c r="J380" t="s">
        <v>41</v>
      </c>
      <c r="K380" t="s">
        <v>72</v>
      </c>
      <c r="L380" t="s">
        <v>61</v>
      </c>
      <c r="M380" s="5">
        <v>16.3</v>
      </c>
      <c r="N380">
        <v>346</v>
      </c>
      <c r="O380" s="4">
        <v>5788.3</v>
      </c>
      <c r="P380" s="4">
        <v>7417.91</v>
      </c>
      <c r="Q380">
        <v>1</v>
      </c>
      <c r="R380">
        <v>0</v>
      </c>
      <c r="S380" t="s">
        <v>44</v>
      </c>
      <c r="T380">
        <v>5</v>
      </c>
      <c r="U380" t="s">
        <v>45</v>
      </c>
      <c r="V380" t="s">
        <v>46</v>
      </c>
    </row>
    <row r="381" spans="1:22">
      <c r="A381" t="s">
        <v>791</v>
      </c>
      <c r="B381" t="s">
        <v>129</v>
      </c>
      <c r="C381" t="s">
        <v>129</v>
      </c>
      <c r="D381" t="s">
        <v>456</v>
      </c>
      <c r="E381" t="s">
        <v>457</v>
      </c>
      <c r="F381" t="s">
        <v>52</v>
      </c>
      <c r="G381" t="s">
        <v>53</v>
      </c>
      <c r="H381" t="s">
        <v>40</v>
      </c>
      <c r="I381" t="s">
        <v>40</v>
      </c>
      <c r="J381" t="s">
        <v>41</v>
      </c>
      <c r="K381" t="s">
        <v>42</v>
      </c>
      <c r="L381" t="s">
        <v>61</v>
      </c>
      <c r="M381" s="5">
        <v>15.7</v>
      </c>
      <c r="N381">
        <v>1899</v>
      </c>
      <c r="O381" s="4">
        <v>6852.7</v>
      </c>
      <c r="P381" s="4">
        <v>10655.97</v>
      </c>
      <c r="Q381">
        <v>4</v>
      </c>
      <c r="R381">
        <v>0</v>
      </c>
      <c r="S381" t="s">
        <v>44</v>
      </c>
      <c r="T381">
        <v>5</v>
      </c>
      <c r="U381" t="s">
        <v>45</v>
      </c>
      <c r="V381" t="s">
        <v>46</v>
      </c>
    </row>
    <row r="382" spans="1:22">
      <c r="A382" t="s">
        <v>792</v>
      </c>
      <c r="B382" t="s">
        <v>602</v>
      </c>
      <c r="C382" t="s">
        <v>402</v>
      </c>
      <c r="D382" t="s">
        <v>603</v>
      </c>
      <c r="E382" t="s">
        <v>604</v>
      </c>
      <c r="F382" t="s">
        <v>40</v>
      </c>
      <c r="G382" t="s">
        <v>40</v>
      </c>
      <c r="H382" t="s">
        <v>52</v>
      </c>
      <c r="I382" t="s">
        <v>53</v>
      </c>
      <c r="J382" t="s">
        <v>41</v>
      </c>
      <c r="K382" t="s">
        <v>72</v>
      </c>
      <c r="L382" t="s">
        <v>77</v>
      </c>
      <c r="M382" s="5">
        <v>7.8</v>
      </c>
      <c r="N382">
        <v>1466</v>
      </c>
      <c r="O382" s="4">
        <v>7081.8</v>
      </c>
      <c r="P382" s="4">
        <v>11321.93</v>
      </c>
      <c r="Q382">
        <v>1</v>
      </c>
      <c r="R382">
        <v>0</v>
      </c>
      <c r="S382" t="s">
        <v>44</v>
      </c>
      <c r="T382">
        <v>5</v>
      </c>
      <c r="U382" t="s">
        <v>45</v>
      </c>
      <c r="V382" t="s">
        <v>46</v>
      </c>
    </row>
    <row r="383" spans="1:22">
      <c r="A383" t="s">
        <v>793</v>
      </c>
      <c r="B383" t="s">
        <v>189</v>
      </c>
      <c r="C383" t="s">
        <v>189</v>
      </c>
      <c r="D383" t="s">
        <v>673</v>
      </c>
      <c r="E383" t="s">
        <v>419</v>
      </c>
      <c r="F383" t="s">
        <v>82</v>
      </c>
      <c r="G383" t="s">
        <v>82</v>
      </c>
      <c r="H383" t="s">
        <v>40</v>
      </c>
      <c r="I383" t="s">
        <v>40</v>
      </c>
      <c r="J383" t="s">
        <v>141</v>
      </c>
      <c r="K383" t="s">
        <v>65</v>
      </c>
      <c r="L383" t="s">
        <v>61</v>
      </c>
      <c r="M383" s="5">
        <v>7.2</v>
      </c>
      <c r="N383">
        <v>1327</v>
      </c>
      <c r="O383" s="4">
        <v>5100.6000000000004</v>
      </c>
      <c r="P383" s="4">
        <v>6620.14</v>
      </c>
      <c r="Q383">
        <v>11</v>
      </c>
      <c r="R383">
        <v>3</v>
      </c>
      <c r="S383" t="s">
        <v>56</v>
      </c>
      <c r="T383">
        <v>4</v>
      </c>
      <c r="U383" t="s">
        <v>45</v>
      </c>
      <c r="V383" t="s">
        <v>46</v>
      </c>
    </row>
    <row r="384" spans="1:22">
      <c r="A384" t="s">
        <v>794</v>
      </c>
      <c r="B384" t="s">
        <v>368</v>
      </c>
      <c r="C384" t="s">
        <v>415</v>
      </c>
      <c r="D384" t="s">
        <v>172</v>
      </c>
      <c r="E384" t="s">
        <v>172</v>
      </c>
      <c r="F384" t="s">
        <v>82</v>
      </c>
      <c r="G384" t="s">
        <v>82</v>
      </c>
      <c r="H384" t="s">
        <v>82</v>
      </c>
      <c r="I384" t="s">
        <v>82</v>
      </c>
      <c r="J384" t="s">
        <v>141</v>
      </c>
      <c r="K384" t="s">
        <v>72</v>
      </c>
      <c r="L384" t="s">
        <v>61</v>
      </c>
      <c r="M384" s="5">
        <v>4.7</v>
      </c>
      <c r="N384">
        <v>119</v>
      </c>
      <c r="O384" s="4">
        <v>4393.7</v>
      </c>
      <c r="P384" s="4">
        <v>8912.06</v>
      </c>
      <c r="Q384">
        <v>2</v>
      </c>
      <c r="R384">
        <v>0</v>
      </c>
      <c r="S384" t="s">
        <v>44</v>
      </c>
      <c r="T384">
        <v>5</v>
      </c>
      <c r="U384" t="s">
        <v>45</v>
      </c>
      <c r="V384" t="s">
        <v>46</v>
      </c>
    </row>
    <row r="385" spans="1:22">
      <c r="A385" t="s">
        <v>795</v>
      </c>
      <c r="B385" t="s">
        <v>430</v>
      </c>
      <c r="C385" t="s">
        <v>430</v>
      </c>
      <c r="D385" t="s">
        <v>634</v>
      </c>
      <c r="E385" t="s">
        <v>634</v>
      </c>
      <c r="F385" t="s">
        <v>40</v>
      </c>
      <c r="G385" t="s">
        <v>40</v>
      </c>
      <c r="H385" t="s">
        <v>52</v>
      </c>
      <c r="I385" t="s">
        <v>53</v>
      </c>
      <c r="J385" t="s">
        <v>55</v>
      </c>
      <c r="K385" t="s">
        <v>42</v>
      </c>
      <c r="L385" t="s">
        <v>61</v>
      </c>
      <c r="M385" s="5">
        <v>0.3</v>
      </c>
      <c r="N385">
        <v>1159</v>
      </c>
      <c r="O385" s="4">
        <v>4211.7</v>
      </c>
      <c r="P385" s="4">
        <v>5614.78</v>
      </c>
      <c r="Q385">
        <v>5</v>
      </c>
      <c r="R385">
        <v>0</v>
      </c>
      <c r="S385" t="s">
        <v>44</v>
      </c>
      <c r="T385">
        <v>5</v>
      </c>
      <c r="U385" t="s">
        <v>45</v>
      </c>
      <c r="V385" t="s">
        <v>46</v>
      </c>
    </row>
    <row r="386" spans="1:22">
      <c r="A386" t="s">
        <v>796</v>
      </c>
      <c r="B386" t="s">
        <v>497</v>
      </c>
      <c r="C386" t="s">
        <v>695</v>
      </c>
      <c r="D386" t="s">
        <v>748</v>
      </c>
      <c r="E386" t="s">
        <v>528</v>
      </c>
      <c r="F386" t="s">
        <v>40</v>
      </c>
      <c r="G386" t="s">
        <v>40</v>
      </c>
      <c r="H386" t="s">
        <v>82</v>
      </c>
      <c r="I386" t="s">
        <v>82</v>
      </c>
      <c r="J386" t="s">
        <v>55</v>
      </c>
      <c r="K386" t="s">
        <v>72</v>
      </c>
      <c r="L386" t="s">
        <v>77</v>
      </c>
      <c r="M386" s="5">
        <v>9.6</v>
      </c>
      <c r="N386">
        <v>386</v>
      </c>
      <c r="O386" s="4">
        <v>5290.8</v>
      </c>
      <c r="P386" s="4">
        <v>9140.2099999999991</v>
      </c>
      <c r="Q386">
        <v>1</v>
      </c>
      <c r="R386">
        <v>0</v>
      </c>
      <c r="S386" t="s">
        <v>44</v>
      </c>
      <c r="T386">
        <v>5</v>
      </c>
      <c r="U386" t="s">
        <v>45</v>
      </c>
      <c r="V386" t="s">
        <v>46</v>
      </c>
    </row>
    <row r="387" spans="1:22">
      <c r="A387" t="s">
        <v>797</v>
      </c>
      <c r="B387" t="s">
        <v>430</v>
      </c>
      <c r="C387" t="s">
        <v>430</v>
      </c>
      <c r="D387" t="s">
        <v>330</v>
      </c>
      <c r="E387" t="s">
        <v>634</v>
      </c>
      <c r="F387" t="s">
        <v>40</v>
      </c>
      <c r="G387" t="s">
        <v>40</v>
      </c>
      <c r="H387" t="s">
        <v>82</v>
      </c>
      <c r="I387" t="s">
        <v>82</v>
      </c>
      <c r="J387" t="s">
        <v>76</v>
      </c>
      <c r="K387" t="s">
        <v>65</v>
      </c>
      <c r="L387" t="s">
        <v>61</v>
      </c>
      <c r="M387" s="5">
        <v>1.1000000000000001</v>
      </c>
      <c r="N387">
        <v>1900</v>
      </c>
      <c r="O387" s="4">
        <v>5613.5</v>
      </c>
      <c r="P387" s="4">
        <v>7096.24</v>
      </c>
      <c r="Q387">
        <v>5</v>
      </c>
      <c r="R387">
        <v>0</v>
      </c>
      <c r="S387" t="s">
        <v>44</v>
      </c>
      <c r="T387">
        <v>5</v>
      </c>
      <c r="U387" t="s">
        <v>45</v>
      </c>
      <c r="V387" t="s">
        <v>46</v>
      </c>
    </row>
    <row r="388" spans="1:22">
      <c r="A388" t="s">
        <v>798</v>
      </c>
      <c r="B388" t="s">
        <v>209</v>
      </c>
      <c r="C388" t="s">
        <v>210</v>
      </c>
      <c r="D388" t="s">
        <v>655</v>
      </c>
      <c r="E388" t="s">
        <v>655</v>
      </c>
      <c r="F388" t="s">
        <v>52</v>
      </c>
      <c r="G388" t="s">
        <v>53</v>
      </c>
      <c r="H388" t="s">
        <v>82</v>
      </c>
      <c r="I388" t="s">
        <v>82</v>
      </c>
      <c r="J388" t="s">
        <v>41</v>
      </c>
      <c r="K388" t="s">
        <v>72</v>
      </c>
      <c r="L388" t="s">
        <v>61</v>
      </c>
      <c r="M388" s="5">
        <v>14</v>
      </c>
      <c r="N388">
        <v>637</v>
      </c>
      <c r="O388" s="4">
        <v>6116.6</v>
      </c>
      <c r="P388" s="4">
        <v>8833.9500000000007</v>
      </c>
      <c r="Q388">
        <v>2</v>
      </c>
      <c r="R388">
        <v>0</v>
      </c>
      <c r="S388" t="s">
        <v>44</v>
      </c>
      <c r="T388">
        <v>4</v>
      </c>
      <c r="U388" t="s">
        <v>45</v>
      </c>
      <c r="V388" t="s">
        <v>46</v>
      </c>
    </row>
    <row r="389" spans="1:22">
      <c r="A389" t="s">
        <v>799</v>
      </c>
      <c r="B389" t="s">
        <v>800</v>
      </c>
      <c r="C389" t="s">
        <v>800</v>
      </c>
      <c r="D389" t="s">
        <v>358</v>
      </c>
      <c r="E389" t="s">
        <v>357</v>
      </c>
      <c r="F389" t="s">
        <v>54</v>
      </c>
      <c r="G389" t="s">
        <v>54</v>
      </c>
      <c r="H389" t="s">
        <v>70</v>
      </c>
      <c r="I389" t="s">
        <v>71</v>
      </c>
      <c r="J389" t="s">
        <v>41</v>
      </c>
      <c r="K389" t="s">
        <v>42</v>
      </c>
      <c r="L389" t="s">
        <v>77</v>
      </c>
      <c r="M389" s="5">
        <v>15.7</v>
      </c>
      <c r="N389">
        <v>1023</v>
      </c>
      <c r="O389" s="4">
        <v>5275.9</v>
      </c>
      <c r="P389" s="4">
        <v>7775.08</v>
      </c>
      <c r="Q389">
        <v>3</v>
      </c>
      <c r="R389">
        <v>0</v>
      </c>
      <c r="S389" t="s">
        <v>44</v>
      </c>
      <c r="T389">
        <v>5</v>
      </c>
      <c r="U389" t="s">
        <v>45</v>
      </c>
      <c r="V389" t="s">
        <v>46</v>
      </c>
    </row>
    <row r="390" spans="1:22">
      <c r="A390" t="s">
        <v>801</v>
      </c>
      <c r="B390" t="s">
        <v>445</v>
      </c>
      <c r="C390" t="s">
        <v>281</v>
      </c>
      <c r="D390" t="s">
        <v>282</v>
      </c>
      <c r="E390" t="s">
        <v>283</v>
      </c>
      <c r="F390" t="s">
        <v>52</v>
      </c>
      <c r="G390" t="s">
        <v>53</v>
      </c>
      <c r="H390" t="s">
        <v>54</v>
      </c>
      <c r="I390" t="s">
        <v>54</v>
      </c>
      <c r="J390" t="s">
        <v>55</v>
      </c>
      <c r="K390" t="s">
        <v>72</v>
      </c>
      <c r="L390" t="s">
        <v>43</v>
      </c>
      <c r="M390" s="5">
        <v>3.6</v>
      </c>
      <c r="N390">
        <v>1701</v>
      </c>
      <c r="O390" s="4">
        <v>7147.8</v>
      </c>
      <c r="P390" s="4">
        <v>13191.95</v>
      </c>
      <c r="Q390">
        <v>5</v>
      </c>
      <c r="R390">
        <v>3</v>
      </c>
      <c r="S390" t="s">
        <v>56</v>
      </c>
      <c r="T390">
        <v>4</v>
      </c>
      <c r="U390" t="s">
        <v>45</v>
      </c>
      <c r="V390" t="s">
        <v>46</v>
      </c>
    </row>
    <row r="391" spans="1:22">
      <c r="A391" t="s">
        <v>802</v>
      </c>
      <c r="B391" t="s">
        <v>103</v>
      </c>
      <c r="C391" t="s">
        <v>464</v>
      </c>
      <c r="D391" t="s">
        <v>572</v>
      </c>
      <c r="E391" t="s">
        <v>138</v>
      </c>
      <c r="F391" t="s">
        <v>54</v>
      </c>
      <c r="G391" t="s">
        <v>54</v>
      </c>
      <c r="H391" t="s">
        <v>52</v>
      </c>
      <c r="I391" t="s">
        <v>53</v>
      </c>
      <c r="J391" t="s">
        <v>55</v>
      </c>
      <c r="K391" t="s">
        <v>65</v>
      </c>
      <c r="L391" t="s">
        <v>87</v>
      </c>
      <c r="M391" s="5">
        <v>1.9</v>
      </c>
      <c r="N391">
        <v>1701</v>
      </c>
      <c r="O391" s="4">
        <v>5323.3</v>
      </c>
      <c r="P391" s="4">
        <v>10528.91</v>
      </c>
      <c r="Q391">
        <v>5</v>
      </c>
      <c r="R391">
        <v>0</v>
      </c>
      <c r="S391" t="s">
        <v>44</v>
      </c>
      <c r="T391">
        <v>4</v>
      </c>
      <c r="U391" t="s">
        <v>45</v>
      </c>
      <c r="V391" t="s">
        <v>46</v>
      </c>
    </row>
    <row r="392" spans="1:22">
      <c r="A392" t="s">
        <v>803</v>
      </c>
      <c r="B392" t="s">
        <v>260</v>
      </c>
      <c r="C392" t="s">
        <v>260</v>
      </c>
      <c r="D392" t="s">
        <v>480</v>
      </c>
      <c r="E392" t="s">
        <v>804</v>
      </c>
      <c r="F392" t="s">
        <v>40</v>
      </c>
      <c r="G392" t="s">
        <v>40</v>
      </c>
      <c r="H392" t="s">
        <v>70</v>
      </c>
      <c r="I392" t="s">
        <v>71</v>
      </c>
      <c r="J392" t="s">
        <v>41</v>
      </c>
      <c r="K392" t="s">
        <v>42</v>
      </c>
      <c r="L392" t="s">
        <v>77</v>
      </c>
      <c r="M392" s="5">
        <v>4.7</v>
      </c>
      <c r="N392">
        <v>996</v>
      </c>
      <c r="O392" s="4">
        <v>4292.3</v>
      </c>
      <c r="P392" s="4">
        <v>7033.3</v>
      </c>
      <c r="Q392">
        <v>8</v>
      </c>
      <c r="R392">
        <v>3</v>
      </c>
      <c r="S392" t="s">
        <v>56</v>
      </c>
      <c r="T392">
        <v>3</v>
      </c>
      <c r="U392" t="s">
        <v>45</v>
      </c>
      <c r="V392" t="s">
        <v>46</v>
      </c>
    </row>
    <row r="393" spans="1:22">
      <c r="A393" t="s">
        <v>805</v>
      </c>
      <c r="B393" t="s">
        <v>607</v>
      </c>
      <c r="C393" t="s">
        <v>217</v>
      </c>
      <c r="D393" t="s">
        <v>218</v>
      </c>
      <c r="E393" t="s">
        <v>393</v>
      </c>
      <c r="F393" t="s">
        <v>54</v>
      </c>
      <c r="G393" t="s">
        <v>54</v>
      </c>
      <c r="H393" t="s">
        <v>82</v>
      </c>
      <c r="I393" t="s">
        <v>82</v>
      </c>
      <c r="J393" t="s">
        <v>41</v>
      </c>
      <c r="K393" t="s">
        <v>72</v>
      </c>
      <c r="L393" t="s">
        <v>43</v>
      </c>
      <c r="M393" s="5">
        <v>4.0999999999999996</v>
      </c>
      <c r="N393">
        <v>1859</v>
      </c>
      <c r="O393" s="4">
        <v>7474.7</v>
      </c>
      <c r="P393" s="4">
        <v>14326.17</v>
      </c>
      <c r="Q393">
        <v>4</v>
      </c>
      <c r="R393">
        <v>2</v>
      </c>
      <c r="S393" t="s">
        <v>56</v>
      </c>
      <c r="T393">
        <v>4</v>
      </c>
      <c r="U393" t="s">
        <v>45</v>
      </c>
      <c r="V393" t="s">
        <v>46</v>
      </c>
    </row>
    <row r="394" spans="1:22">
      <c r="A394" t="s">
        <v>806</v>
      </c>
      <c r="B394" t="s">
        <v>464</v>
      </c>
      <c r="C394" t="s">
        <v>166</v>
      </c>
      <c r="D394" t="s">
        <v>157</v>
      </c>
      <c r="E394" t="s">
        <v>157</v>
      </c>
      <c r="F394" t="s">
        <v>52</v>
      </c>
      <c r="G394" t="s">
        <v>53</v>
      </c>
      <c r="H394" t="s">
        <v>82</v>
      </c>
      <c r="I394" t="s">
        <v>82</v>
      </c>
      <c r="J394" t="s">
        <v>55</v>
      </c>
      <c r="K394" t="s">
        <v>72</v>
      </c>
      <c r="L394" t="s">
        <v>61</v>
      </c>
      <c r="M394" s="5">
        <v>11.4</v>
      </c>
      <c r="N394">
        <v>1261</v>
      </c>
      <c r="O394" s="4">
        <v>7018.8</v>
      </c>
      <c r="P394" s="4">
        <v>9764</v>
      </c>
      <c r="Q394">
        <v>2</v>
      </c>
      <c r="R394">
        <v>0</v>
      </c>
      <c r="S394" t="s">
        <v>44</v>
      </c>
      <c r="T394">
        <v>5</v>
      </c>
      <c r="U394" t="s">
        <v>45</v>
      </c>
      <c r="V394" t="s">
        <v>46</v>
      </c>
    </row>
    <row r="395" spans="1:22">
      <c r="A395" t="s">
        <v>807</v>
      </c>
      <c r="B395" t="s">
        <v>557</v>
      </c>
      <c r="C395" t="s">
        <v>552</v>
      </c>
      <c r="D395" t="s">
        <v>514</v>
      </c>
      <c r="E395" t="s">
        <v>514</v>
      </c>
      <c r="F395" t="s">
        <v>82</v>
      </c>
      <c r="G395" t="s">
        <v>82</v>
      </c>
      <c r="H395" t="s">
        <v>82</v>
      </c>
      <c r="I395" t="s">
        <v>82</v>
      </c>
      <c r="J395" t="s">
        <v>55</v>
      </c>
      <c r="K395" t="s">
        <v>42</v>
      </c>
      <c r="L395" t="s">
        <v>77</v>
      </c>
      <c r="M395" s="5">
        <v>9.5</v>
      </c>
      <c r="N395">
        <v>1632</v>
      </c>
      <c r="O395" s="4">
        <v>5845.1</v>
      </c>
      <c r="P395" s="4">
        <v>9424.83</v>
      </c>
      <c r="Q395">
        <v>5</v>
      </c>
      <c r="R395">
        <v>0</v>
      </c>
      <c r="S395" t="s">
        <v>44</v>
      </c>
      <c r="T395">
        <v>5</v>
      </c>
      <c r="U395" t="s">
        <v>45</v>
      </c>
      <c r="V395" t="s">
        <v>46</v>
      </c>
    </row>
    <row r="396" spans="1:22">
      <c r="A396" t="s">
        <v>808</v>
      </c>
      <c r="B396" t="s">
        <v>213</v>
      </c>
      <c r="C396" t="s">
        <v>214</v>
      </c>
      <c r="D396" t="s">
        <v>452</v>
      </c>
      <c r="E396" t="s">
        <v>204</v>
      </c>
      <c r="F396" t="s">
        <v>70</v>
      </c>
      <c r="G396" t="s">
        <v>71</v>
      </c>
      <c r="H396" t="s">
        <v>54</v>
      </c>
      <c r="I396" t="s">
        <v>54</v>
      </c>
      <c r="J396" t="s">
        <v>141</v>
      </c>
      <c r="K396" t="s">
        <v>65</v>
      </c>
      <c r="L396" t="s">
        <v>118</v>
      </c>
      <c r="M396" s="5">
        <v>5.2</v>
      </c>
      <c r="N396">
        <v>1954</v>
      </c>
      <c r="O396" s="4">
        <v>6059.2</v>
      </c>
      <c r="P396" s="4">
        <v>11146.76</v>
      </c>
      <c r="Q396">
        <v>11</v>
      </c>
      <c r="R396">
        <v>3</v>
      </c>
      <c r="S396" t="s">
        <v>56</v>
      </c>
      <c r="T396">
        <v>4</v>
      </c>
      <c r="U396" t="s">
        <v>45</v>
      </c>
      <c r="V396" t="s">
        <v>46</v>
      </c>
    </row>
    <row r="397" spans="1:22">
      <c r="A397" t="s">
        <v>809</v>
      </c>
      <c r="B397" t="s">
        <v>251</v>
      </c>
      <c r="C397" t="s">
        <v>251</v>
      </c>
      <c r="D397" t="s">
        <v>111</v>
      </c>
      <c r="E397" t="s">
        <v>112</v>
      </c>
      <c r="F397" t="s">
        <v>40</v>
      </c>
      <c r="G397" t="s">
        <v>40</v>
      </c>
      <c r="H397" t="s">
        <v>54</v>
      </c>
      <c r="I397" t="s">
        <v>54</v>
      </c>
      <c r="J397" t="s">
        <v>55</v>
      </c>
      <c r="K397" t="s">
        <v>65</v>
      </c>
      <c r="L397" t="s">
        <v>87</v>
      </c>
      <c r="M397" s="5">
        <v>1.2</v>
      </c>
      <c r="N397">
        <v>2116</v>
      </c>
      <c r="O397" s="4">
        <v>6010.8</v>
      </c>
      <c r="P397" s="4">
        <v>11092.12</v>
      </c>
      <c r="Q397">
        <v>10</v>
      </c>
      <c r="R397">
        <v>2</v>
      </c>
      <c r="S397" t="s">
        <v>56</v>
      </c>
      <c r="T397">
        <v>4</v>
      </c>
      <c r="U397" t="s">
        <v>220</v>
      </c>
      <c r="V397" t="s">
        <v>46</v>
      </c>
    </row>
    <row r="398" spans="1:22">
      <c r="A398" t="s">
        <v>810</v>
      </c>
      <c r="B398" t="s">
        <v>620</v>
      </c>
      <c r="C398" t="s">
        <v>620</v>
      </c>
      <c r="D398" t="s">
        <v>275</v>
      </c>
      <c r="E398" t="s">
        <v>276</v>
      </c>
      <c r="F398" t="s">
        <v>82</v>
      </c>
      <c r="G398" t="s">
        <v>82</v>
      </c>
      <c r="H398" t="s">
        <v>70</v>
      </c>
      <c r="I398" t="s">
        <v>71</v>
      </c>
      <c r="J398" t="s">
        <v>41</v>
      </c>
      <c r="K398" t="s">
        <v>65</v>
      </c>
      <c r="L398" t="s">
        <v>61</v>
      </c>
      <c r="M398" s="5">
        <v>1</v>
      </c>
      <c r="N398">
        <v>482</v>
      </c>
      <c r="O398" s="4">
        <v>3052.6</v>
      </c>
      <c r="P398" s="4">
        <v>4186.03</v>
      </c>
      <c r="Q398">
        <v>6</v>
      </c>
      <c r="R398">
        <v>0</v>
      </c>
      <c r="S398" t="s">
        <v>44</v>
      </c>
      <c r="T398">
        <v>5</v>
      </c>
      <c r="U398" t="s">
        <v>45</v>
      </c>
      <c r="V398" t="s">
        <v>46</v>
      </c>
    </row>
    <row r="399" spans="1:22">
      <c r="A399" t="s">
        <v>811</v>
      </c>
      <c r="B399" t="s">
        <v>188</v>
      </c>
      <c r="C399" t="s">
        <v>585</v>
      </c>
      <c r="D399" t="s">
        <v>135</v>
      </c>
      <c r="E399" t="s">
        <v>133</v>
      </c>
      <c r="F399" t="s">
        <v>40</v>
      </c>
      <c r="G399" t="s">
        <v>40</v>
      </c>
      <c r="H399" t="s">
        <v>52</v>
      </c>
      <c r="I399" t="s">
        <v>53</v>
      </c>
      <c r="J399" t="s">
        <v>76</v>
      </c>
      <c r="K399" t="s">
        <v>42</v>
      </c>
      <c r="L399" t="s">
        <v>61</v>
      </c>
      <c r="M399" s="5">
        <v>5.5</v>
      </c>
      <c r="N399">
        <v>799</v>
      </c>
      <c r="O399" s="4">
        <v>4005.7</v>
      </c>
      <c r="P399" s="4">
        <v>6754.34</v>
      </c>
      <c r="Q399">
        <v>2</v>
      </c>
      <c r="R399">
        <v>0</v>
      </c>
      <c r="S399" t="s">
        <v>44</v>
      </c>
      <c r="T399">
        <v>5</v>
      </c>
      <c r="U399" t="s">
        <v>45</v>
      </c>
      <c r="V399" t="s">
        <v>46</v>
      </c>
    </row>
    <row r="400" spans="1:22">
      <c r="A400" t="s">
        <v>812</v>
      </c>
      <c r="B400" t="s">
        <v>117</v>
      </c>
      <c r="C400" t="s">
        <v>117</v>
      </c>
      <c r="D400" t="s">
        <v>309</v>
      </c>
      <c r="E400" t="s">
        <v>109</v>
      </c>
      <c r="F400" t="s">
        <v>82</v>
      </c>
      <c r="G400" t="s">
        <v>82</v>
      </c>
      <c r="H400" t="s">
        <v>40</v>
      </c>
      <c r="I400" t="s">
        <v>40</v>
      </c>
      <c r="J400" t="s">
        <v>41</v>
      </c>
      <c r="K400" t="s">
        <v>72</v>
      </c>
      <c r="L400" t="s">
        <v>43</v>
      </c>
      <c r="M400" s="5">
        <v>1.4</v>
      </c>
      <c r="N400">
        <v>1111</v>
      </c>
      <c r="O400" s="4">
        <v>5898.8</v>
      </c>
      <c r="P400" s="4">
        <v>11413.86</v>
      </c>
      <c r="Q400">
        <v>3</v>
      </c>
      <c r="R400">
        <v>1</v>
      </c>
      <c r="S400" t="s">
        <v>56</v>
      </c>
      <c r="T400">
        <v>5</v>
      </c>
      <c r="U400" t="s">
        <v>45</v>
      </c>
      <c r="V400" t="s">
        <v>46</v>
      </c>
    </row>
    <row r="401" spans="1:22">
      <c r="A401" t="s">
        <v>813</v>
      </c>
      <c r="B401" t="s">
        <v>270</v>
      </c>
      <c r="C401" t="s">
        <v>270</v>
      </c>
      <c r="D401" t="s">
        <v>143</v>
      </c>
      <c r="E401" t="s">
        <v>75</v>
      </c>
      <c r="F401" t="s">
        <v>40</v>
      </c>
      <c r="G401" t="s">
        <v>40</v>
      </c>
      <c r="H401" t="s">
        <v>52</v>
      </c>
      <c r="I401" t="s">
        <v>53</v>
      </c>
      <c r="J401" t="s">
        <v>76</v>
      </c>
      <c r="K401" t="s">
        <v>65</v>
      </c>
      <c r="L401" t="s">
        <v>87</v>
      </c>
      <c r="M401" s="5">
        <v>7.8</v>
      </c>
      <c r="N401">
        <v>1078</v>
      </c>
      <c r="O401" s="4">
        <v>4703.3999999999996</v>
      </c>
      <c r="P401" s="4">
        <v>9790.23</v>
      </c>
      <c r="Q401">
        <v>6</v>
      </c>
      <c r="R401">
        <v>0</v>
      </c>
      <c r="S401" t="s">
        <v>44</v>
      </c>
      <c r="T401">
        <v>4</v>
      </c>
      <c r="U401" t="s">
        <v>45</v>
      </c>
      <c r="V401" t="s">
        <v>46</v>
      </c>
    </row>
    <row r="402" spans="1:22">
      <c r="A402" t="s">
        <v>814</v>
      </c>
      <c r="B402" t="s">
        <v>324</v>
      </c>
      <c r="C402" t="s">
        <v>325</v>
      </c>
      <c r="D402" t="s">
        <v>815</v>
      </c>
      <c r="E402" t="s">
        <v>815</v>
      </c>
      <c r="F402" t="s">
        <v>70</v>
      </c>
      <c r="G402" t="s">
        <v>71</v>
      </c>
      <c r="H402" t="s">
        <v>82</v>
      </c>
      <c r="I402" t="s">
        <v>82</v>
      </c>
      <c r="J402" t="s">
        <v>55</v>
      </c>
      <c r="K402" t="s">
        <v>42</v>
      </c>
      <c r="L402" t="s">
        <v>87</v>
      </c>
      <c r="M402" s="5">
        <v>8.6</v>
      </c>
      <c r="N402">
        <v>1031</v>
      </c>
      <c r="O402" s="4">
        <v>4686.8</v>
      </c>
      <c r="P402" s="4">
        <v>6943.16</v>
      </c>
      <c r="Q402">
        <v>5</v>
      </c>
      <c r="R402">
        <v>0</v>
      </c>
      <c r="S402" t="s">
        <v>44</v>
      </c>
      <c r="T402">
        <v>5</v>
      </c>
      <c r="U402" t="s">
        <v>45</v>
      </c>
      <c r="V402" t="s">
        <v>46</v>
      </c>
    </row>
    <row r="403" spans="1:22">
      <c r="A403" t="s">
        <v>816</v>
      </c>
      <c r="B403" t="s">
        <v>249</v>
      </c>
      <c r="C403" t="s">
        <v>249</v>
      </c>
      <c r="D403" t="s">
        <v>204</v>
      </c>
      <c r="E403" t="s">
        <v>453</v>
      </c>
      <c r="F403" t="s">
        <v>52</v>
      </c>
      <c r="G403" t="s">
        <v>53</v>
      </c>
      <c r="H403" t="s">
        <v>52</v>
      </c>
      <c r="I403" t="s">
        <v>53</v>
      </c>
      <c r="J403" t="s">
        <v>141</v>
      </c>
      <c r="K403" t="s">
        <v>72</v>
      </c>
      <c r="L403" t="s">
        <v>61</v>
      </c>
      <c r="M403" s="5">
        <v>5.9</v>
      </c>
      <c r="N403">
        <v>800</v>
      </c>
      <c r="O403" s="4">
        <v>5721.5</v>
      </c>
      <c r="P403" s="4">
        <v>11131.5</v>
      </c>
      <c r="Q403">
        <v>1</v>
      </c>
      <c r="R403">
        <v>0</v>
      </c>
      <c r="S403" t="s">
        <v>44</v>
      </c>
      <c r="T403">
        <v>5</v>
      </c>
      <c r="U403" t="s">
        <v>45</v>
      </c>
      <c r="V403" t="s">
        <v>46</v>
      </c>
    </row>
    <row r="404" spans="1:22">
      <c r="A404" t="s">
        <v>817</v>
      </c>
      <c r="B404" t="s">
        <v>630</v>
      </c>
      <c r="C404" t="s">
        <v>409</v>
      </c>
      <c r="D404" t="s">
        <v>319</v>
      </c>
      <c r="E404" t="s">
        <v>363</v>
      </c>
      <c r="F404" t="s">
        <v>54</v>
      </c>
      <c r="G404" t="s">
        <v>54</v>
      </c>
      <c r="H404" t="s">
        <v>52</v>
      </c>
      <c r="I404" t="s">
        <v>53</v>
      </c>
      <c r="J404" t="s">
        <v>76</v>
      </c>
      <c r="K404" t="s">
        <v>65</v>
      </c>
      <c r="L404" t="s">
        <v>77</v>
      </c>
      <c r="M404" s="5">
        <v>11.3</v>
      </c>
      <c r="N404">
        <v>650</v>
      </c>
      <c r="O404" s="4">
        <v>4230.5</v>
      </c>
      <c r="P404" s="4">
        <v>5503.39</v>
      </c>
      <c r="Q404">
        <v>10</v>
      </c>
      <c r="R404">
        <v>2</v>
      </c>
      <c r="S404" t="s">
        <v>56</v>
      </c>
      <c r="T404">
        <v>3</v>
      </c>
      <c r="U404" t="s">
        <v>45</v>
      </c>
      <c r="V404" t="s">
        <v>46</v>
      </c>
    </row>
    <row r="405" spans="1:22">
      <c r="A405" t="s">
        <v>818</v>
      </c>
      <c r="B405" t="s">
        <v>246</v>
      </c>
      <c r="C405" t="s">
        <v>411</v>
      </c>
      <c r="D405" t="s">
        <v>645</v>
      </c>
      <c r="E405" t="s">
        <v>351</v>
      </c>
      <c r="F405" t="s">
        <v>52</v>
      </c>
      <c r="G405" t="s">
        <v>53</v>
      </c>
      <c r="H405" t="s">
        <v>82</v>
      </c>
      <c r="I405" t="s">
        <v>82</v>
      </c>
      <c r="J405" t="s">
        <v>55</v>
      </c>
      <c r="K405" t="s">
        <v>72</v>
      </c>
      <c r="L405" t="s">
        <v>87</v>
      </c>
      <c r="M405" s="5">
        <v>11.1</v>
      </c>
      <c r="N405">
        <v>730</v>
      </c>
      <c r="O405" s="4">
        <v>6037.5</v>
      </c>
      <c r="P405" s="4">
        <v>12446.46</v>
      </c>
      <c r="Q405">
        <v>4</v>
      </c>
      <c r="R405">
        <v>2</v>
      </c>
      <c r="S405" t="s">
        <v>56</v>
      </c>
      <c r="T405">
        <v>4</v>
      </c>
      <c r="U405" t="s">
        <v>45</v>
      </c>
      <c r="V405" t="s">
        <v>46</v>
      </c>
    </row>
    <row r="406" spans="1:22">
      <c r="A406" t="s">
        <v>819</v>
      </c>
      <c r="B406" t="s">
        <v>243</v>
      </c>
      <c r="C406" t="s">
        <v>254</v>
      </c>
      <c r="D406" t="s">
        <v>279</v>
      </c>
      <c r="E406" t="s">
        <v>187</v>
      </c>
      <c r="F406" t="s">
        <v>82</v>
      </c>
      <c r="G406" t="s">
        <v>82</v>
      </c>
      <c r="H406" t="s">
        <v>70</v>
      </c>
      <c r="I406" t="s">
        <v>71</v>
      </c>
      <c r="J406" t="s">
        <v>76</v>
      </c>
      <c r="K406" t="s">
        <v>42</v>
      </c>
      <c r="L406" t="s">
        <v>61</v>
      </c>
      <c r="M406" s="5">
        <v>7.4</v>
      </c>
      <c r="N406">
        <v>320</v>
      </c>
      <c r="O406" s="4">
        <v>3305</v>
      </c>
      <c r="P406" s="4">
        <v>5215.1099999999997</v>
      </c>
      <c r="Q406">
        <v>2</v>
      </c>
      <c r="R406">
        <v>0</v>
      </c>
      <c r="S406" t="s">
        <v>44</v>
      </c>
      <c r="T406">
        <v>5</v>
      </c>
      <c r="U406" t="s">
        <v>45</v>
      </c>
      <c r="V406" t="s">
        <v>46</v>
      </c>
    </row>
    <row r="407" spans="1:22">
      <c r="A407" t="s">
        <v>820</v>
      </c>
      <c r="B407" t="s">
        <v>422</v>
      </c>
      <c r="C407" t="s">
        <v>422</v>
      </c>
      <c r="D407" t="s">
        <v>236</v>
      </c>
      <c r="E407" t="s">
        <v>235</v>
      </c>
      <c r="F407" t="s">
        <v>40</v>
      </c>
      <c r="G407" t="s">
        <v>40</v>
      </c>
      <c r="H407" t="s">
        <v>54</v>
      </c>
      <c r="I407" t="s">
        <v>54</v>
      </c>
      <c r="J407" t="s">
        <v>141</v>
      </c>
      <c r="K407" t="s">
        <v>65</v>
      </c>
      <c r="L407" t="s">
        <v>61</v>
      </c>
      <c r="M407" s="5">
        <v>2.2000000000000002</v>
      </c>
      <c r="N407">
        <v>785</v>
      </c>
      <c r="O407" s="4">
        <v>3700</v>
      </c>
      <c r="P407" s="4">
        <v>6425.12</v>
      </c>
      <c r="Q407">
        <v>11</v>
      </c>
      <c r="R407">
        <v>3</v>
      </c>
      <c r="S407" t="s">
        <v>56</v>
      </c>
      <c r="T407">
        <v>4</v>
      </c>
      <c r="U407" t="s">
        <v>45</v>
      </c>
      <c r="V407" t="s">
        <v>46</v>
      </c>
    </row>
    <row r="408" spans="1:22">
      <c r="A408" t="s">
        <v>821</v>
      </c>
      <c r="B408" t="s">
        <v>342</v>
      </c>
      <c r="C408" t="s">
        <v>651</v>
      </c>
      <c r="D408" t="s">
        <v>575</v>
      </c>
      <c r="E408" t="s">
        <v>344</v>
      </c>
      <c r="F408" t="s">
        <v>82</v>
      </c>
      <c r="G408" t="s">
        <v>82</v>
      </c>
      <c r="H408" t="s">
        <v>40</v>
      </c>
      <c r="I408" t="s">
        <v>40</v>
      </c>
      <c r="J408" t="s">
        <v>55</v>
      </c>
      <c r="K408" t="s">
        <v>72</v>
      </c>
      <c r="L408" t="s">
        <v>43</v>
      </c>
      <c r="M408" s="5">
        <v>5</v>
      </c>
      <c r="N408">
        <v>1236</v>
      </c>
      <c r="O408" s="4">
        <v>6429.8</v>
      </c>
      <c r="P408" s="4">
        <v>12642.21</v>
      </c>
      <c r="Q408">
        <v>3</v>
      </c>
      <c r="R408">
        <v>1</v>
      </c>
      <c r="S408" t="s">
        <v>56</v>
      </c>
      <c r="T408">
        <v>5</v>
      </c>
      <c r="U408" t="s">
        <v>45</v>
      </c>
      <c r="V408" t="s">
        <v>46</v>
      </c>
    </row>
    <row r="409" spans="1:22">
      <c r="A409" t="s">
        <v>822</v>
      </c>
      <c r="B409" t="s">
        <v>238</v>
      </c>
      <c r="C409" t="s">
        <v>170</v>
      </c>
      <c r="D409" t="s">
        <v>171</v>
      </c>
      <c r="E409" t="s">
        <v>265</v>
      </c>
      <c r="F409" t="s">
        <v>54</v>
      </c>
      <c r="G409" t="s">
        <v>54</v>
      </c>
      <c r="H409" t="s">
        <v>40</v>
      </c>
      <c r="I409" t="s">
        <v>40</v>
      </c>
      <c r="J409" t="s">
        <v>41</v>
      </c>
      <c r="K409" t="s">
        <v>72</v>
      </c>
      <c r="L409" t="s">
        <v>43</v>
      </c>
      <c r="M409" s="5">
        <v>0.6</v>
      </c>
      <c r="N409">
        <v>917</v>
      </c>
      <c r="O409" s="4">
        <v>5481.6</v>
      </c>
      <c r="P409" s="4">
        <v>9109.4500000000007</v>
      </c>
      <c r="Q409">
        <v>3</v>
      </c>
      <c r="R409">
        <v>1</v>
      </c>
      <c r="S409" t="s">
        <v>56</v>
      </c>
      <c r="T409">
        <v>5</v>
      </c>
      <c r="U409" t="s">
        <v>45</v>
      </c>
      <c r="V409" t="s">
        <v>46</v>
      </c>
    </row>
    <row r="410" spans="1:22">
      <c r="A410" t="s">
        <v>823</v>
      </c>
      <c r="B410" t="s">
        <v>251</v>
      </c>
      <c r="C410" t="s">
        <v>117</v>
      </c>
      <c r="D410" t="s">
        <v>824</v>
      </c>
      <c r="E410" t="s">
        <v>112</v>
      </c>
      <c r="F410" t="s">
        <v>40</v>
      </c>
      <c r="G410" t="s">
        <v>40</v>
      </c>
      <c r="H410" t="s">
        <v>82</v>
      </c>
      <c r="I410" t="s">
        <v>82</v>
      </c>
      <c r="J410" t="s">
        <v>55</v>
      </c>
      <c r="K410" t="s">
        <v>65</v>
      </c>
      <c r="L410" t="s">
        <v>43</v>
      </c>
      <c r="M410" s="5">
        <v>10</v>
      </c>
      <c r="N410">
        <v>1380</v>
      </c>
      <c r="O410" s="4">
        <v>5434</v>
      </c>
      <c r="P410" s="4">
        <v>7368.62</v>
      </c>
      <c r="Q410">
        <v>9</v>
      </c>
      <c r="R410">
        <v>1</v>
      </c>
      <c r="S410" t="s">
        <v>56</v>
      </c>
      <c r="T410">
        <v>5</v>
      </c>
      <c r="U410" t="s">
        <v>45</v>
      </c>
      <c r="V410" t="s">
        <v>46</v>
      </c>
    </row>
    <row r="411" spans="1:22">
      <c r="A411" t="s">
        <v>825</v>
      </c>
      <c r="B411" t="s">
        <v>414</v>
      </c>
      <c r="C411" t="s">
        <v>368</v>
      </c>
      <c r="D411" t="s">
        <v>239</v>
      </c>
      <c r="E411" t="s">
        <v>266</v>
      </c>
      <c r="F411" t="s">
        <v>82</v>
      </c>
      <c r="G411" t="s">
        <v>82</v>
      </c>
      <c r="H411" t="s">
        <v>70</v>
      </c>
      <c r="I411" t="s">
        <v>71</v>
      </c>
      <c r="J411" t="s">
        <v>76</v>
      </c>
      <c r="K411" t="s">
        <v>65</v>
      </c>
      <c r="L411" t="s">
        <v>43</v>
      </c>
      <c r="M411" s="5">
        <v>18.100000000000001</v>
      </c>
      <c r="N411">
        <v>780</v>
      </c>
      <c r="O411" s="4">
        <v>5042.5</v>
      </c>
      <c r="P411" s="4">
        <v>8383.1200000000008</v>
      </c>
      <c r="Q411">
        <v>7</v>
      </c>
      <c r="R411">
        <v>0</v>
      </c>
      <c r="S411" t="s">
        <v>44</v>
      </c>
      <c r="T411">
        <v>5</v>
      </c>
      <c r="U411" t="s">
        <v>45</v>
      </c>
      <c r="V411" t="s">
        <v>46</v>
      </c>
    </row>
    <row r="412" spans="1:22">
      <c r="A412" t="s">
        <v>826</v>
      </c>
      <c r="B412" t="s">
        <v>106</v>
      </c>
      <c r="C412" t="s">
        <v>106</v>
      </c>
      <c r="D412" t="s">
        <v>209</v>
      </c>
      <c r="E412" t="s">
        <v>534</v>
      </c>
      <c r="F412" t="s">
        <v>82</v>
      </c>
      <c r="G412" t="s">
        <v>82</v>
      </c>
      <c r="H412" t="s">
        <v>70</v>
      </c>
      <c r="I412" t="s">
        <v>71</v>
      </c>
      <c r="J412" t="s">
        <v>55</v>
      </c>
      <c r="K412" t="s">
        <v>42</v>
      </c>
      <c r="L412" t="s">
        <v>77</v>
      </c>
      <c r="M412" s="5">
        <v>2.6</v>
      </c>
      <c r="N412">
        <v>1804</v>
      </c>
      <c r="O412" s="4">
        <v>5568.2</v>
      </c>
      <c r="P412" s="4">
        <v>8721.4699999999993</v>
      </c>
      <c r="Q412">
        <v>4</v>
      </c>
      <c r="R412">
        <v>0</v>
      </c>
      <c r="S412" t="s">
        <v>44</v>
      </c>
      <c r="T412">
        <v>5</v>
      </c>
      <c r="U412" t="s">
        <v>45</v>
      </c>
      <c r="V412" t="s">
        <v>46</v>
      </c>
    </row>
    <row r="413" spans="1:22">
      <c r="A413" t="s">
        <v>827</v>
      </c>
      <c r="B413" t="s">
        <v>311</v>
      </c>
      <c r="C413" t="s">
        <v>497</v>
      </c>
      <c r="D413" t="s">
        <v>527</v>
      </c>
      <c r="E413" t="s">
        <v>695</v>
      </c>
      <c r="F413" t="s">
        <v>70</v>
      </c>
      <c r="G413" t="s">
        <v>71</v>
      </c>
      <c r="H413" t="s">
        <v>82</v>
      </c>
      <c r="I413" t="s">
        <v>82</v>
      </c>
      <c r="J413" t="s">
        <v>76</v>
      </c>
      <c r="K413" t="s">
        <v>42</v>
      </c>
      <c r="L413" t="s">
        <v>87</v>
      </c>
      <c r="M413" s="5">
        <v>8.4</v>
      </c>
      <c r="N413">
        <v>1506</v>
      </c>
      <c r="O413" s="4">
        <v>5524.8</v>
      </c>
      <c r="P413" s="4">
        <v>7466.61</v>
      </c>
      <c r="Q413">
        <v>2</v>
      </c>
      <c r="R413">
        <v>0</v>
      </c>
      <c r="S413" t="s">
        <v>44</v>
      </c>
      <c r="T413">
        <v>5</v>
      </c>
      <c r="U413" t="s">
        <v>45</v>
      </c>
      <c r="V413" t="s">
        <v>46</v>
      </c>
    </row>
    <row r="414" spans="1:22">
      <c r="A414" t="s">
        <v>828</v>
      </c>
      <c r="B414" t="s">
        <v>384</v>
      </c>
      <c r="C414" t="s">
        <v>158</v>
      </c>
      <c r="D414" t="s">
        <v>300</v>
      </c>
      <c r="E414" t="s">
        <v>300</v>
      </c>
      <c r="F414" t="s">
        <v>82</v>
      </c>
      <c r="G414" t="s">
        <v>82</v>
      </c>
      <c r="H414" t="s">
        <v>54</v>
      </c>
      <c r="I414" t="s">
        <v>54</v>
      </c>
      <c r="J414" t="s">
        <v>141</v>
      </c>
      <c r="K414" t="s">
        <v>65</v>
      </c>
      <c r="L414" t="s">
        <v>43</v>
      </c>
      <c r="M414" s="5">
        <v>7.1</v>
      </c>
      <c r="N414">
        <v>1754</v>
      </c>
      <c r="O414" s="4">
        <v>5860.7</v>
      </c>
      <c r="P414" s="4">
        <v>9640.4699999999993</v>
      </c>
      <c r="Q414">
        <v>8</v>
      </c>
      <c r="R414">
        <v>0</v>
      </c>
      <c r="S414" t="s">
        <v>44</v>
      </c>
      <c r="T414">
        <v>4</v>
      </c>
      <c r="U414" t="s">
        <v>45</v>
      </c>
      <c r="V414" t="s">
        <v>46</v>
      </c>
    </row>
    <row r="415" spans="1:22">
      <c r="A415" t="s">
        <v>829</v>
      </c>
      <c r="B415" t="s">
        <v>380</v>
      </c>
      <c r="C415" t="s">
        <v>380</v>
      </c>
      <c r="D415" t="s">
        <v>650</v>
      </c>
      <c r="E415" t="s">
        <v>230</v>
      </c>
      <c r="F415" t="s">
        <v>52</v>
      </c>
      <c r="G415" t="s">
        <v>53</v>
      </c>
      <c r="H415" t="s">
        <v>40</v>
      </c>
      <c r="I415" t="s">
        <v>40</v>
      </c>
      <c r="J415" t="s">
        <v>76</v>
      </c>
      <c r="K415" t="s">
        <v>65</v>
      </c>
      <c r="L415" t="s">
        <v>87</v>
      </c>
      <c r="M415" s="5">
        <v>5.5</v>
      </c>
      <c r="N415">
        <v>352</v>
      </c>
      <c r="O415" s="4">
        <v>3201.1</v>
      </c>
      <c r="P415" s="4">
        <v>6686.57</v>
      </c>
      <c r="Q415">
        <v>7</v>
      </c>
      <c r="R415">
        <v>0</v>
      </c>
      <c r="S415" t="s">
        <v>44</v>
      </c>
      <c r="T415">
        <v>5</v>
      </c>
      <c r="U415" t="s">
        <v>45</v>
      </c>
      <c r="V415" t="s">
        <v>46</v>
      </c>
    </row>
    <row r="416" spans="1:22">
      <c r="A416" t="s">
        <v>830</v>
      </c>
      <c r="B416" t="s">
        <v>623</v>
      </c>
      <c r="C416" t="s">
        <v>326</v>
      </c>
      <c r="D416" t="s">
        <v>831</v>
      </c>
      <c r="E416" t="s">
        <v>831</v>
      </c>
      <c r="F416" t="s">
        <v>82</v>
      </c>
      <c r="G416" t="s">
        <v>82</v>
      </c>
      <c r="H416" t="s">
        <v>40</v>
      </c>
      <c r="I416" t="s">
        <v>40</v>
      </c>
      <c r="J416" t="s">
        <v>41</v>
      </c>
      <c r="K416" t="s">
        <v>72</v>
      </c>
      <c r="L416" t="s">
        <v>61</v>
      </c>
      <c r="M416" s="5">
        <v>2.9</v>
      </c>
      <c r="N416">
        <v>544</v>
      </c>
      <c r="O416" s="4">
        <v>5005.7</v>
      </c>
      <c r="P416" s="4">
        <v>8550.19</v>
      </c>
      <c r="Q416">
        <v>2</v>
      </c>
      <c r="R416">
        <v>0</v>
      </c>
      <c r="S416" t="s">
        <v>44</v>
      </c>
      <c r="T416">
        <v>5</v>
      </c>
      <c r="U416" t="s">
        <v>45</v>
      </c>
      <c r="V416" t="s">
        <v>46</v>
      </c>
    </row>
    <row r="417" spans="1:22">
      <c r="A417" t="s">
        <v>832</v>
      </c>
      <c r="B417" t="s">
        <v>112</v>
      </c>
      <c r="C417" t="s">
        <v>178</v>
      </c>
      <c r="D417" t="s">
        <v>179</v>
      </c>
      <c r="E417" t="s">
        <v>511</v>
      </c>
      <c r="F417" t="s">
        <v>82</v>
      </c>
      <c r="G417" t="s">
        <v>82</v>
      </c>
      <c r="H417" t="s">
        <v>70</v>
      </c>
      <c r="I417" t="s">
        <v>71</v>
      </c>
      <c r="J417" t="s">
        <v>55</v>
      </c>
      <c r="K417" t="s">
        <v>72</v>
      </c>
      <c r="L417" t="s">
        <v>118</v>
      </c>
      <c r="M417" s="5">
        <v>9.8000000000000007</v>
      </c>
      <c r="N417">
        <v>997</v>
      </c>
      <c r="O417" s="4">
        <v>6407.6</v>
      </c>
      <c r="P417" s="4">
        <v>12901.72</v>
      </c>
      <c r="Q417">
        <v>3</v>
      </c>
      <c r="R417">
        <v>1</v>
      </c>
      <c r="S417" t="s">
        <v>56</v>
      </c>
      <c r="T417">
        <v>5</v>
      </c>
      <c r="U417" t="s">
        <v>45</v>
      </c>
      <c r="V417" t="s">
        <v>46</v>
      </c>
    </row>
    <row r="418" spans="1:22">
      <c r="A418" t="s">
        <v>833</v>
      </c>
      <c r="B418" t="s">
        <v>364</v>
      </c>
      <c r="C418" t="s">
        <v>583</v>
      </c>
      <c r="D418" t="s">
        <v>734</v>
      </c>
      <c r="E418" t="s">
        <v>365</v>
      </c>
      <c r="F418" t="s">
        <v>70</v>
      </c>
      <c r="G418" t="s">
        <v>71</v>
      </c>
      <c r="H418" t="s">
        <v>82</v>
      </c>
      <c r="I418" t="s">
        <v>82</v>
      </c>
      <c r="J418" t="s">
        <v>141</v>
      </c>
      <c r="K418" t="s">
        <v>42</v>
      </c>
      <c r="L418" t="s">
        <v>87</v>
      </c>
      <c r="M418" s="5">
        <v>1</v>
      </c>
      <c r="N418">
        <v>629</v>
      </c>
      <c r="O418" s="4">
        <v>3317.2</v>
      </c>
      <c r="P418" s="4">
        <v>5297.78</v>
      </c>
      <c r="Q418">
        <v>2</v>
      </c>
      <c r="R418">
        <v>0</v>
      </c>
      <c r="S418" t="s">
        <v>44</v>
      </c>
      <c r="T418">
        <v>5</v>
      </c>
      <c r="U418" t="s">
        <v>45</v>
      </c>
      <c r="V418" t="s">
        <v>46</v>
      </c>
    </row>
    <row r="419" spans="1:22">
      <c r="A419" t="s">
        <v>834</v>
      </c>
      <c r="B419" t="s">
        <v>199</v>
      </c>
      <c r="C419" t="s">
        <v>567</v>
      </c>
      <c r="D419" t="s">
        <v>475</v>
      </c>
      <c r="E419" t="s">
        <v>406</v>
      </c>
      <c r="F419" t="s">
        <v>54</v>
      </c>
      <c r="G419" t="s">
        <v>54</v>
      </c>
      <c r="H419" t="s">
        <v>82</v>
      </c>
      <c r="I419" t="s">
        <v>82</v>
      </c>
      <c r="J419" t="s">
        <v>55</v>
      </c>
      <c r="K419" t="s">
        <v>65</v>
      </c>
      <c r="L419" t="s">
        <v>77</v>
      </c>
      <c r="M419" s="5">
        <v>14.8</v>
      </c>
      <c r="N419">
        <v>1260</v>
      </c>
      <c r="O419" s="4">
        <v>5626</v>
      </c>
      <c r="P419" s="4">
        <v>11625.96</v>
      </c>
      <c r="Q419">
        <v>5</v>
      </c>
      <c r="R419">
        <v>0</v>
      </c>
      <c r="S419" t="s">
        <v>44</v>
      </c>
      <c r="T419">
        <v>5</v>
      </c>
      <c r="U419" t="s">
        <v>45</v>
      </c>
      <c r="V419" t="s">
        <v>46</v>
      </c>
    </row>
    <row r="420" spans="1:22">
      <c r="A420" t="s">
        <v>835</v>
      </c>
      <c r="B420" t="s">
        <v>687</v>
      </c>
      <c r="C420" t="s">
        <v>687</v>
      </c>
      <c r="D420" t="s">
        <v>400</v>
      </c>
      <c r="E420" t="s">
        <v>505</v>
      </c>
      <c r="F420" t="s">
        <v>82</v>
      </c>
      <c r="G420" t="s">
        <v>82</v>
      </c>
      <c r="H420" t="s">
        <v>40</v>
      </c>
      <c r="I420" t="s">
        <v>40</v>
      </c>
      <c r="J420" t="s">
        <v>76</v>
      </c>
      <c r="K420" t="s">
        <v>65</v>
      </c>
      <c r="L420" t="s">
        <v>87</v>
      </c>
      <c r="M420" s="5">
        <v>11.4</v>
      </c>
      <c r="N420">
        <v>406</v>
      </c>
      <c r="O420" s="4">
        <v>3799.8</v>
      </c>
      <c r="P420" s="4">
        <v>5612.59</v>
      </c>
      <c r="Q420">
        <v>6</v>
      </c>
      <c r="R420">
        <v>0</v>
      </c>
      <c r="S420" t="s">
        <v>44</v>
      </c>
      <c r="T420">
        <v>5</v>
      </c>
      <c r="U420" t="s">
        <v>45</v>
      </c>
      <c r="V420" t="s">
        <v>46</v>
      </c>
    </row>
    <row r="421" spans="1:22">
      <c r="A421" t="s">
        <v>836</v>
      </c>
      <c r="B421" t="s">
        <v>351</v>
      </c>
      <c r="C421" t="s">
        <v>351</v>
      </c>
      <c r="D421" t="s">
        <v>86</v>
      </c>
      <c r="E421" t="s">
        <v>501</v>
      </c>
      <c r="F421" t="s">
        <v>82</v>
      </c>
      <c r="G421" t="s">
        <v>82</v>
      </c>
      <c r="H421" t="s">
        <v>52</v>
      </c>
      <c r="I421" t="s">
        <v>53</v>
      </c>
      <c r="J421" t="s">
        <v>141</v>
      </c>
      <c r="K421" t="s">
        <v>42</v>
      </c>
      <c r="L421" t="s">
        <v>61</v>
      </c>
      <c r="M421" s="5">
        <v>10.6</v>
      </c>
      <c r="N421">
        <v>527</v>
      </c>
      <c r="O421" s="4">
        <v>3949.6</v>
      </c>
      <c r="P421" s="4">
        <v>6868.39</v>
      </c>
      <c r="Q421">
        <v>3</v>
      </c>
      <c r="R421">
        <v>0</v>
      </c>
      <c r="S421" t="s">
        <v>44</v>
      </c>
      <c r="T421">
        <v>5</v>
      </c>
      <c r="U421" t="s">
        <v>45</v>
      </c>
      <c r="V421" t="s">
        <v>46</v>
      </c>
    </row>
    <row r="422" spans="1:22">
      <c r="A422" t="s">
        <v>837</v>
      </c>
      <c r="B422" t="s">
        <v>293</v>
      </c>
      <c r="C422" t="s">
        <v>293</v>
      </c>
      <c r="D422" t="s">
        <v>553</v>
      </c>
      <c r="E422" t="s">
        <v>514</v>
      </c>
      <c r="F422" t="s">
        <v>82</v>
      </c>
      <c r="G422" t="s">
        <v>82</v>
      </c>
      <c r="H422" t="s">
        <v>52</v>
      </c>
      <c r="I422" t="s">
        <v>53</v>
      </c>
      <c r="J422" t="s">
        <v>41</v>
      </c>
      <c r="K422" t="s">
        <v>65</v>
      </c>
      <c r="L422" t="s">
        <v>77</v>
      </c>
      <c r="M422" s="5">
        <v>1.4</v>
      </c>
      <c r="N422">
        <v>1192</v>
      </c>
      <c r="O422" s="4">
        <v>4364.6000000000004</v>
      </c>
      <c r="P422" s="4">
        <v>6803.39</v>
      </c>
      <c r="Q422">
        <v>11</v>
      </c>
      <c r="R422">
        <v>3</v>
      </c>
      <c r="S422" t="s">
        <v>56</v>
      </c>
      <c r="T422">
        <v>3</v>
      </c>
      <c r="U422" t="s">
        <v>45</v>
      </c>
      <c r="V422" t="s">
        <v>46</v>
      </c>
    </row>
    <row r="423" spans="1:22">
      <c r="A423" t="s">
        <v>838</v>
      </c>
      <c r="B423" t="s">
        <v>149</v>
      </c>
      <c r="C423" t="s">
        <v>335</v>
      </c>
      <c r="D423" t="s">
        <v>151</v>
      </c>
      <c r="E423" t="s">
        <v>90</v>
      </c>
      <c r="F423" t="s">
        <v>82</v>
      </c>
      <c r="G423" t="s">
        <v>82</v>
      </c>
      <c r="H423" t="s">
        <v>54</v>
      </c>
      <c r="I423" t="s">
        <v>54</v>
      </c>
      <c r="J423" t="s">
        <v>55</v>
      </c>
      <c r="K423" t="s">
        <v>72</v>
      </c>
      <c r="L423" t="s">
        <v>77</v>
      </c>
      <c r="M423" s="5">
        <v>11</v>
      </c>
      <c r="N423">
        <v>1216</v>
      </c>
      <c r="O423" s="4">
        <v>6903.8</v>
      </c>
      <c r="P423" s="4">
        <v>11114.42</v>
      </c>
      <c r="Q423">
        <v>5</v>
      </c>
      <c r="R423">
        <v>3</v>
      </c>
      <c r="S423" t="s">
        <v>56</v>
      </c>
      <c r="T423">
        <v>4</v>
      </c>
      <c r="U423" t="s">
        <v>45</v>
      </c>
      <c r="V423" t="s">
        <v>46</v>
      </c>
    </row>
    <row r="424" spans="1:22">
      <c r="A424" t="s">
        <v>839</v>
      </c>
      <c r="B424" t="s">
        <v>604</v>
      </c>
      <c r="C424" t="s">
        <v>338</v>
      </c>
      <c r="D424" t="s">
        <v>269</v>
      </c>
      <c r="E424" t="s">
        <v>307</v>
      </c>
      <c r="F424" t="s">
        <v>54</v>
      </c>
      <c r="G424" t="s">
        <v>54</v>
      </c>
      <c r="H424" t="s">
        <v>52</v>
      </c>
      <c r="I424" t="s">
        <v>53</v>
      </c>
      <c r="J424" t="s">
        <v>141</v>
      </c>
      <c r="K424" t="s">
        <v>72</v>
      </c>
      <c r="L424" t="s">
        <v>43</v>
      </c>
      <c r="M424" s="5">
        <v>9.9</v>
      </c>
      <c r="N424">
        <v>2086</v>
      </c>
      <c r="O424" s="4">
        <v>8376.2999999999993</v>
      </c>
      <c r="P424" s="4">
        <v>10734.48</v>
      </c>
      <c r="Q424">
        <v>5</v>
      </c>
      <c r="R424">
        <v>3</v>
      </c>
      <c r="S424" t="s">
        <v>56</v>
      </c>
      <c r="T424">
        <v>4</v>
      </c>
      <c r="U424" t="s">
        <v>45</v>
      </c>
      <c r="V424" t="s">
        <v>46</v>
      </c>
    </row>
    <row r="425" spans="1:22">
      <c r="A425" t="s">
        <v>840</v>
      </c>
      <c r="B425" t="s">
        <v>49</v>
      </c>
      <c r="C425" t="s">
        <v>841</v>
      </c>
      <c r="D425" t="s">
        <v>443</v>
      </c>
      <c r="E425" t="s">
        <v>79</v>
      </c>
      <c r="F425" t="s">
        <v>52</v>
      </c>
      <c r="G425" t="s">
        <v>53</v>
      </c>
      <c r="H425" t="s">
        <v>82</v>
      </c>
      <c r="I425" t="s">
        <v>82</v>
      </c>
      <c r="J425" t="s">
        <v>141</v>
      </c>
      <c r="K425" t="s">
        <v>65</v>
      </c>
      <c r="L425" t="s">
        <v>43</v>
      </c>
      <c r="M425" s="5">
        <v>4.8</v>
      </c>
      <c r="N425">
        <v>1772</v>
      </c>
      <c r="O425" s="4">
        <v>5697.6</v>
      </c>
      <c r="P425" s="4">
        <v>8890.2000000000007</v>
      </c>
      <c r="Q425">
        <v>6</v>
      </c>
      <c r="R425">
        <v>0</v>
      </c>
      <c r="S425" t="s">
        <v>44</v>
      </c>
      <c r="T425">
        <v>5</v>
      </c>
      <c r="U425" t="s">
        <v>45</v>
      </c>
      <c r="V425" t="s">
        <v>46</v>
      </c>
    </row>
    <row r="426" spans="1:22">
      <c r="A426" t="s">
        <v>842</v>
      </c>
      <c r="B426" t="s">
        <v>322</v>
      </c>
      <c r="C426" t="s">
        <v>322</v>
      </c>
      <c r="D426" t="s">
        <v>213</v>
      </c>
      <c r="E426" t="s">
        <v>483</v>
      </c>
      <c r="F426" t="s">
        <v>40</v>
      </c>
      <c r="G426" t="s">
        <v>40</v>
      </c>
      <c r="H426" t="s">
        <v>70</v>
      </c>
      <c r="I426" t="s">
        <v>71</v>
      </c>
      <c r="J426" t="s">
        <v>141</v>
      </c>
      <c r="K426" t="s">
        <v>65</v>
      </c>
      <c r="L426" t="s">
        <v>87</v>
      </c>
      <c r="M426" s="5">
        <v>15.1</v>
      </c>
      <c r="N426">
        <v>893</v>
      </c>
      <c r="O426" s="4">
        <v>4990.8999999999996</v>
      </c>
      <c r="P426" s="4">
        <v>10350.780000000001</v>
      </c>
      <c r="Q426">
        <v>11</v>
      </c>
      <c r="R426">
        <v>3</v>
      </c>
      <c r="S426" t="s">
        <v>56</v>
      </c>
      <c r="T426">
        <v>3</v>
      </c>
      <c r="U426" t="s">
        <v>45</v>
      </c>
      <c r="V426" t="s">
        <v>46</v>
      </c>
    </row>
    <row r="427" spans="1:22">
      <c r="A427" t="s">
        <v>843</v>
      </c>
      <c r="B427" t="s">
        <v>234</v>
      </c>
      <c r="C427" t="s">
        <v>122</v>
      </c>
      <c r="D427" t="s">
        <v>236</v>
      </c>
      <c r="E427" t="s">
        <v>658</v>
      </c>
      <c r="F427" t="s">
        <v>82</v>
      </c>
      <c r="G427" t="s">
        <v>82</v>
      </c>
      <c r="H427" t="s">
        <v>70</v>
      </c>
      <c r="I427" t="s">
        <v>71</v>
      </c>
      <c r="J427" t="s">
        <v>141</v>
      </c>
      <c r="K427" t="s">
        <v>72</v>
      </c>
      <c r="L427" t="s">
        <v>87</v>
      </c>
      <c r="M427" s="5">
        <v>14.5</v>
      </c>
      <c r="N427">
        <v>912</v>
      </c>
      <c r="O427" s="4">
        <v>6654.1</v>
      </c>
      <c r="P427" s="4">
        <v>13156.34</v>
      </c>
      <c r="Q427">
        <v>3</v>
      </c>
      <c r="R427">
        <v>1</v>
      </c>
      <c r="S427" t="s">
        <v>56</v>
      </c>
      <c r="T427">
        <v>5</v>
      </c>
      <c r="U427" t="s">
        <v>45</v>
      </c>
      <c r="V427" t="s">
        <v>46</v>
      </c>
    </row>
    <row r="428" spans="1:22">
      <c r="A428" t="s">
        <v>844</v>
      </c>
      <c r="B428" t="s">
        <v>349</v>
      </c>
      <c r="C428" t="s">
        <v>349</v>
      </c>
      <c r="D428" t="s">
        <v>246</v>
      </c>
      <c r="E428" t="s">
        <v>645</v>
      </c>
      <c r="F428" t="s">
        <v>52</v>
      </c>
      <c r="G428" t="s">
        <v>53</v>
      </c>
      <c r="H428" t="s">
        <v>70</v>
      </c>
      <c r="I428" t="s">
        <v>71</v>
      </c>
      <c r="J428" t="s">
        <v>41</v>
      </c>
      <c r="K428" t="s">
        <v>72</v>
      </c>
      <c r="L428" t="s">
        <v>77</v>
      </c>
      <c r="M428" s="5">
        <v>1.9</v>
      </c>
      <c r="N428">
        <v>2077</v>
      </c>
      <c r="O428" s="4">
        <v>7680.1</v>
      </c>
      <c r="P428" s="4">
        <v>12600.33</v>
      </c>
      <c r="Q428">
        <v>5</v>
      </c>
      <c r="R428">
        <v>3</v>
      </c>
      <c r="S428" t="s">
        <v>56</v>
      </c>
      <c r="T428">
        <v>4</v>
      </c>
      <c r="U428" t="s">
        <v>45</v>
      </c>
      <c r="V428" t="s">
        <v>46</v>
      </c>
    </row>
    <row r="429" spans="1:22">
      <c r="A429" t="s">
        <v>845</v>
      </c>
      <c r="B429" t="s">
        <v>270</v>
      </c>
      <c r="C429" t="s">
        <v>226</v>
      </c>
      <c r="D429" t="s">
        <v>74</v>
      </c>
      <c r="E429" t="s">
        <v>75</v>
      </c>
      <c r="F429" t="s">
        <v>82</v>
      </c>
      <c r="G429" t="s">
        <v>82</v>
      </c>
      <c r="H429" t="s">
        <v>40</v>
      </c>
      <c r="I429" t="s">
        <v>40</v>
      </c>
      <c r="J429" t="s">
        <v>76</v>
      </c>
      <c r="K429" t="s">
        <v>42</v>
      </c>
      <c r="L429" t="s">
        <v>87</v>
      </c>
      <c r="M429" s="5">
        <v>10.7</v>
      </c>
      <c r="N429">
        <v>1041</v>
      </c>
      <c r="O429" s="4">
        <v>4883.3</v>
      </c>
      <c r="P429" s="4">
        <v>8312.91</v>
      </c>
      <c r="Q429">
        <v>4</v>
      </c>
      <c r="R429">
        <v>0</v>
      </c>
      <c r="S429" t="s">
        <v>44</v>
      </c>
      <c r="T429">
        <v>5</v>
      </c>
      <c r="U429" t="s">
        <v>45</v>
      </c>
      <c r="V429" t="s">
        <v>46</v>
      </c>
    </row>
    <row r="430" spans="1:22">
      <c r="A430" t="s">
        <v>846</v>
      </c>
      <c r="B430" t="s">
        <v>317</v>
      </c>
      <c r="C430" t="s">
        <v>374</v>
      </c>
      <c r="D430" t="s">
        <v>168</v>
      </c>
      <c r="E430" t="s">
        <v>364</v>
      </c>
      <c r="F430" t="s">
        <v>70</v>
      </c>
      <c r="G430" t="s">
        <v>71</v>
      </c>
      <c r="H430" t="s">
        <v>54</v>
      </c>
      <c r="I430" t="s">
        <v>54</v>
      </c>
      <c r="J430" t="s">
        <v>76</v>
      </c>
      <c r="K430" t="s">
        <v>65</v>
      </c>
      <c r="L430" t="s">
        <v>118</v>
      </c>
      <c r="M430" s="5">
        <v>13.1</v>
      </c>
      <c r="N430">
        <v>736</v>
      </c>
      <c r="O430" s="4">
        <v>4538.3</v>
      </c>
      <c r="P430" s="4">
        <v>7186.16</v>
      </c>
      <c r="Q430">
        <v>5</v>
      </c>
      <c r="R430">
        <v>0</v>
      </c>
      <c r="S430" t="s">
        <v>44</v>
      </c>
      <c r="T430">
        <v>5</v>
      </c>
      <c r="U430" t="s">
        <v>45</v>
      </c>
      <c r="V430" t="s">
        <v>46</v>
      </c>
    </row>
    <row r="431" spans="1:22">
      <c r="A431" t="s">
        <v>847</v>
      </c>
      <c r="B431" t="s">
        <v>60</v>
      </c>
      <c r="C431" t="s">
        <v>60</v>
      </c>
      <c r="D431" t="s">
        <v>196</v>
      </c>
      <c r="E431" t="s">
        <v>161</v>
      </c>
      <c r="F431" t="s">
        <v>82</v>
      </c>
      <c r="G431" t="s">
        <v>82</v>
      </c>
      <c r="H431" t="s">
        <v>54</v>
      </c>
      <c r="I431" t="s">
        <v>54</v>
      </c>
      <c r="J431" t="s">
        <v>41</v>
      </c>
      <c r="K431" t="s">
        <v>42</v>
      </c>
      <c r="L431" t="s">
        <v>118</v>
      </c>
      <c r="M431" s="5">
        <v>0.7</v>
      </c>
      <c r="N431">
        <v>1422</v>
      </c>
      <c r="O431" s="4">
        <v>4719.1000000000004</v>
      </c>
      <c r="P431" s="4">
        <v>6427.84</v>
      </c>
      <c r="Q431">
        <v>2</v>
      </c>
      <c r="R431">
        <v>0</v>
      </c>
      <c r="S431" t="s">
        <v>44</v>
      </c>
      <c r="T431">
        <v>5</v>
      </c>
      <c r="U431" t="s">
        <v>220</v>
      </c>
      <c r="V431" t="s">
        <v>46</v>
      </c>
    </row>
    <row r="432" spans="1:22">
      <c r="A432" t="s">
        <v>848</v>
      </c>
      <c r="B432" t="s">
        <v>226</v>
      </c>
      <c r="C432" t="s">
        <v>69</v>
      </c>
      <c r="D432" t="s">
        <v>223</v>
      </c>
      <c r="E432" t="s">
        <v>145</v>
      </c>
      <c r="F432" t="s">
        <v>54</v>
      </c>
      <c r="G432" t="s">
        <v>54</v>
      </c>
      <c r="H432" t="s">
        <v>52</v>
      </c>
      <c r="I432" t="s">
        <v>53</v>
      </c>
      <c r="J432" t="s">
        <v>41</v>
      </c>
      <c r="K432" t="s">
        <v>65</v>
      </c>
      <c r="L432" t="s">
        <v>43</v>
      </c>
      <c r="M432" s="5">
        <v>1.6</v>
      </c>
      <c r="N432">
        <v>565</v>
      </c>
      <c r="O432" s="4">
        <v>3253</v>
      </c>
      <c r="P432" s="4">
        <v>4183.97</v>
      </c>
      <c r="Q432">
        <v>11</v>
      </c>
      <c r="R432">
        <v>3</v>
      </c>
      <c r="S432" t="s">
        <v>56</v>
      </c>
      <c r="T432">
        <v>4</v>
      </c>
      <c r="U432" t="s">
        <v>45</v>
      </c>
      <c r="V432" t="s">
        <v>46</v>
      </c>
    </row>
    <row r="433" spans="1:22">
      <c r="A433" t="s">
        <v>849</v>
      </c>
      <c r="B433" t="s">
        <v>552</v>
      </c>
      <c r="C433" t="s">
        <v>552</v>
      </c>
      <c r="D433" t="s">
        <v>553</v>
      </c>
      <c r="E433" t="s">
        <v>730</v>
      </c>
      <c r="F433" t="s">
        <v>40</v>
      </c>
      <c r="G433" t="s">
        <v>40</v>
      </c>
      <c r="H433" t="s">
        <v>54</v>
      </c>
      <c r="I433" t="s">
        <v>54</v>
      </c>
      <c r="J433" t="s">
        <v>76</v>
      </c>
      <c r="K433" t="s">
        <v>72</v>
      </c>
      <c r="L433" t="s">
        <v>61</v>
      </c>
      <c r="M433" s="5">
        <v>5.3</v>
      </c>
      <c r="N433">
        <v>1312</v>
      </c>
      <c r="O433" s="4">
        <v>6592.1</v>
      </c>
      <c r="P433" s="4">
        <v>10500.2</v>
      </c>
      <c r="Q433">
        <v>4</v>
      </c>
      <c r="R433">
        <v>2</v>
      </c>
      <c r="S433" t="s">
        <v>56</v>
      </c>
      <c r="T433">
        <v>4</v>
      </c>
      <c r="U433" t="s">
        <v>45</v>
      </c>
      <c r="V433" t="s">
        <v>46</v>
      </c>
    </row>
    <row r="434" spans="1:22">
      <c r="A434" t="s">
        <v>850</v>
      </c>
      <c r="B434" t="s">
        <v>269</v>
      </c>
      <c r="C434" t="s">
        <v>726</v>
      </c>
      <c r="D434" t="s">
        <v>851</v>
      </c>
      <c r="E434" t="s">
        <v>851</v>
      </c>
      <c r="F434" t="s">
        <v>82</v>
      </c>
      <c r="G434" t="s">
        <v>82</v>
      </c>
      <c r="H434" t="s">
        <v>54</v>
      </c>
      <c r="I434" t="s">
        <v>54</v>
      </c>
      <c r="J434" t="s">
        <v>76</v>
      </c>
      <c r="K434" t="s">
        <v>72</v>
      </c>
      <c r="L434" t="s">
        <v>43</v>
      </c>
      <c r="M434" s="5">
        <v>8.6999999999999993</v>
      </c>
      <c r="N434">
        <v>634</v>
      </c>
      <c r="O434" s="4">
        <v>5660.7</v>
      </c>
      <c r="P434" s="4">
        <v>8753.99</v>
      </c>
      <c r="Q434">
        <v>2</v>
      </c>
      <c r="R434">
        <v>0</v>
      </c>
      <c r="S434" t="s">
        <v>44</v>
      </c>
      <c r="T434">
        <v>5</v>
      </c>
      <c r="U434" t="s">
        <v>45</v>
      </c>
      <c r="V434" t="s">
        <v>46</v>
      </c>
    </row>
    <row r="435" spans="1:22">
      <c r="A435" t="s">
        <v>852</v>
      </c>
      <c r="B435" t="s">
        <v>476</v>
      </c>
      <c r="C435" t="s">
        <v>476</v>
      </c>
      <c r="D435" t="s">
        <v>274</v>
      </c>
      <c r="E435" t="s">
        <v>274</v>
      </c>
      <c r="F435" t="s">
        <v>40</v>
      </c>
      <c r="G435" t="s">
        <v>40</v>
      </c>
      <c r="H435" t="s">
        <v>82</v>
      </c>
      <c r="I435" t="s">
        <v>82</v>
      </c>
      <c r="J435" t="s">
        <v>55</v>
      </c>
      <c r="K435" t="s">
        <v>72</v>
      </c>
      <c r="L435" t="s">
        <v>118</v>
      </c>
      <c r="M435" s="5">
        <v>11.8</v>
      </c>
      <c r="N435">
        <v>1641</v>
      </c>
      <c r="O435" s="4">
        <v>7736.8</v>
      </c>
      <c r="P435" s="4">
        <v>11381.58</v>
      </c>
      <c r="Q435">
        <v>2</v>
      </c>
      <c r="R435">
        <v>0</v>
      </c>
      <c r="S435" t="s">
        <v>44</v>
      </c>
      <c r="T435">
        <v>5</v>
      </c>
      <c r="U435" t="s">
        <v>45</v>
      </c>
      <c r="V435" t="s">
        <v>46</v>
      </c>
    </row>
    <row r="436" spans="1:22">
      <c r="A436" t="s">
        <v>853</v>
      </c>
      <c r="B436" t="s">
        <v>74</v>
      </c>
      <c r="C436" t="s">
        <v>74</v>
      </c>
      <c r="D436" t="s">
        <v>617</v>
      </c>
      <c r="E436" t="s">
        <v>143</v>
      </c>
      <c r="F436" t="s">
        <v>82</v>
      </c>
      <c r="G436" t="s">
        <v>82</v>
      </c>
      <c r="H436" t="s">
        <v>82</v>
      </c>
      <c r="I436" t="s">
        <v>82</v>
      </c>
      <c r="J436" t="s">
        <v>41</v>
      </c>
      <c r="K436" t="s">
        <v>72</v>
      </c>
      <c r="L436" t="s">
        <v>43</v>
      </c>
      <c r="M436" s="5">
        <v>3</v>
      </c>
      <c r="N436">
        <v>1393</v>
      </c>
      <c r="O436" s="4">
        <v>6542.4</v>
      </c>
      <c r="P436" s="4">
        <v>11185.6</v>
      </c>
      <c r="Q436">
        <v>1</v>
      </c>
      <c r="R436">
        <v>0</v>
      </c>
      <c r="S436" t="s">
        <v>44</v>
      </c>
      <c r="T436">
        <v>5</v>
      </c>
      <c r="U436" t="s">
        <v>45</v>
      </c>
      <c r="V436" t="s">
        <v>46</v>
      </c>
    </row>
    <row r="437" spans="1:22">
      <c r="A437" t="s">
        <v>854</v>
      </c>
      <c r="B437" t="s">
        <v>614</v>
      </c>
      <c r="C437" t="s">
        <v>614</v>
      </c>
      <c r="D437" t="s">
        <v>191</v>
      </c>
      <c r="E437" t="s">
        <v>117</v>
      </c>
      <c r="F437" t="s">
        <v>40</v>
      </c>
      <c r="G437" t="s">
        <v>40</v>
      </c>
      <c r="H437" t="s">
        <v>82</v>
      </c>
      <c r="I437" t="s">
        <v>82</v>
      </c>
      <c r="J437" t="s">
        <v>55</v>
      </c>
      <c r="K437" t="s">
        <v>42</v>
      </c>
      <c r="L437" t="s">
        <v>77</v>
      </c>
      <c r="M437" s="5">
        <v>10.7</v>
      </c>
      <c r="N437">
        <v>1756</v>
      </c>
      <c r="O437" s="4">
        <v>6170.3</v>
      </c>
      <c r="P437" s="4">
        <v>11025.85</v>
      </c>
      <c r="Q437">
        <v>8</v>
      </c>
      <c r="R437">
        <v>3</v>
      </c>
      <c r="S437" t="s">
        <v>56</v>
      </c>
      <c r="T437">
        <v>4</v>
      </c>
      <c r="U437" t="s">
        <v>45</v>
      </c>
      <c r="V437" t="s">
        <v>46</v>
      </c>
    </row>
    <row r="438" spans="1:22">
      <c r="A438" t="s">
        <v>855</v>
      </c>
      <c r="B438" t="s">
        <v>180</v>
      </c>
      <c r="C438" t="s">
        <v>511</v>
      </c>
      <c r="D438" t="s">
        <v>561</v>
      </c>
      <c r="E438" t="s">
        <v>562</v>
      </c>
      <c r="F438" t="s">
        <v>70</v>
      </c>
      <c r="G438" t="s">
        <v>71</v>
      </c>
      <c r="H438" t="s">
        <v>52</v>
      </c>
      <c r="I438" t="s">
        <v>53</v>
      </c>
      <c r="J438" t="s">
        <v>141</v>
      </c>
      <c r="K438" t="s">
        <v>72</v>
      </c>
      <c r="L438" t="s">
        <v>87</v>
      </c>
      <c r="M438" s="5">
        <v>2.1</v>
      </c>
      <c r="N438">
        <v>1508</v>
      </c>
      <c r="O438" s="4">
        <v>6672.9</v>
      </c>
      <c r="P438" s="4">
        <v>10486.63</v>
      </c>
      <c r="Q438">
        <v>1</v>
      </c>
      <c r="R438">
        <v>0</v>
      </c>
      <c r="S438" t="s">
        <v>44</v>
      </c>
      <c r="T438">
        <v>5</v>
      </c>
      <c r="U438" t="s">
        <v>45</v>
      </c>
      <c r="V438" t="s">
        <v>46</v>
      </c>
    </row>
    <row r="439" spans="1:22">
      <c r="A439" t="s">
        <v>856</v>
      </c>
      <c r="B439" t="s">
        <v>726</v>
      </c>
      <c r="C439" t="s">
        <v>851</v>
      </c>
      <c r="D439" t="s">
        <v>69</v>
      </c>
      <c r="E439" t="s">
        <v>226</v>
      </c>
      <c r="F439" t="s">
        <v>82</v>
      </c>
      <c r="G439" t="s">
        <v>82</v>
      </c>
      <c r="H439" t="s">
        <v>82</v>
      </c>
      <c r="I439" t="s">
        <v>82</v>
      </c>
      <c r="J439" t="s">
        <v>55</v>
      </c>
      <c r="K439" t="s">
        <v>42</v>
      </c>
      <c r="L439" t="s">
        <v>77</v>
      </c>
      <c r="M439" s="5">
        <v>15.5</v>
      </c>
      <c r="N439">
        <v>1827</v>
      </c>
      <c r="O439" s="4">
        <v>6706.1</v>
      </c>
      <c r="P439" s="4">
        <v>10530.52</v>
      </c>
      <c r="Q439">
        <v>3</v>
      </c>
      <c r="R439">
        <v>0</v>
      </c>
      <c r="S439" t="s">
        <v>44</v>
      </c>
      <c r="T439">
        <v>5</v>
      </c>
      <c r="U439" t="s">
        <v>45</v>
      </c>
      <c r="V439" t="s">
        <v>46</v>
      </c>
    </row>
    <row r="440" spans="1:22">
      <c r="A440" t="s">
        <v>857</v>
      </c>
      <c r="B440" t="s">
        <v>428</v>
      </c>
      <c r="C440" t="s">
        <v>627</v>
      </c>
      <c r="D440" t="s">
        <v>59</v>
      </c>
      <c r="E440" t="s">
        <v>60</v>
      </c>
      <c r="F440" t="s">
        <v>70</v>
      </c>
      <c r="G440" t="s">
        <v>71</v>
      </c>
      <c r="H440" t="s">
        <v>70</v>
      </c>
      <c r="I440" t="s">
        <v>71</v>
      </c>
      <c r="J440" t="s">
        <v>141</v>
      </c>
      <c r="K440" t="s">
        <v>72</v>
      </c>
      <c r="L440" t="s">
        <v>87</v>
      </c>
      <c r="M440" s="5">
        <v>3.2</v>
      </c>
      <c r="N440">
        <v>1800</v>
      </c>
      <c r="O440" s="4">
        <v>7292</v>
      </c>
      <c r="P440" s="4">
        <v>12395.4</v>
      </c>
      <c r="Q440">
        <v>3</v>
      </c>
      <c r="R440">
        <v>1</v>
      </c>
      <c r="S440" t="s">
        <v>56</v>
      </c>
      <c r="T440">
        <v>5</v>
      </c>
      <c r="U440" t="s">
        <v>45</v>
      </c>
      <c r="V440" t="s">
        <v>46</v>
      </c>
    </row>
    <row r="441" spans="1:22">
      <c r="A441" t="s">
        <v>858</v>
      </c>
      <c r="B441" t="s">
        <v>386</v>
      </c>
      <c r="C441" t="s">
        <v>102</v>
      </c>
      <c r="D441" t="s">
        <v>464</v>
      </c>
      <c r="E441" t="s">
        <v>165</v>
      </c>
      <c r="F441" t="s">
        <v>40</v>
      </c>
      <c r="G441" t="s">
        <v>40</v>
      </c>
      <c r="H441" t="s">
        <v>52</v>
      </c>
      <c r="I441" t="s">
        <v>53</v>
      </c>
      <c r="J441" t="s">
        <v>55</v>
      </c>
      <c r="K441" t="s">
        <v>72</v>
      </c>
      <c r="L441" t="s">
        <v>118</v>
      </c>
      <c r="M441" s="5">
        <v>14.4</v>
      </c>
      <c r="N441">
        <v>754</v>
      </c>
      <c r="O441" s="4">
        <v>6361.2</v>
      </c>
      <c r="P441" s="4">
        <v>12215.42</v>
      </c>
      <c r="Q441">
        <v>5</v>
      </c>
      <c r="R441">
        <v>3</v>
      </c>
      <c r="S441" t="s">
        <v>56</v>
      </c>
      <c r="T441">
        <v>4</v>
      </c>
      <c r="U441" t="s">
        <v>45</v>
      </c>
      <c r="V441" t="s">
        <v>46</v>
      </c>
    </row>
    <row r="442" spans="1:22">
      <c r="A442" t="s">
        <v>859</v>
      </c>
      <c r="B442" t="s">
        <v>209</v>
      </c>
      <c r="C442" t="s">
        <v>210</v>
      </c>
      <c r="D442" t="s">
        <v>504</v>
      </c>
      <c r="E442" t="s">
        <v>860</v>
      </c>
      <c r="F442" t="s">
        <v>52</v>
      </c>
      <c r="G442" t="s">
        <v>53</v>
      </c>
      <c r="H442" t="s">
        <v>70</v>
      </c>
      <c r="I442" t="s">
        <v>71</v>
      </c>
      <c r="J442" t="s">
        <v>55</v>
      </c>
      <c r="K442" t="s">
        <v>42</v>
      </c>
      <c r="L442" t="s">
        <v>118</v>
      </c>
      <c r="M442" s="5">
        <v>7.3</v>
      </c>
      <c r="N442">
        <v>1104</v>
      </c>
      <c r="O442" s="4">
        <v>4707.7</v>
      </c>
      <c r="P442" s="4">
        <v>6396.55</v>
      </c>
      <c r="Q442">
        <v>3</v>
      </c>
      <c r="R442">
        <v>0</v>
      </c>
      <c r="S442" t="s">
        <v>44</v>
      </c>
      <c r="T442">
        <v>5</v>
      </c>
      <c r="U442" t="s">
        <v>45</v>
      </c>
      <c r="V442" t="s">
        <v>46</v>
      </c>
    </row>
    <row r="443" spans="1:22">
      <c r="A443" t="s">
        <v>861</v>
      </c>
      <c r="B443" t="s">
        <v>51</v>
      </c>
      <c r="C443" t="s">
        <v>322</v>
      </c>
      <c r="D443" t="s">
        <v>81</v>
      </c>
      <c r="E443" t="s">
        <v>81</v>
      </c>
      <c r="F443" t="s">
        <v>82</v>
      </c>
      <c r="G443" t="s">
        <v>82</v>
      </c>
      <c r="H443" t="s">
        <v>82</v>
      </c>
      <c r="I443" t="s">
        <v>82</v>
      </c>
      <c r="J443" t="s">
        <v>141</v>
      </c>
      <c r="K443" t="s">
        <v>42</v>
      </c>
      <c r="L443" t="s">
        <v>87</v>
      </c>
      <c r="M443" s="5">
        <v>7.2</v>
      </c>
      <c r="N443">
        <v>644</v>
      </c>
      <c r="O443" s="4">
        <v>3871.2</v>
      </c>
      <c r="P443" s="4">
        <v>7161.53</v>
      </c>
      <c r="Q443">
        <v>5</v>
      </c>
      <c r="R443">
        <v>0</v>
      </c>
      <c r="S443" t="s">
        <v>44</v>
      </c>
      <c r="T443">
        <v>5</v>
      </c>
      <c r="U443" t="s">
        <v>45</v>
      </c>
      <c r="V443" t="s">
        <v>46</v>
      </c>
    </row>
    <row r="444" spans="1:22">
      <c r="A444" t="s">
        <v>862</v>
      </c>
      <c r="B444" t="s">
        <v>480</v>
      </c>
      <c r="C444" t="s">
        <v>497</v>
      </c>
      <c r="D444" t="s">
        <v>527</v>
      </c>
      <c r="E444" t="s">
        <v>623</v>
      </c>
      <c r="F444" t="s">
        <v>40</v>
      </c>
      <c r="G444" t="s">
        <v>40</v>
      </c>
      <c r="H444" t="s">
        <v>52</v>
      </c>
      <c r="I444" t="s">
        <v>53</v>
      </c>
      <c r="J444" t="s">
        <v>41</v>
      </c>
      <c r="K444" t="s">
        <v>42</v>
      </c>
      <c r="L444" t="s">
        <v>43</v>
      </c>
      <c r="M444" s="5">
        <v>17.3</v>
      </c>
      <c r="N444">
        <v>1249</v>
      </c>
      <c r="O444" s="4">
        <v>5818.7</v>
      </c>
      <c r="P444" s="4">
        <v>7720.45</v>
      </c>
      <c r="Q444">
        <v>7</v>
      </c>
      <c r="R444">
        <v>2</v>
      </c>
      <c r="S444" t="s">
        <v>56</v>
      </c>
      <c r="T444">
        <v>4</v>
      </c>
      <c r="U444" t="s">
        <v>45</v>
      </c>
      <c r="V444" t="s">
        <v>46</v>
      </c>
    </row>
    <row r="445" spans="1:22">
      <c r="A445" t="s">
        <v>863</v>
      </c>
      <c r="B445" t="s">
        <v>145</v>
      </c>
      <c r="C445" t="s">
        <v>144</v>
      </c>
      <c r="D445" t="s">
        <v>121</v>
      </c>
      <c r="E445" t="s">
        <v>422</v>
      </c>
      <c r="F445" t="s">
        <v>54</v>
      </c>
      <c r="G445" t="s">
        <v>54</v>
      </c>
      <c r="H445" t="s">
        <v>82</v>
      </c>
      <c r="I445" t="s">
        <v>82</v>
      </c>
      <c r="J445" t="s">
        <v>76</v>
      </c>
      <c r="K445" t="s">
        <v>42</v>
      </c>
      <c r="L445" t="s">
        <v>118</v>
      </c>
      <c r="M445" s="5">
        <v>7.8</v>
      </c>
      <c r="N445">
        <v>1396</v>
      </c>
      <c r="O445" s="4">
        <v>5275.8</v>
      </c>
      <c r="P445" s="4">
        <v>9347.92</v>
      </c>
      <c r="Q445">
        <v>7</v>
      </c>
      <c r="R445">
        <v>2</v>
      </c>
      <c r="S445" t="s">
        <v>56</v>
      </c>
      <c r="T445">
        <v>4</v>
      </c>
      <c r="U445" t="s">
        <v>45</v>
      </c>
      <c r="V445" t="s">
        <v>46</v>
      </c>
    </row>
    <row r="446" spans="1:22">
      <c r="A446" t="s">
        <v>864</v>
      </c>
      <c r="B446" t="s">
        <v>260</v>
      </c>
      <c r="C446" t="s">
        <v>398</v>
      </c>
      <c r="D446" t="s">
        <v>479</v>
      </c>
      <c r="E446" t="s">
        <v>311</v>
      </c>
      <c r="F446" t="s">
        <v>52</v>
      </c>
      <c r="G446" t="s">
        <v>53</v>
      </c>
      <c r="H446" t="s">
        <v>70</v>
      </c>
      <c r="I446" t="s">
        <v>71</v>
      </c>
      <c r="J446" t="s">
        <v>76</v>
      </c>
      <c r="K446" t="s">
        <v>72</v>
      </c>
      <c r="L446" t="s">
        <v>77</v>
      </c>
      <c r="M446" s="5">
        <v>16.600000000000001</v>
      </c>
      <c r="N446">
        <v>1367</v>
      </c>
      <c r="O446" s="4">
        <v>7651.6</v>
      </c>
      <c r="P446" s="4">
        <v>13893.35</v>
      </c>
      <c r="Q446">
        <v>4</v>
      </c>
      <c r="R446">
        <v>2</v>
      </c>
      <c r="S446" t="s">
        <v>56</v>
      </c>
      <c r="T446">
        <v>3</v>
      </c>
      <c r="U446" t="s">
        <v>45</v>
      </c>
      <c r="V446" t="s">
        <v>46</v>
      </c>
    </row>
    <row r="447" spans="1:22">
      <c r="A447" t="s">
        <v>865</v>
      </c>
      <c r="B447" t="s">
        <v>866</v>
      </c>
      <c r="C447" t="s">
        <v>866</v>
      </c>
      <c r="D447" t="s">
        <v>107</v>
      </c>
      <c r="E447" t="s">
        <v>330</v>
      </c>
      <c r="F447" t="s">
        <v>54</v>
      </c>
      <c r="G447" t="s">
        <v>54</v>
      </c>
      <c r="H447" t="s">
        <v>40</v>
      </c>
      <c r="I447" t="s">
        <v>40</v>
      </c>
      <c r="J447" t="s">
        <v>55</v>
      </c>
      <c r="K447" t="s">
        <v>42</v>
      </c>
      <c r="L447" t="s">
        <v>77</v>
      </c>
      <c r="M447" s="5">
        <v>8.5</v>
      </c>
      <c r="N447">
        <v>890</v>
      </c>
      <c r="O447" s="4">
        <v>4424.5</v>
      </c>
      <c r="P447" s="4">
        <v>7153.98</v>
      </c>
      <c r="Q447">
        <v>4</v>
      </c>
      <c r="R447">
        <v>0</v>
      </c>
      <c r="S447" t="s">
        <v>44</v>
      </c>
      <c r="T447">
        <v>4</v>
      </c>
      <c r="U447" t="s">
        <v>45</v>
      </c>
      <c r="V447" t="s">
        <v>46</v>
      </c>
    </row>
    <row r="448" spans="1:22">
      <c r="A448" t="s">
        <v>867</v>
      </c>
      <c r="B448" t="s">
        <v>301</v>
      </c>
      <c r="C448" t="s">
        <v>300</v>
      </c>
      <c r="D448" t="s">
        <v>409</v>
      </c>
      <c r="E448" t="s">
        <v>409</v>
      </c>
      <c r="F448" t="s">
        <v>82</v>
      </c>
      <c r="G448" t="s">
        <v>82</v>
      </c>
      <c r="H448" t="s">
        <v>54</v>
      </c>
      <c r="I448" t="s">
        <v>54</v>
      </c>
      <c r="J448" t="s">
        <v>55</v>
      </c>
      <c r="K448" t="s">
        <v>42</v>
      </c>
      <c r="L448" t="s">
        <v>118</v>
      </c>
      <c r="M448" s="5">
        <v>7.5</v>
      </c>
      <c r="N448">
        <v>1537</v>
      </c>
      <c r="O448" s="4">
        <v>5504.1</v>
      </c>
      <c r="P448" s="4">
        <v>10421.51</v>
      </c>
      <c r="Q448">
        <v>5</v>
      </c>
      <c r="R448">
        <v>0</v>
      </c>
      <c r="S448" t="s">
        <v>44</v>
      </c>
      <c r="T448">
        <v>5</v>
      </c>
      <c r="U448" t="s">
        <v>45</v>
      </c>
      <c r="V448" t="s">
        <v>46</v>
      </c>
    </row>
    <row r="449" spans="1:22">
      <c r="A449" t="s">
        <v>868</v>
      </c>
      <c r="B449" t="s">
        <v>106</v>
      </c>
      <c r="C449" t="s">
        <v>94</v>
      </c>
      <c r="D449" t="s">
        <v>860</v>
      </c>
      <c r="E449" t="s">
        <v>504</v>
      </c>
      <c r="F449" t="s">
        <v>54</v>
      </c>
      <c r="G449" t="s">
        <v>54</v>
      </c>
      <c r="H449" t="s">
        <v>70</v>
      </c>
      <c r="I449" t="s">
        <v>71</v>
      </c>
      <c r="J449" t="s">
        <v>76</v>
      </c>
      <c r="K449" t="s">
        <v>65</v>
      </c>
      <c r="L449" t="s">
        <v>87</v>
      </c>
      <c r="M449" s="5">
        <v>11.6</v>
      </c>
      <c r="N449">
        <v>1322</v>
      </c>
      <c r="O449" s="4">
        <v>5465.6</v>
      </c>
      <c r="P449" s="4">
        <v>9160.0499999999993</v>
      </c>
      <c r="Q449">
        <v>10</v>
      </c>
      <c r="R449">
        <v>2</v>
      </c>
      <c r="S449" t="s">
        <v>56</v>
      </c>
      <c r="T449">
        <v>4</v>
      </c>
      <c r="U449" t="s">
        <v>45</v>
      </c>
      <c r="V449" t="s">
        <v>46</v>
      </c>
    </row>
    <row r="450" spans="1:22">
      <c r="A450" t="s">
        <v>869</v>
      </c>
      <c r="B450" t="s">
        <v>567</v>
      </c>
      <c r="C450" t="s">
        <v>723</v>
      </c>
      <c r="D450" t="s">
        <v>462</v>
      </c>
      <c r="E450" t="s">
        <v>637</v>
      </c>
      <c r="F450" t="s">
        <v>54</v>
      </c>
      <c r="G450" t="s">
        <v>54</v>
      </c>
      <c r="H450" t="s">
        <v>54</v>
      </c>
      <c r="I450" t="s">
        <v>54</v>
      </c>
      <c r="J450" t="s">
        <v>41</v>
      </c>
      <c r="K450" t="s">
        <v>72</v>
      </c>
      <c r="L450" t="s">
        <v>87</v>
      </c>
      <c r="M450" s="5">
        <v>17.899999999999999</v>
      </c>
      <c r="N450">
        <v>1738</v>
      </c>
      <c r="O450" s="4">
        <v>8429.9</v>
      </c>
      <c r="P450" s="4">
        <v>11158.58</v>
      </c>
      <c r="Q450">
        <v>1</v>
      </c>
      <c r="R450">
        <v>0</v>
      </c>
      <c r="S450" t="s">
        <v>44</v>
      </c>
      <c r="T450">
        <v>5</v>
      </c>
      <c r="U450" t="s">
        <v>220</v>
      </c>
      <c r="V450" t="s">
        <v>46</v>
      </c>
    </row>
    <row r="451" spans="1:22">
      <c r="A451" t="s">
        <v>870</v>
      </c>
      <c r="B451" t="s">
        <v>63</v>
      </c>
      <c r="C451" t="s">
        <v>48</v>
      </c>
      <c r="D451" t="s">
        <v>51</v>
      </c>
      <c r="E451" t="s">
        <v>322</v>
      </c>
      <c r="F451" t="s">
        <v>52</v>
      </c>
      <c r="G451" t="s">
        <v>53</v>
      </c>
      <c r="H451" t="s">
        <v>70</v>
      </c>
      <c r="I451" t="s">
        <v>71</v>
      </c>
      <c r="J451" t="s">
        <v>41</v>
      </c>
      <c r="K451" t="s">
        <v>65</v>
      </c>
      <c r="L451" t="s">
        <v>118</v>
      </c>
      <c r="M451" s="5">
        <v>16.600000000000001</v>
      </c>
      <c r="N451">
        <v>939</v>
      </c>
      <c r="O451" s="4">
        <v>5201.2</v>
      </c>
      <c r="P451" s="4">
        <v>9556.14</v>
      </c>
      <c r="Q451">
        <v>10</v>
      </c>
      <c r="R451">
        <v>2</v>
      </c>
      <c r="S451" t="s">
        <v>56</v>
      </c>
      <c r="T451">
        <v>4</v>
      </c>
      <c r="U451" t="s">
        <v>45</v>
      </c>
      <c r="V451" t="s">
        <v>46</v>
      </c>
    </row>
    <row r="452" spans="1:22">
      <c r="A452" t="s">
        <v>871</v>
      </c>
      <c r="B452" t="s">
        <v>730</v>
      </c>
      <c r="C452" t="s">
        <v>514</v>
      </c>
      <c r="D452" t="s">
        <v>268</v>
      </c>
      <c r="E452" t="s">
        <v>726</v>
      </c>
      <c r="F452" t="s">
        <v>52</v>
      </c>
      <c r="G452" t="s">
        <v>53</v>
      </c>
      <c r="H452" t="s">
        <v>40</v>
      </c>
      <c r="I452" t="s">
        <v>40</v>
      </c>
      <c r="J452" t="s">
        <v>55</v>
      </c>
      <c r="K452" t="s">
        <v>65</v>
      </c>
      <c r="L452" t="s">
        <v>87</v>
      </c>
      <c r="M452" s="5">
        <v>11.9</v>
      </c>
      <c r="N452">
        <v>1510</v>
      </c>
      <c r="O452" s="4">
        <v>5829.5</v>
      </c>
      <c r="P452" s="4">
        <v>7780.85</v>
      </c>
      <c r="Q452">
        <v>11</v>
      </c>
      <c r="R452">
        <v>3</v>
      </c>
      <c r="S452" t="s">
        <v>56</v>
      </c>
      <c r="T452">
        <v>4</v>
      </c>
      <c r="U452" t="s">
        <v>45</v>
      </c>
      <c r="V452" t="s">
        <v>46</v>
      </c>
    </row>
    <row r="453" spans="1:22">
      <c r="A453" t="s">
        <v>872</v>
      </c>
      <c r="B453" t="s">
        <v>212</v>
      </c>
      <c r="C453" t="s">
        <v>382</v>
      </c>
      <c r="D453" t="s">
        <v>153</v>
      </c>
      <c r="E453" t="s">
        <v>328</v>
      </c>
      <c r="F453" t="s">
        <v>40</v>
      </c>
      <c r="G453" t="s">
        <v>40</v>
      </c>
      <c r="H453" t="s">
        <v>82</v>
      </c>
      <c r="I453" t="s">
        <v>82</v>
      </c>
      <c r="J453" t="s">
        <v>41</v>
      </c>
      <c r="K453" t="s">
        <v>42</v>
      </c>
      <c r="L453" t="s">
        <v>87</v>
      </c>
      <c r="M453" s="5">
        <v>3.5</v>
      </c>
      <c r="N453">
        <v>537</v>
      </c>
      <c r="O453" s="4">
        <v>3364.1</v>
      </c>
      <c r="P453" s="4">
        <v>4335.72</v>
      </c>
      <c r="Q453">
        <v>7</v>
      </c>
      <c r="R453">
        <v>2</v>
      </c>
      <c r="S453" t="s">
        <v>56</v>
      </c>
      <c r="T453">
        <v>4</v>
      </c>
      <c r="U453" t="s">
        <v>45</v>
      </c>
      <c r="V453" t="s">
        <v>46</v>
      </c>
    </row>
    <row r="454" spans="1:22">
      <c r="A454" t="s">
        <v>873</v>
      </c>
      <c r="B454" t="s">
        <v>804</v>
      </c>
      <c r="C454" t="s">
        <v>804</v>
      </c>
      <c r="D454" t="s">
        <v>528</v>
      </c>
      <c r="E454" t="s">
        <v>528</v>
      </c>
      <c r="F454" t="s">
        <v>82</v>
      </c>
      <c r="G454" t="s">
        <v>82</v>
      </c>
      <c r="H454" t="s">
        <v>40</v>
      </c>
      <c r="I454" t="s">
        <v>40</v>
      </c>
      <c r="J454" t="s">
        <v>41</v>
      </c>
      <c r="K454" t="s">
        <v>72</v>
      </c>
      <c r="L454" t="s">
        <v>118</v>
      </c>
      <c r="M454" s="5">
        <v>2.7</v>
      </c>
      <c r="N454">
        <v>823</v>
      </c>
      <c r="O454" s="4">
        <v>5490.9</v>
      </c>
      <c r="P454" s="4">
        <v>11208.79</v>
      </c>
      <c r="Q454">
        <v>2</v>
      </c>
      <c r="R454">
        <v>0</v>
      </c>
      <c r="S454" t="s">
        <v>44</v>
      </c>
      <c r="T454">
        <v>5</v>
      </c>
      <c r="U454" t="s">
        <v>45</v>
      </c>
      <c r="V454" t="s">
        <v>46</v>
      </c>
    </row>
    <row r="455" spans="1:22">
      <c r="A455" t="s">
        <v>874</v>
      </c>
      <c r="B455" t="s">
        <v>349</v>
      </c>
      <c r="C455" t="s">
        <v>349</v>
      </c>
      <c r="D455" t="s">
        <v>246</v>
      </c>
      <c r="E455" t="s">
        <v>412</v>
      </c>
      <c r="F455" t="s">
        <v>40</v>
      </c>
      <c r="G455" t="s">
        <v>40</v>
      </c>
      <c r="H455" t="s">
        <v>70</v>
      </c>
      <c r="I455" t="s">
        <v>71</v>
      </c>
      <c r="J455" t="s">
        <v>141</v>
      </c>
      <c r="K455" t="s">
        <v>72</v>
      </c>
      <c r="L455" t="s">
        <v>77</v>
      </c>
      <c r="M455" s="5">
        <v>0.5</v>
      </c>
      <c r="N455">
        <v>1043</v>
      </c>
      <c r="O455" s="4">
        <v>5699.9</v>
      </c>
      <c r="P455" s="4">
        <v>7780.35</v>
      </c>
      <c r="Q455">
        <v>1</v>
      </c>
      <c r="R455">
        <v>0</v>
      </c>
      <c r="S455" t="s">
        <v>44</v>
      </c>
      <c r="T455">
        <v>5</v>
      </c>
      <c r="U455" t="s">
        <v>45</v>
      </c>
      <c r="V455" t="s">
        <v>46</v>
      </c>
    </row>
    <row r="456" spans="1:22">
      <c r="A456" t="s">
        <v>875</v>
      </c>
      <c r="B456" t="s">
        <v>602</v>
      </c>
      <c r="C456" t="s">
        <v>402</v>
      </c>
      <c r="D456" t="s">
        <v>603</v>
      </c>
      <c r="E456" t="s">
        <v>338</v>
      </c>
      <c r="F456" t="s">
        <v>40</v>
      </c>
      <c r="G456" t="s">
        <v>40</v>
      </c>
      <c r="H456" t="s">
        <v>40</v>
      </c>
      <c r="I456" t="s">
        <v>40</v>
      </c>
      <c r="J456" t="s">
        <v>76</v>
      </c>
      <c r="K456" t="s">
        <v>72</v>
      </c>
      <c r="L456" t="s">
        <v>77</v>
      </c>
      <c r="M456" s="5">
        <v>11.6</v>
      </c>
      <c r="N456">
        <v>1703</v>
      </c>
      <c r="O456" s="4">
        <v>7831.4</v>
      </c>
      <c r="P456" s="4">
        <v>13793.46</v>
      </c>
      <c r="Q456">
        <v>3</v>
      </c>
      <c r="R456">
        <v>1</v>
      </c>
      <c r="S456" t="s">
        <v>56</v>
      </c>
      <c r="T456">
        <v>5</v>
      </c>
      <c r="U456" t="s">
        <v>45</v>
      </c>
      <c r="V456" t="s">
        <v>46</v>
      </c>
    </row>
    <row r="457" spans="1:22">
      <c r="A457" t="s">
        <v>876</v>
      </c>
      <c r="B457" t="s">
        <v>340</v>
      </c>
      <c r="C457" t="s">
        <v>99</v>
      </c>
      <c r="D457" t="s">
        <v>238</v>
      </c>
      <c r="E457" t="s">
        <v>415</v>
      </c>
      <c r="F457" t="s">
        <v>54</v>
      </c>
      <c r="G457" t="s">
        <v>54</v>
      </c>
      <c r="H457" t="s">
        <v>82</v>
      </c>
      <c r="I457" t="s">
        <v>82</v>
      </c>
      <c r="J457" t="s">
        <v>55</v>
      </c>
      <c r="K457" t="s">
        <v>42</v>
      </c>
      <c r="L457" t="s">
        <v>77</v>
      </c>
      <c r="M457" s="5">
        <v>5.4</v>
      </c>
      <c r="N457">
        <v>518</v>
      </c>
      <c r="O457" s="4">
        <v>3491.4</v>
      </c>
      <c r="P457" s="4">
        <v>6547.32</v>
      </c>
      <c r="Q457">
        <v>6</v>
      </c>
      <c r="R457">
        <v>1</v>
      </c>
      <c r="S457" t="s">
        <v>56</v>
      </c>
      <c r="T457">
        <v>5</v>
      </c>
      <c r="U457" t="s">
        <v>45</v>
      </c>
      <c r="V457" t="s">
        <v>46</v>
      </c>
    </row>
    <row r="458" spans="1:22">
      <c r="A458" t="s">
        <v>877</v>
      </c>
      <c r="B458" t="s">
        <v>200</v>
      </c>
      <c r="C458" t="s">
        <v>149</v>
      </c>
      <c r="D458" t="s">
        <v>620</v>
      </c>
      <c r="E458" t="s">
        <v>150</v>
      </c>
      <c r="F458" t="s">
        <v>82</v>
      </c>
      <c r="G458" t="s">
        <v>82</v>
      </c>
      <c r="H458" t="s">
        <v>52</v>
      </c>
      <c r="I458" t="s">
        <v>53</v>
      </c>
      <c r="J458" t="s">
        <v>55</v>
      </c>
      <c r="K458" t="s">
        <v>65</v>
      </c>
      <c r="L458" t="s">
        <v>77</v>
      </c>
      <c r="M458" s="5">
        <v>15.5</v>
      </c>
      <c r="N458">
        <v>1437</v>
      </c>
      <c r="O458" s="4">
        <v>6004.1</v>
      </c>
      <c r="P458" s="4">
        <v>8393.98</v>
      </c>
      <c r="Q458">
        <v>5</v>
      </c>
      <c r="R458">
        <v>0</v>
      </c>
      <c r="S458" t="s">
        <v>44</v>
      </c>
      <c r="T458">
        <v>5</v>
      </c>
      <c r="U458" t="s">
        <v>45</v>
      </c>
      <c r="V458" t="s">
        <v>46</v>
      </c>
    </row>
    <row r="459" spans="1:22">
      <c r="A459" t="s">
        <v>878</v>
      </c>
      <c r="B459" t="s">
        <v>370</v>
      </c>
      <c r="C459" t="s">
        <v>370</v>
      </c>
      <c r="D459" t="s">
        <v>342</v>
      </c>
      <c r="E459" t="s">
        <v>651</v>
      </c>
      <c r="F459" t="s">
        <v>40</v>
      </c>
      <c r="G459" t="s">
        <v>40</v>
      </c>
      <c r="H459" t="s">
        <v>52</v>
      </c>
      <c r="I459" t="s">
        <v>53</v>
      </c>
      <c r="J459" t="s">
        <v>76</v>
      </c>
      <c r="K459" t="s">
        <v>65</v>
      </c>
      <c r="L459" t="s">
        <v>77</v>
      </c>
      <c r="M459" s="5">
        <v>4.7</v>
      </c>
      <c r="N459">
        <v>1171</v>
      </c>
      <c r="O459" s="4">
        <v>4607.3</v>
      </c>
      <c r="P459" s="4">
        <v>8768.7199999999993</v>
      </c>
      <c r="Q459">
        <v>9</v>
      </c>
      <c r="R459">
        <v>1</v>
      </c>
      <c r="S459" t="s">
        <v>56</v>
      </c>
      <c r="T459">
        <v>5</v>
      </c>
      <c r="U459" t="s">
        <v>45</v>
      </c>
      <c r="V459" t="s">
        <v>46</v>
      </c>
    </row>
    <row r="460" spans="1:22">
      <c r="A460" t="s">
        <v>879</v>
      </c>
      <c r="B460" t="s">
        <v>437</v>
      </c>
      <c r="C460" t="s">
        <v>437</v>
      </c>
      <c r="D460" t="s">
        <v>607</v>
      </c>
      <c r="E460" t="s">
        <v>438</v>
      </c>
      <c r="F460" t="s">
        <v>40</v>
      </c>
      <c r="G460" t="s">
        <v>40</v>
      </c>
      <c r="H460" t="s">
        <v>70</v>
      </c>
      <c r="I460" t="s">
        <v>71</v>
      </c>
      <c r="J460" t="s">
        <v>76</v>
      </c>
      <c r="K460" t="s">
        <v>42</v>
      </c>
      <c r="L460" t="s">
        <v>118</v>
      </c>
      <c r="M460" s="5">
        <v>9.1</v>
      </c>
      <c r="N460">
        <v>1818</v>
      </c>
      <c r="O460" s="4">
        <v>6145.9</v>
      </c>
      <c r="P460" s="4">
        <v>11383.09</v>
      </c>
      <c r="Q460">
        <v>8</v>
      </c>
      <c r="R460">
        <v>3</v>
      </c>
      <c r="S460" t="s">
        <v>56</v>
      </c>
      <c r="T460">
        <v>4</v>
      </c>
      <c r="U460" t="s">
        <v>220</v>
      </c>
      <c r="V460" t="s">
        <v>46</v>
      </c>
    </row>
    <row r="461" spans="1:22">
      <c r="A461" t="s">
        <v>880</v>
      </c>
      <c r="B461" t="s">
        <v>322</v>
      </c>
      <c r="C461" t="s">
        <v>322</v>
      </c>
      <c r="D461" t="s">
        <v>213</v>
      </c>
      <c r="E461" t="s">
        <v>81</v>
      </c>
      <c r="F461" t="s">
        <v>70</v>
      </c>
      <c r="G461" t="s">
        <v>71</v>
      </c>
      <c r="H461" t="s">
        <v>70</v>
      </c>
      <c r="I461" t="s">
        <v>71</v>
      </c>
      <c r="J461" t="s">
        <v>141</v>
      </c>
      <c r="K461" t="s">
        <v>65</v>
      </c>
      <c r="L461" t="s">
        <v>118</v>
      </c>
      <c r="M461" s="5">
        <v>0.4</v>
      </c>
      <c r="N461">
        <v>447</v>
      </c>
      <c r="O461" s="4">
        <v>2938.6</v>
      </c>
      <c r="P461" s="4">
        <v>3951.35</v>
      </c>
      <c r="Q461">
        <v>5</v>
      </c>
      <c r="R461">
        <v>0</v>
      </c>
      <c r="S461" t="s">
        <v>44</v>
      </c>
      <c r="T461">
        <v>5</v>
      </c>
      <c r="U461" t="s">
        <v>45</v>
      </c>
      <c r="V461" t="s">
        <v>46</v>
      </c>
    </row>
    <row r="462" spans="1:22">
      <c r="A462" t="s">
        <v>881</v>
      </c>
      <c r="B462" t="s">
        <v>400</v>
      </c>
      <c r="C462" t="s">
        <v>552</v>
      </c>
      <c r="D462" t="s">
        <v>514</v>
      </c>
      <c r="E462" t="s">
        <v>553</v>
      </c>
      <c r="F462" t="s">
        <v>52</v>
      </c>
      <c r="G462" t="s">
        <v>53</v>
      </c>
      <c r="H462" t="s">
        <v>40</v>
      </c>
      <c r="I462" t="s">
        <v>40</v>
      </c>
      <c r="J462" t="s">
        <v>55</v>
      </c>
      <c r="K462" t="s">
        <v>42</v>
      </c>
      <c r="L462" t="s">
        <v>61</v>
      </c>
      <c r="M462" s="5">
        <v>12.3</v>
      </c>
      <c r="N462">
        <v>1939</v>
      </c>
      <c r="O462" s="4">
        <v>6635.7</v>
      </c>
      <c r="P462" s="4">
        <v>12866.2</v>
      </c>
      <c r="Q462">
        <v>2</v>
      </c>
      <c r="R462">
        <v>0</v>
      </c>
      <c r="S462" t="s">
        <v>44</v>
      </c>
      <c r="T462">
        <v>5</v>
      </c>
      <c r="U462" t="s">
        <v>45</v>
      </c>
      <c r="V462" t="s">
        <v>46</v>
      </c>
    </row>
    <row r="463" spans="1:22">
      <c r="A463" t="s">
        <v>882</v>
      </c>
      <c r="B463" t="s">
        <v>285</v>
      </c>
      <c r="C463" t="s">
        <v>574</v>
      </c>
      <c r="D463" t="s">
        <v>575</v>
      </c>
      <c r="E463" t="s">
        <v>651</v>
      </c>
      <c r="F463" t="s">
        <v>52</v>
      </c>
      <c r="G463" t="s">
        <v>53</v>
      </c>
      <c r="H463" t="s">
        <v>52</v>
      </c>
      <c r="I463" t="s">
        <v>53</v>
      </c>
      <c r="J463" t="s">
        <v>41</v>
      </c>
      <c r="K463" t="s">
        <v>42</v>
      </c>
      <c r="L463" t="s">
        <v>87</v>
      </c>
      <c r="M463" s="5">
        <v>17.100000000000001</v>
      </c>
      <c r="N463">
        <v>924</v>
      </c>
      <c r="O463" s="4">
        <v>5216.7</v>
      </c>
      <c r="P463" s="4">
        <v>6570.87</v>
      </c>
      <c r="Q463">
        <v>3</v>
      </c>
      <c r="R463">
        <v>0</v>
      </c>
      <c r="S463" t="s">
        <v>44</v>
      </c>
      <c r="T463">
        <v>5</v>
      </c>
      <c r="U463" t="s">
        <v>45</v>
      </c>
      <c r="V463" t="s">
        <v>46</v>
      </c>
    </row>
    <row r="464" spans="1:22">
      <c r="A464" t="s">
        <v>883</v>
      </c>
      <c r="B464" t="s">
        <v>360</v>
      </c>
      <c r="C464" t="s">
        <v>316</v>
      </c>
      <c r="D464" t="s">
        <v>363</v>
      </c>
      <c r="E464" t="s">
        <v>318</v>
      </c>
      <c r="F464" t="s">
        <v>40</v>
      </c>
      <c r="G464" t="s">
        <v>40</v>
      </c>
      <c r="H464" t="s">
        <v>54</v>
      </c>
      <c r="I464" t="s">
        <v>54</v>
      </c>
      <c r="J464" t="s">
        <v>141</v>
      </c>
      <c r="K464" t="s">
        <v>65</v>
      </c>
      <c r="L464" t="s">
        <v>118</v>
      </c>
      <c r="M464" s="5">
        <v>9.3000000000000007</v>
      </c>
      <c r="N464">
        <v>505</v>
      </c>
      <c r="O464" s="4">
        <v>3799.5</v>
      </c>
      <c r="P464" s="4">
        <v>5387.08</v>
      </c>
      <c r="Q464">
        <v>7</v>
      </c>
      <c r="R464">
        <v>0</v>
      </c>
      <c r="S464" t="s">
        <v>44</v>
      </c>
      <c r="T464">
        <v>5</v>
      </c>
      <c r="U464" t="s">
        <v>45</v>
      </c>
      <c r="V464" t="s">
        <v>46</v>
      </c>
    </row>
    <row r="465" spans="1:22">
      <c r="A465" t="s">
        <v>884</v>
      </c>
      <c r="B465" t="s">
        <v>271</v>
      </c>
      <c r="C465" t="s">
        <v>271</v>
      </c>
      <c r="D465" t="s">
        <v>75</v>
      </c>
      <c r="E465" t="s">
        <v>143</v>
      </c>
      <c r="F465" t="s">
        <v>54</v>
      </c>
      <c r="G465" t="s">
        <v>54</v>
      </c>
      <c r="H465" t="s">
        <v>54</v>
      </c>
      <c r="I465" t="s">
        <v>54</v>
      </c>
      <c r="J465" t="s">
        <v>41</v>
      </c>
      <c r="K465" t="s">
        <v>42</v>
      </c>
      <c r="L465" t="s">
        <v>87</v>
      </c>
      <c r="M465" s="5">
        <v>1.7</v>
      </c>
      <c r="N465">
        <v>525</v>
      </c>
      <c r="O465" s="4">
        <v>3189.5</v>
      </c>
      <c r="P465" s="4">
        <v>6626.02</v>
      </c>
      <c r="Q465">
        <v>7</v>
      </c>
      <c r="R465">
        <v>2</v>
      </c>
      <c r="S465" t="s">
        <v>56</v>
      </c>
      <c r="T465">
        <v>3</v>
      </c>
      <c r="U465" t="s">
        <v>45</v>
      </c>
      <c r="V465" t="s">
        <v>46</v>
      </c>
    </row>
    <row r="466" spans="1:22">
      <c r="A466" t="s">
        <v>885</v>
      </c>
      <c r="B466" t="s">
        <v>501</v>
      </c>
      <c r="C466" t="s">
        <v>886</v>
      </c>
      <c r="D466" t="s">
        <v>739</v>
      </c>
      <c r="E466" t="s">
        <v>386</v>
      </c>
      <c r="F466" t="s">
        <v>52</v>
      </c>
      <c r="G466" t="s">
        <v>53</v>
      </c>
      <c r="H466" t="s">
        <v>40</v>
      </c>
      <c r="I466" t="s">
        <v>40</v>
      </c>
      <c r="J466" t="s">
        <v>55</v>
      </c>
      <c r="K466" t="s">
        <v>72</v>
      </c>
      <c r="L466" t="s">
        <v>87</v>
      </c>
      <c r="M466" s="5">
        <v>2.2999999999999998</v>
      </c>
      <c r="N466">
        <v>494</v>
      </c>
      <c r="O466" s="4">
        <v>4864.7</v>
      </c>
      <c r="P466" s="4">
        <v>7287.93</v>
      </c>
      <c r="Q466">
        <v>5</v>
      </c>
      <c r="R466">
        <v>3</v>
      </c>
      <c r="S466" t="s">
        <v>56</v>
      </c>
      <c r="T466">
        <v>4</v>
      </c>
      <c r="U466" t="s">
        <v>45</v>
      </c>
      <c r="V466" t="s">
        <v>46</v>
      </c>
    </row>
    <row r="467" spans="1:22">
      <c r="A467" t="s">
        <v>887</v>
      </c>
      <c r="B467" t="s">
        <v>222</v>
      </c>
      <c r="C467" t="s">
        <v>223</v>
      </c>
      <c r="D467" t="s">
        <v>174</v>
      </c>
      <c r="E467" t="s">
        <v>389</v>
      </c>
      <c r="F467" t="s">
        <v>70</v>
      </c>
      <c r="G467" t="s">
        <v>71</v>
      </c>
      <c r="H467" t="s">
        <v>82</v>
      </c>
      <c r="I467" t="s">
        <v>82</v>
      </c>
      <c r="J467" t="s">
        <v>76</v>
      </c>
      <c r="K467" t="s">
        <v>65</v>
      </c>
      <c r="L467" t="s">
        <v>118</v>
      </c>
      <c r="M467" s="5">
        <v>13.4</v>
      </c>
      <c r="N467">
        <v>1923</v>
      </c>
      <c r="O467" s="4">
        <v>6700.4</v>
      </c>
      <c r="P467" s="4">
        <v>9495.77</v>
      </c>
      <c r="Q467">
        <v>6</v>
      </c>
      <c r="R467">
        <v>0</v>
      </c>
      <c r="S467" t="s">
        <v>44</v>
      </c>
      <c r="T467">
        <v>5</v>
      </c>
      <c r="U467" t="s">
        <v>45</v>
      </c>
      <c r="V467" t="s">
        <v>46</v>
      </c>
    </row>
    <row r="468" spans="1:22">
      <c r="A468" t="s">
        <v>888</v>
      </c>
      <c r="B468" t="s">
        <v>330</v>
      </c>
      <c r="C468" t="s">
        <v>330</v>
      </c>
      <c r="D468" t="s">
        <v>473</v>
      </c>
      <c r="E468" t="s">
        <v>210</v>
      </c>
      <c r="F468" t="s">
        <v>82</v>
      </c>
      <c r="G468" t="s">
        <v>82</v>
      </c>
      <c r="H468" t="s">
        <v>70</v>
      </c>
      <c r="I468" t="s">
        <v>71</v>
      </c>
      <c r="J468" t="s">
        <v>55</v>
      </c>
      <c r="K468" t="s">
        <v>65</v>
      </c>
      <c r="L468" t="s">
        <v>77</v>
      </c>
      <c r="M468" s="5">
        <v>8.1</v>
      </c>
      <c r="N468">
        <v>2180</v>
      </c>
      <c r="O468" s="4">
        <v>6712.5</v>
      </c>
      <c r="P468" s="4">
        <v>9835.86</v>
      </c>
      <c r="Q468">
        <v>9</v>
      </c>
      <c r="R468">
        <v>1</v>
      </c>
      <c r="S468" t="s">
        <v>56</v>
      </c>
      <c r="T468">
        <v>5</v>
      </c>
      <c r="U468" t="s">
        <v>45</v>
      </c>
      <c r="V468" t="s">
        <v>46</v>
      </c>
    </row>
    <row r="469" spans="1:22">
      <c r="A469" t="s">
        <v>889</v>
      </c>
      <c r="B469" t="s">
        <v>238</v>
      </c>
      <c r="C469" t="s">
        <v>170</v>
      </c>
      <c r="D469" t="s">
        <v>239</v>
      </c>
      <c r="E469" t="s">
        <v>265</v>
      </c>
      <c r="F469" t="s">
        <v>70</v>
      </c>
      <c r="G469" t="s">
        <v>71</v>
      </c>
      <c r="H469" t="s">
        <v>82</v>
      </c>
      <c r="I469" t="s">
        <v>82</v>
      </c>
      <c r="J469" t="s">
        <v>141</v>
      </c>
      <c r="K469" t="s">
        <v>42</v>
      </c>
      <c r="L469" t="s">
        <v>118</v>
      </c>
      <c r="M469" s="5">
        <v>5.0999999999999996</v>
      </c>
      <c r="N469">
        <v>711</v>
      </c>
      <c r="O469" s="4">
        <v>3813.3</v>
      </c>
      <c r="P469" s="4">
        <v>6279.22</v>
      </c>
      <c r="Q469">
        <v>3</v>
      </c>
      <c r="R469">
        <v>0</v>
      </c>
      <c r="S469" t="s">
        <v>44</v>
      </c>
      <c r="T469">
        <v>5</v>
      </c>
      <c r="U469" t="s">
        <v>45</v>
      </c>
      <c r="V469" t="s">
        <v>46</v>
      </c>
    </row>
    <row r="470" spans="1:22">
      <c r="A470" t="s">
        <v>890</v>
      </c>
      <c r="B470" t="s">
        <v>476</v>
      </c>
      <c r="C470" t="s">
        <v>476</v>
      </c>
      <c r="D470" t="s">
        <v>377</v>
      </c>
      <c r="E470" t="s">
        <v>377</v>
      </c>
      <c r="F470" t="s">
        <v>70</v>
      </c>
      <c r="G470" t="s">
        <v>71</v>
      </c>
      <c r="H470" t="s">
        <v>40</v>
      </c>
      <c r="I470" t="s">
        <v>40</v>
      </c>
      <c r="J470" t="s">
        <v>41</v>
      </c>
      <c r="K470" t="s">
        <v>65</v>
      </c>
      <c r="L470" t="s">
        <v>87</v>
      </c>
      <c r="M470" s="5">
        <v>14.7</v>
      </c>
      <c r="N470">
        <v>2133</v>
      </c>
      <c r="O470" s="4">
        <v>7188.9</v>
      </c>
      <c r="P470" s="4">
        <v>11057.24</v>
      </c>
      <c r="Q470">
        <v>8</v>
      </c>
      <c r="R470">
        <v>0</v>
      </c>
      <c r="S470" t="s">
        <v>44</v>
      </c>
      <c r="T470">
        <v>5</v>
      </c>
      <c r="U470" t="s">
        <v>45</v>
      </c>
      <c r="V470" t="s">
        <v>46</v>
      </c>
    </row>
    <row r="471" spans="1:22">
      <c r="A471" t="s">
        <v>891</v>
      </c>
      <c r="B471" t="s">
        <v>182</v>
      </c>
      <c r="C471" t="s">
        <v>185</v>
      </c>
      <c r="D471" t="s">
        <v>305</v>
      </c>
      <c r="E471" t="s">
        <v>305</v>
      </c>
      <c r="F471" t="s">
        <v>54</v>
      </c>
      <c r="G471" t="s">
        <v>54</v>
      </c>
      <c r="H471" t="s">
        <v>70</v>
      </c>
      <c r="I471" t="s">
        <v>71</v>
      </c>
      <c r="J471" t="s">
        <v>141</v>
      </c>
      <c r="K471" t="s">
        <v>65</v>
      </c>
      <c r="L471" t="s">
        <v>43</v>
      </c>
      <c r="M471" s="5">
        <v>3.4</v>
      </c>
      <c r="N471">
        <v>677</v>
      </c>
      <c r="O471" s="4">
        <v>3607.6</v>
      </c>
      <c r="P471" s="4">
        <v>7420.84</v>
      </c>
      <c r="Q471">
        <v>8</v>
      </c>
      <c r="R471">
        <v>0</v>
      </c>
      <c r="S471" t="s">
        <v>44</v>
      </c>
      <c r="T471">
        <v>5</v>
      </c>
      <c r="U471" t="s">
        <v>45</v>
      </c>
      <c r="V471" t="s">
        <v>46</v>
      </c>
    </row>
    <row r="472" spans="1:22">
      <c r="A472" t="s">
        <v>892</v>
      </c>
      <c r="B472" t="s">
        <v>415</v>
      </c>
      <c r="C472" t="s">
        <v>415</v>
      </c>
      <c r="D472" t="s">
        <v>436</v>
      </c>
      <c r="E472" t="s">
        <v>240</v>
      </c>
      <c r="F472" t="s">
        <v>40</v>
      </c>
      <c r="G472" t="s">
        <v>40</v>
      </c>
      <c r="H472" t="s">
        <v>70</v>
      </c>
      <c r="I472" t="s">
        <v>71</v>
      </c>
      <c r="J472" t="s">
        <v>76</v>
      </c>
      <c r="K472" t="s">
        <v>65</v>
      </c>
      <c r="L472" t="s">
        <v>118</v>
      </c>
      <c r="M472" s="5">
        <v>12</v>
      </c>
      <c r="N472">
        <v>1267</v>
      </c>
      <c r="O472" s="4">
        <v>5400.6</v>
      </c>
      <c r="P472" s="4">
        <v>10849.48</v>
      </c>
      <c r="Q472">
        <v>7</v>
      </c>
      <c r="R472">
        <v>0</v>
      </c>
      <c r="S472" t="s">
        <v>44</v>
      </c>
      <c r="T472">
        <v>5</v>
      </c>
      <c r="U472" t="s">
        <v>45</v>
      </c>
      <c r="V472" t="s">
        <v>46</v>
      </c>
    </row>
    <row r="473" spans="1:22">
      <c r="A473" t="s">
        <v>893</v>
      </c>
      <c r="B473" t="s">
        <v>634</v>
      </c>
      <c r="C473" t="s">
        <v>208</v>
      </c>
      <c r="D473" t="s">
        <v>331</v>
      </c>
      <c r="E473" t="s">
        <v>106</v>
      </c>
      <c r="F473" t="s">
        <v>54</v>
      </c>
      <c r="G473" t="s">
        <v>54</v>
      </c>
      <c r="H473" t="s">
        <v>70</v>
      </c>
      <c r="I473" t="s">
        <v>71</v>
      </c>
      <c r="J473" t="s">
        <v>41</v>
      </c>
      <c r="K473" t="s">
        <v>42</v>
      </c>
      <c r="L473" t="s">
        <v>43</v>
      </c>
      <c r="M473" s="5">
        <v>13.7</v>
      </c>
      <c r="N473">
        <v>2089</v>
      </c>
      <c r="O473" s="4">
        <v>7024.7</v>
      </c>
      <c r="P473" s="4">
        <v>9482.51</v>
      </c>
      <c r="Q473">
        <v>4</v>
      </c>
      <c r="R473">
        <v>0</v>
      </c>
      <c r="S473" t="s">
        <v>44</v>
      </c>
      <c r="T473">
        <v>4</v>
      </c>
      <c r="U473" t="s">
        <v>45</v>
      </c>
      <c r="V473" t="s">
        <v>46</v>
      </c>
    </row>
    <row r="474" spans="1:22">
      <c r="A474" t="s">
        <v>894</v>
      </c>
      <c r="B474" t="s">
        <v>422</v>
      </c>
      <c r="C474" t="s">
        <v>422</v>
      </c>
      <c r="D474" t="s">
        <v>346</v>
      </c>
      <c r="E474" t="s">
        <v>236</v>
      </c>
      <c r="F474" t="s">
        <v>54</v>
      </c>
      <c r="G474" t="s">
        <v>54</v>
      </c>
      <c r="H474" t="s">
        <v>52</v>
      </c>
      <c r="I474" t="s">
        <v>53</v>
      </c>
      <c r="J474" t="s">
        <v>76</v>
      </c>
      <c r="K474" t="s">
        <v>42</v>
      </c>
      <c r="L474" t="s">
        <v>61</v>
      </c>
      <c r="M474" s="5">
        <v>14</v>
      </c>
      <c r="N474">
        <v>513</v>
      </c>
      <c r="O474" s="4">
        <v>4213.3999999999996</v>
      </c>
      <c r="P474" s="4">
        <v>8452.9699999999993</v>
      </c>
      <c r="Q474">
        <v>8</v>
      </c>
      <c r="R474">
        <v>3</v>
      </c>
      <c r="S474" t="s">
        <v>56</v>
      </c>
      <c r="T474">
        <v>4</v>
      </c>
      <c r="U474" t="s">
        <v>45</v>
      </c>
      <c r="V474" t="s">
        <v>46</v>
      </c>
    </row>
    <row r="475" spans="1:22">
      <c r="A475" t="s">
        <v>895</v>
      </c>
      <c r="B475" t="s">
        <v>198</v>
      </c>
      <c r="C475" t="s">
        <v>199</v>
      </c>
      <c r="D475" t="s">
        <v>200</v>
      </c>
      <c r="E475" t="s">
        <v>200</v>
      </c>
      <c r="F475" t="s">
        <v>52</v>
      </c>
      <c r="G475" t="s">
        <v>53</v>
      </c>
      <c r="H475" t="s">
        <v>82</v>
      </c>
      <c r="I475" t="s">
        <v>82</v>
      </c>
      <c r="J475" t="s">
        <v>141</v>
      </c>
      <c r="K475" t="s">
        <v>65</v>
      </c>
      <c r="L475" t="s">
        <v>118</v>
      </c>
      <c r="M475" s="5">
        <v>16.7</v>
      </c>
      <c r="N475">
        <v>809</v>
      </c>
      <c r="O475" s="4">
        <v>4975.7</v>
      </c>
      <c r="P475" s="4">
        <v>6861.46</v>
      </c>
      <c r="Q475">
        <v>8</v>
      </c>
      <c r="R475">
        <v>0</v>
      </c>
      <c r="S475" t="s">
        <v>44</v>
      </c>
      <c r="T475">
        <v>5</v>
      </c>
      <c r="U475" t="s">
        <v>45</v>
      </c>
      <c r="V475" t="s">
        <v>46</v>
      </c>
    </row>
    <row r="476" spans="1:22">
      <c r="A476" t="s">
        <v>896</v>
      </c>
      <c r="B476" t="s">
        <v>217</v>
      </c>
      <c r="C476" t="s">
        <v>217</v>
      </c>
      <c r="D476" t="s">
        <v>358</v>
      </c>
      <c r="E476" t="s">
        <v>627</v>
      </c>
      <c r="F476" t="s">
        <v>70</v>
      </c>
      <c r="G476" t="s">
        <v>71</v>
      </c>
      <c r="H476" t="s">
        <v>82</v>
      </c>
      <c r="I476" t="s">
        <v>82</v>
      </c>
      <c r="J476" t="s">
        <v>76</v>
      </c>
      <c r="K476" t="s">
        <v>65</v>
      </c>
      <c r="L476" t="s">
        <v>43</v>
      </c>
      <c r="M476" s="5">
        <v>5.7</v>
      </c>
      <c r="N476">
        <v>913</v>
      </c>
      <c r="O476" s="4">
        <v>4227.8999999999996</v>
      </c>
      <c r="P476" s="4">
        <v>7547.3</v>
      </c>
      <c r="Q476">
        <v>10</v>
      </c>
      <c r="R476">
        <v>2</v>
      </c>
      <c r="S476" t="s">
        <v>56</v>
      </c>
      <c r="T476">
        <v>4</v>
      </c>
      <c r="U476" t="s">
        <v>45</v>
      </c>
      <c r="V476" t="s">
        <v>46</v>
      </c>
    </row>
    <row r="477" spans="1:22">
      <c r="A477" t="s">
        <v>897</v>
      </c>
      <c r="B477" t="s">
        <v>110</v>
      </c>
      <c r="C477" t="s">
        <v>110</v>
      </c>
      <c r="D477" t="s">
        <v>111</v>
      </c>
      <c r="E477" t="s">
        <v>112</v>
      </c>
      <c r="F477" t="s">
        <v>52</v>
      </c>
      <c r="G477" t="s">
        <v>53</v>
      </c>
      <c r="H477" t="s">
        <v>54</v>
      </c>
      <c r="I477" t="s">
        <v>54</v>
      </c>
      <c r="J477" t="s">
        <v>141</v>
      </c>
      <c r="K477" t="s">
        <v>72</v>
      </c>
      <c r="L477" t="s">
        <v>87</v>
      </c>
      <c r="M477" s="5">
        <v>18.100000000000001</v>
      </c>
      <c r="N477">
        <v>1760</v>
      </c>
      <c r="O477" s="4">
        <v>8486.5</v>
      </c>
      <c r="P477" s="4">
        <v>11723.67</v>
      </c>
      <c r="Q477">
        <v>4</v>
      </c>
      <c r="R477">
        <v>2</v>
      </c>
      <c r="S477" t="s">
        <v>56</v>
      </c>
      <c r="T477">
        <v>4</v>
      </c>
      <c r="U477" t="s">
        <v>45</v>
      </c>
      <c r="V477" t="s">
        <v>46</v>
      </c>
    </row>
    <row r="478" spans="1:22">
      <c r="A478" t="s">
        <v>898</v>
      </c>
      <c r="B478" t="s">
        <v>414</v>
      </c>
      <c r="C478" t="s">
        <v>414</v>
      </c>
      <c r="D478" t="s">
        <v>266</v>
      </c>
      <c r="E478" t="s">
        <v>266</v>
      </c>
      <c r="F478" t="s">
        <v>82</v>
      </c>
      <c r="G478" t="s">
        <v>82</v>
      </c>
      <c r="H478" t="s">
        <v>52</v>
      </c>
      <c r="I478" t="s">
        <v>53</v>
      </c>
      <c r="J478" t="s">
        <v>41</v>
      </c>
      <c r="K478" t="s">
        <v>65</v>
      </c>
      <c r="L478" t="s">
        <v>118</v>
      </c>
      <c r="M478" s="5">
        <v>16.5</v>
      </c>
      <c r="N478">
        <v>1869</v>
      </c>
      <c r="O478" s="4">
        <v>6866.7</v>
      </c>
      <c r="P478" s="4">
        <v>9760.86</v>
      </c>
      <c r="Q478">
        <v>8</v>
      </c>
      <c r="R478">
        <v>0</v>
      </c>
      <c r="S478" t="s">
        <v>44</v>
      </c>
      <c r="T478">
        <v>5</v>
      </c>
      <c r="U478" t="s">
        <v>45</v>
      </c>
      <c r="V478" t="s">
        <v>46</v>
      </c>
    </row>
    <row r="479" spans="1:22">
      <c r="A479" t="s">
        <v>899</v>
      </c>
      <c r="B479" t="s">
        <v>620</v>
      </c>
      <c r="C479" t="s">
        <v>476</v>
      </c>
      <c r="D479" t="s">
        <v>377</v>
      </c>
      <c r="E479" t="s">
        <v>377</v>
      </c>
      <c r="F479" t="s">
        <v>70</v>
      </c>
      <c r="G479" t="s">
        <v>71</v>
      </c>
      <c r="H479" t="s">
        <v>70</v>
      </c>
      <c r="I479" t="s">
        <v>71</v>
      </c>
      <c r="J479" t="s">
        <v>141</v>
      </c>
      <c r="K479" t="s">
        <v>65</v>
      </c>
      <c r="L479" t="s">
        <v>61</v>
      </c>
      <c r="M479" s="5">
        <v>5.5</v>
      </c>
      <c r="N479">
        <v>1077</v>
      </c>
      <c r="O479" s="4">
        <v>4506.1000000000004</v>
      </c>
      <c r="P479" s="4">
        <v>7355.93</v>
      </c>
      <c r="Q479">
        <v>8</v>
      </c>
      <c r="R479">
        <v>0</v>
      </c>
      <c r="S479" t="s">
        <v>44</v>
      </c>
      <c r="T479">
        <v>5</v>
      </c>
      <c r="U479" t="s">
        <v>45</v>
      </c>
      <c r="V479" t="s">
        <v>46</v>
      </c>
    </row>
    <row r="480" spans="1:22">
      <c r="A480" t="s">
        <v>900</v>
      </c>
      <c r="B480" t="s">
        <v>561</v>
      </c>
      <c r="C480" t="s">
        <v>561</v>
      </c>
      <c r="D480" t="s">
        <v>183</v>
      </c>
      <c r="E480" t="s">
        <v>183</v>
      </c>
      <c r="F480" t="s">
        <v>40</v>
      </c>
      <c r="G480" t="s">
        <v>40</v>
      </c>
      <c r="H480" t="s">
        <v>54</v>
      </c>
      <c r="I480" t="s">
        <v>54</v>
      </c>
      <c r="J480" t="s">
        <v>141</v>
      </c>
      <c r="K480" t="s">
        <v>72</v>
      </c>
      <c r="L480" t="s">
        <v>61</v>
      </c>
      <c r="M480" s="5">
        <v>7.2</v>
      </c>
      <c r="N480">
        <v>819</v>
      </c>
      <c r="O480" s="4">
        <v>5866.2</v>
      </c>
      <c r="P480" s="4">
        <v>9911.56</v>
      </c>
      <c r="Q480">
        <v>2</v>
      </c>
      <c r="R480">
        <v>0</v>
      </c>
      <c r="S480" t="s">
        <v>44</v>
      </c>
      <c r="T480">
        <v>5</v>
      </c>
      <c r="U480" t="s">
        <v>45</v>
      </c>
      <c r="V480" t="s">
        <v>46</v>
      </c>
    </row>
    <row r="481" spans="1:22">
      <c r="A481" t="s">
        <v>901</v>
      </c>
      <c r="B481" t="s">
        <v>196</v>
      </c>
      <c r="C481" t="s">
        <v>198</v>
      </c>
      <c r="D481" t="s">
        <v>461</v>
      </c>
      <c r="E481" t="s">
        <v>567</v>
      </c>
      <c r="F481" t="s">
        <v>54</v>
      </c>
      <c r="G481" t="s">
        <v>54</v>
      </c>
      <c r="H481" t="s">
        <v>40</v>
      </c>
      <c r="I481" t="s">
        <v>40</v>
      </c>
      <c r="J481" t="s">
        <v>55</v>
      </c>
      <c r="K481" t="s">
        <v>42</v>
      </c>
      <c r="L481" t="s">
        <v>87</v>
      </c>
      <c r="M481" s="5">
        <v>5.0999999999999996</v>
      </c>
      <c r="N481">
        <v>1408</v>
      </c>
      <c r="O481" s="4">
        <v>5067.8999999999996</v>
      </c>
      <c r="P481" s="4">
        <v>9304.0499999999993</v>
      </c>
      <c r="Q481">
        <v>4</v>
      </c>
      <c r="R481">
        <v>0</v>
      </c>
      <c r="S481" t="s">
        <v>44</v>
      </c>
      <c r="T481">
        <v>4</v>
      </c>
      <c r="U481" t="s">
        <v>45</v>
      </c>
      <c r="V481" t="s">
        <v>46</v>
      </c>
    </row>
    <row r="482" spans="1:22">
      <c r="A482" t="s">
        <v>902</v>
      </c>
      <c r="B482" t="s">
        <v>271</v>
      </c>
      <c r="C482" t="s">
        <v>226</v>
      </c>
      <c r="D482" t="s">
        <v>222</v>
      </c>
      <c r="E482" t="s">
        <v>223</v>
      </c>
      <c r="F482" t="s">
        <v>54</v>
      </c>
      <c r="G482" t="s">
        <v>54</v>
      </c>
      <c r="H482" t="s">
        <v>54</v>
      </c>
      <c r="I482" t="s">
        <v>54</v>
      </c>
      <c r="J482" t="s">
        <v>55</v>
      </c>
      <c r="K482" t="s">
        <v>65</v>
      </c>
      <c r="L482" t="s">
        <v>118</v>
      </c>
      <c r="M482" s="5">
        <v>1.2</v>
      </c>
      <c r="N482">
        <v>930</v>
      </c>
      <c r="O482" s="4">
        <v>3876</v>
      </c>
      <c r="P482" s="4">
        <v>6075.51</v>
      </c>
      <c r="Q482">
        <v>10</v>
      </c>
      <c r="R482">
        <v>2</v>
      </c>
      <c r="S482" t="s">
        <v>56</v>
      </c>
      <c r="T482">
        <v>4</v>
      </c>
      <c r="U482" t="s">
        <v>45</v>
      </c>
      <c r="V482" t="s">
        <v>46</v>
      </c>
    </row>
    <row r="483" spans="1:22">
      <c r="A483" t="s">
        <v>903</v>
      </c>
      <c r="B483" t="s">
        <v>99</v>
      </c>
      <c r="C483" t="s">
        <v>263</v>
      </c>
      <c r="D483" t="s">
        <v>171</v>
      </c>
      <c r="E483" t="s">
        <v>171</v>
      </c>
      <c r="F483" t="s">
        <v>70</v>
      </c>
      <c r="G483" t="s">
        <v>71</v>
      </c>
      <c r="H483" t="s">
        <v>54</v>
      </c>
      <c r="I483" t="s">
        <v>54</v>
      </c>
      <c r="J483" t="s">
        <v>55</v>
      </c>
      <c r="K483" t="s">
        <v>65</v>
      </c>
      <c r="L483" t="s">
        <v>43</v>
      </c>
      <c r="M483" s="5">
        <v>6.2</v>
      </c>
      <c r="N483">
        <v>578</v>
      </c>
      <c r="O483" s="4">
        <v>3667.4</v>
      </c>
      <c r="P483" s="4">
        <v>6153.22</v>
      </c>
      <c r="Q483">
        <v>8</v>
      </c>
      <c r="R483">
        <v>0</v>
      </c>
      <c r="S483" t="s">
        <v>44</v>
      </c>
      <c r="T483">
        <v>5</v>
      </c>
      <c r="U483" t="s">
        <v>45</v>
      </c>
      <c r="V483" t="s">
        <v>46</v>
      </c>
    </row>
    <row r="484" spans="1:22">
      <c r="A484" t="s">
        <v>904</v>
      </c>
      <c r="B484" t="s">
        <v>230</v>
      </c>
      <c r="C484" t="s">
        <v>230</v>
      </c>
      <c r="D484" t="s">
        <v>574</v>
      </c>
      <c r="E484" t="s">
        <v>651</v>
      </c>
      <c r="F484" t="s">
        <v>54</v>
      </c>
      <c r="G484" t="s">
        <v>54</v>
      </c>
      <c r="H484" t="s">
        <v>70</v>
      </c>
      <c r="I484" t="s">
        <v>71</v>
      </c>
      <c r="J484" t="s">
        <v>41</v>
      </c>
      <c r="K484" t="s">
        <v>65</v>
      </c>
      <c r="L484" t="s">
        <v>77</v>
      </c>
      <c r="M484" s="5">
        <v>10.3</v>
      </c>
      <c r="N484">
        <v>1471</v>
      </c>
      <c r="O484" s="4">
        <v>5623.3</v>
      </c>
      <c r="P484" s="4">
        <v>11639.59</v>
      </c>
      <c r="Q484">
        <v>11</v>
      </c>
      <c r="R484">
        <v>3</v>
      </c>
      <c r="S484" t="s">
        <v>56</v>
      </c>
      <c r="T484">
        <v>4</v>
      </c>
      <c r="U484" t="s">
        <v>45</v>
      </c>
      <c r="V484" t="s">
        <v>46</v>
      </c>
    </row>
    <row r="485" spans="1:22">
      <c r="A485" t="s">
        <v>905</v>
      </c>
      <c r="B485" t="s">
        <v>39</v>
      </c>
      <c r="C485" t="s">
        <v>424</v>
      </c>
      <c r="D485" t="s">
        <v>537</v>
      </c>
      <c r="E485" t="s">
        <v>538</v>
      </c>
      <c r="F485" t="s">
        <v>52</v>
      </c>
      <c r="G485" t="s">
        <v>53</v>
      </c>
      <c r="H485" t="s">
        <v>40</v>
      </c>
      <c r="I485" t="s">
        <v>40</v>
      </c>
      <c r="J485" t="s">
        <v>141</v>
      </c>
      <c r="K485" t="s">
        <v>65</v>
      </c>
      <c r="L485" t="s">
        <v>77</v>
      </c>
      <c r="M485" s="5">
        <v>11.8</v>
      </c>
      <c r="N485">
        <v>2082</v>
      </c>
      <c r="O485" s="4">
        <v>6850.6</v>
      </c>
      <c r="P485" s="4">
        <v>11964.24</v>
      </c>
      <c r="Q485">
        <v>5</v>
      </c>
      <c r="R485">
        <v>0</v>
      </c>
      <c r="S485" t="s">
        <v>44</v>
      </c>
      <c r="T485">
        <v>5</v>
      </c>
      <c r="U485" t="s">
        <v>45</v>
      </c>
      <c r="V485" t="s">
        <v>46</v>
      </c>
    </row>
    <row r="486" spans="1:22">
      <c r="A486" t="s">
        <v>906</v>
      </c>
      <c r="B486" t="s">
        <v>361</v>
      </c>
      <c r="C486" t="s">
        <v>318</v>
      </c>
      <c r="D486" t="s">
        <v>48</v>
      </c>
      <c r="E486" t="s">
        <v>49</v>
      </c>
      <c r="F486" t="s">
        <v>82</v>
      </c>
      <c r="G486" t="s">
        <v>82</v>
      </c>
      <c r="H486" t="s">
        <v>54</v>
      </c>
      <c r="I486" t="s">
        <v>54</v>
      </c>
      <c r="J486" t="s">
        <v>55</v>
      </c>
      <c r="K486" t="s">
        <v>65</v>
      </c>
      <c r="L486" t="s">
        <v>87</v>
      </c>
      <c r="M486" s="5">
        <v>1.9</v>
      </c>
      <c r="N486">
        <v>1542</v>
      </c>
      <c r="O486" s="4">
        <v>5037.1000000000004</v>
      </c>
      <c r="P486" s="4">
        <v>9719.58</v>
      </c>
      <c r="Q486">
        <v>10</v>
      </c>
      <c r="R486">
        <v>2</v>
      </c>
      <c r="S486" t="s">
        <v>56</v>
      </c>
      <c r="T486">
        <v>4</v>
      </c>
      <c r="U486" t="s">
        <v>45</v>
      </c>
      <c r="V486" t="s">
        <v>46</v>
      </c>
    </row>
    <row r="487" spans="1:22">
      <c r="A487" t="s">
        <v>907</v>
      </c>
      <c r="B487" t="s">
        <v>380</v>
      </c>
      <c r="C487" t="s">
        <v>133</v>
      </c>
      <c r="D487" t="s">
        <v>229</v>
      </c>
      <c r="E487" t="s">
        <v>229</v>
      </c>
      <c r="F487" t="s">
        <v>82</v>
      </c>
      <c r="G487" t="s">
        <v>82</v>
      </c>
      <c r="H487" t="s">
        <v>54</v>
      </c>
      <c r="I487" t="s">
        <v>54</v>
      </c>
      <c r="J487" t="s">
        <v>141</v>
      </c>
      <c r="K487" t="s">
        <v>42</v>
      </c>
      <c r="L487" t="s">
        <v>43</v>
      </c>
      <c r="M487" s="5">
        <v>7.4</v>
      </c>
      <c r="N487">
        <v>1419</v>
      </c>
      <c r="O487" s="4">
        <v>5283.2</v>
      </c>
      <c r="P487" s="4">
        <v>8535.44</v>
      </c>
      <c r="Q487">
        <v>5</v>
      </c>
      <c r="R487">
        <v>0</v>
      </c>
      <c r="S487" t="s">
        <v>44</v>
      </c>
      <c r="T487">
        <v>5</v>
      </c>
      <c r="U487" t="s">
        <v>45</v>
      </c>
      <c r="V487" t="s">
        <v>46</v>
      </c>
    </row>
    <row r="488" spans="1:22">
      <c r="A488" t="s">
        <v>908</v>
      </c>
      <c r="B488" t="s">
        <v>437</v>
      </c>
      <c r="C488" t="s">
        <v>467</v>
      </c>
      <c r="D488" t="s">
        <v>909</v>
      </c>
      <c r="E488" t="s">
        <v>589</v>
      </c>
      <c r="F488" t="s">
        <v>52</v>
      </c>
      <c r="G488" t="s">
        <v>53</v>
      </c>
      <c r="H488" t="s">
        <v>82</v>
      </c>
      <c r="I488" t="s">
        <v>82</v>
      </c>
      <c r="J488" t="s">
        <v>55</v>
      </c>
      <c r="K488" t="s">
        <v>72</v>
      </c>
      <c r="L488" t="s">
        <v>77</v>
      </c>
      <c r="M488" s="5">
        <v>17.8</v>
      </c>
      <c r="N488">
        <v>2023</v>
      </c>
      <c r="O488" s="4">
        <v>8934.4</v>
      </c>
      <c r="P488" s="4">
        <v>18467.14</v>
      </c>
      <c r="Q488">
        <v>1</v>
      </c>
      <c r="R488">
        <v>0</v>
      </c>
      <c r="S488" t="s">
        <v>44</v>
      </c>
      <c r="T488">
        <v>4</v>
      </c>
      <c r="U488" t="s">
        <v>45</v>
      </c>
      <c r="V488" t="s">
        <v>46</v>
      </c>
    </row>
    <row r="489" spans="1:22">
      <c r="A489" t="s">
        <v>910</v>
      </c>
      <c r="B489" t="s">
        <v>93</v>
      </c>
      <c r="C489" t="s">
        <v>93</v>
      </c>
      <c r="D489" t="s">
        <v>94</v>
      </c>
      <c r="E489" t="s">
        <v>209</v>
      </c>
      <c r="F489" t="s">
        <v>82</v>
      </c>
      <c r="G489" t="s">
        <v>82</v>
      </c>
      <c r="H489" t="s">
        <v>70</v>
      </c>
      <c r="I489" t="s">
        <v>71</v>
      </c>
      <c r="J489" t="s">
        <v>41</v>
      </c>
      <c r="K489" t="s">
        <v>42</v>
      </c>
      <c r="L489" t="s">
        <v>87</v>
      </c>
      <c r="M489" s="5">
        <v>1.6</v>
      </c>
      <c r="N489">
        <v>703</v>
      </c>
      <c r="O489" s="4">
        <v>3501.4</v>
      </c>
      <c r="P489" s="4">
        <v>4640.9399999999996</v>
      </c>
      <c r="Q489">
        <v>8</v>
      </c>
      <c r="R489">
        <v>3</v>
      </c>
      <c r="S489" t="s">
        <v>56</v>
      </c>
      <c r="T489">
        <v>3</v>
      </c>
      <c r="U489" t="s">
        <v>45</v>
      </c>
      <c r="V489" t="s">
        <v>46</v>
      </c>
    </row>
    <row r="490" spans="1:22">
      <c r="A490" t="s">
        <v>911</v>
      </c>
      <c r="B490" t="s">
        <v>455</v>
      </c>
      <c r="C490" t="s">
        <v>457</v>
      </c>
      <c r="D490" t="s">
        <v>614</v>
      </c>
      <c r="E490" t="s">
        <v>131</v>
      </c>
      <c r="F490" t="s">
        <v>54</v>
      </c>
      <c r="G490" t="s">
        <v>54</v>
      </c>
      <c r="H490" t="s">
        <v>52</v>
      </c>
      <c r="I490" t="s">
        <v>53</v>
      </c>
      <c r="J490" t="s">
        <v>141</v>
      </c>
      <c r="K490" t="s">
        <v>72</v>
      </c>
      <c r="L490" t="s">
        <v>61</v>
      </c>
      <c r="M490" s="5">
        <v>0.3</v>
      </c>
      <c r="N490">
        <v>1012</v>
      </c>
      <c r="O490" s="4">
        <v>5627.1</v>
      </c>
      <c r="P490" s="4">
        <v>8595.7999999999993</v>
      </c>
      <c r="Q490">
        <v>3</v>
      </c>
      <c r="R490">
        <v>1</v>
      </c>
      <c r="S490" t="s">
        <v>56</v>
      </c>
      <c r="T490">
        <v>5</v>
      </c>
      <c r="U490" t="s">
        <v>45</v>
      </c>
      <c r="V490" t="s">
        <v>46</v>
      </c>
    </row>
    <row r="491" spans="1:22">
      <c r="A491" t="s">
        <v>912</v>
      </c>
      <c r="B491" t="s">
        <v>145</v>
      </c>
      <c r="C491" t="s">
        <v>224</v>
      </c>
      <c r="D491" t="s">
        <v>120</v>
      </c>
      <c r="E491" t="s">
        <v>120</v>
      </c>
      <c r="F491" t="s">
        <v>82</v>
      </c>
      <c r="G491" t="s">
        <v>82</v>
      </c>
      <c r="H491" t="s">
        <v>52</v>
      </c>
      <c r="I491" t="s">
        <v>53</v>
      </c>
      <c r="J491" t="s">
        <v>55</v>
      </c>
      <c r="K491" t="s">
        <v>72</v>
      </c>
      <c r="L491" t="s">
        <v>61</v>
      </c>
      <c r="M491" s="5">
        <v>1.2</v>
      </c>
      <c r="N491">
        <v>1889</v>
      </c>
      <c r="O491" s="4">
        <v>7282.2</v>
      </c>
      <c r="P491" s="4">
        <v>10045.530000000001</v>
      </c>
      <c r="Q491">
        <v>2</v>
      </c>
      <c r="R491">
        <v>0</v>
      </c>
      <c r="S491" t="s">
        <v>44</v>
      </c>
      <c r="T491">
        <v>5</v>
      </c>
      <c r="U491" t="s">
        <v>45</v>
      </c>
      <c r="V491" t="s">
        <v>46</v>
      </c>
    </row>
    <row r="492" spans="1:22">
      <c r="A492" t="s">
        <v>913</v>
      </c>
      <c r="B492" t="s">
        <v>914</v>
      </c>
      <c r="C492" t="s">
        <v>38</v>
      </c>
      <c r="D492" t="s">
        <v>625</v>
      </c>
      <c r="E492" t="s">
        <v>126</v>
      </c>
      <c r="F492" t="s">
        <v>82</v>
      </c>
      <c r="G492" t="s">
        <v>82</v>
      </c>
      <c r="H492" t="s">
        <v>82</v>
      </c>
      <c r="I492" t="s">
        <v>82</v>
      </c>
      <c r="J492" t="s">
        <v>55</v>
      </c>
      <c r="K492" t="s">
        <v>65</v>
      </c>
      <c r="L492" t="s">
        <v>77</v>
      </c>
      <c r="M492" s="5">
        <v>10.7</v>
      </c>
      <c r="N492">
        <v>1571</v>
      </c>
      <c r="O492" s="4">
        <v>5837.3</v>
      </c>
      <c r="P492" s="4">
        <v>10295.17</v>
      </c>
      <c r="Q492">
        <v>7</v>
      </c>
      <c r="R492">
        <v>0</v>
      </c>
      <c r="S492" t="s">
        <v>44</v>
      </c>
      <c r="T492">
        <v>5</v>
      </c>
      <c r="U492" t="s">
        <v>45</v>
      </c>
      <c r="V492" t="s">
        <v>46</v>
      </c>
    </row>
    <row r="493" spans="1:22">
      <c r="A493" t="s">
        <v>915</v>
      </c>
      <c r="B493" t="s">
        <v>289</v>
      </c>
      <c r="C493" t="s">
        <v>276</v>
      </c>
      <c r="D493" t="s">
        <v>245</v>
      </c>
      <c r="E493" t="s">
        <v>245</v>
      </c>
      <c r="F493" t="s">
        <v>70</v>
      </c>
      <c r="G493" t="s">
        <v>71</v>
      </c>
      <c r="H493" t="s">
        <v>70</v>
      </c>
      <c r="I493" t="s">
        <v>71</v>
      </c>
      <c r="J493" t="s">
        <v>55</v>
      </c>
      <c r="K493" t="s">
        <v>42</v>
      </c>
      <c r="L493" t="s">
        <v>118</v>
      </c>
      <c r="M493" s="5">
        <v>3.6</v>
      </c>
      <c r="N493">
        <v>89</v>
      </c>
      <c r="O493" s="4">
        <v>2566.1999999999998</v>
      </c>
      <c r="P493" s="4">
        <v>4452.13</v>
      </c>
      <c r="Q493">
        <v>5</v>
      </c>
      <c r="R493">
        <v>0</v>
      </c>
      <c r="S493" t="s">
        <v>44</v>
      </c>
      <c r="T493">
        <v>4</v>
      </c>
      <c r="U493" t="s">
        <v>45</v>
      </c>
      <c r="V493" t="s">
        <v>46</v>
      </c>
    </row>
    <row r="494" spans="1:22">
      <c r="A494" t="s">
        <v>916</v>
      </c>
      <c r="B494" t="s">
        <v>505</v>
      </c>
      <c r="C494" t="s">
        <v>557</v>
      </c>
      <c r="D494" t="s">
        <v>552</v>
      </c>
      <c r="E494" t="s">
        <v>400</v>
      </c>
      <c r="F494" t="s">
        <v>70</v>
      </c>
      <c r="G494" t="s">
        <v>71</v>
      </c>
      <c r="H494" t="s">
        <v>54</v>
      </c>
      <c r="I494" t="s">
        <v>54</v>
      </c>
      <c r="J494" t="s">
        <v>55</v>
      </c>
      <c r="K494" t="s">
        <v>72</v>
      </c>
      <c r="L494" t="s">
        <v>118</v>
      </c>
      <c r="M494" s="5">
        <v>0.3</v>
      </c>
      <c r="N494">
        <v>863</v>
      </c>
      <c r="O494" s="4">
        <v>5358.9</v>
      </c>
      <c r="P494" s="4">
        <v>7268.17</v>
      </c>
      <c r="Q494">
        <v>1</v>
      </c>
      <c r="R494">
        <v>0</v>
      </c>
      <c r="S494" t="s">
        <v>44</v>
      </c>
      <c r="T494">
        <v>5</v>
      </c>
      <c r="U494" t="s">
        <v>45</v>
      </c>
      <c r="V494" t="s">
        <v>46</v>
      </c>
    </row>
    <row r="495" spans="1:22">
      <c r="A495" t="s">
        <v>917</v>
      </c>
      <c r="B495" t="s">
        <v>251</v>
      </c>
      <c r="C495" t="s">
        <v>251</v>
      </c>
      <c r="D495" t="s">
        <v>111</v>
      </c>
      <c r="E495" t="s">
        <v>110</v>
      </c>
      <c r="F495" t="s">
        <v>40</v>
      </c>
      <c r="G495" t="s">
        <v>40</v>
      </c>
      <c r="H495" t="s">
        <v>54</v>
      </c>
      <c r="I495" t="s">
        <v>54</v>
      </c>
      <c r="J495" t="s">
        <v>41</v>
      </c>
      <c r="K495" t="s">
        <v>65</v>
      </c>
      <c r="L495" t="s">
        <v>77</v>
      </c>
      <c r="M495" s="5">
        <v>15.6</v>
      </c>
      <c r="N495">
        <v>1427</v>
      </c>
      <c r="O495" s="4">
        <v>5994.6</v>
      </c>
      <c r="P495" s="4">
        <v>10516.8</v>
      </c>
      <c r="Q495">
        <v>6</v>
      </c>
      <c r="R495">
        <v>0</v>
      </c>
      <c r="S495" t="s">
        <v>44</v>
      </c>
      <c r="T495">
        <v>5</v>
      </c>
      <c r="U495" t="s">
        <v>45</v>
      </c>
      <c r="V495" t="s">
        <v>46</v>
      </c>
    </row>
    <row r="496" spans="1:22">
      <c r="A496" t="s">
        <v>918</v>
      </c>
      <c r="B496" t="s">
        <v>636</v>
      </c>
      <c r="C496" t="s">
        <v>405</v>
      </c>
      <c r="D496" t="s">
        <v>723</v>
      </c>
      <c r="E496" t="s">
        <v>461</v>
      </c>
      <c r="F496" t="s">
        <v>70</v>
      </c>
      <c r="G496" t="s">
        <v>71</v>
      </c>
      <c r="H496" t="s">
        <v>52</v>
      </c>
      <c r="I496" t="s">
        <v>53</v>
      </c>
      <c r="J496" t="s">
        <v>41</v>
      </c>
      <c r="K496" t="s">
        <v>42</v>
      </c>
      <c r="L496" t="s">
        <v>87</v>
      </c>
      <c r="M496" s="5">
        <v>9.1</v>
      </c>
      <c r="N496">
        <v>850</v>
      </c>
      <c r="O496" s="4">
        <v>4403.5</v>
      </c>
      <c r="P496" s="4">
        <v>5764.19</v>
      </c>
      <c r="Q496">
        <v>4</v>
      </c>
      <c r="R496">
        <v>0</v>
      </c>
      <c r="S496" t="s">
        <v>44</v>
      </c>
      <c r="T496">
        <v>5</v>
      </c>
      <c r="U496" t="s">
        <v>45</v>
      </c>
      <c r="V496" t="s">
        <v>46</v>
      </c>
    </row>
    <row r="497" spans="1:22">
      <c r="A497" t="s">
        <v>919</v>
      </c>
      <c r="B497" t="s">
        <v>630</v>
      </c>
      <c r="C497" t="s">
        <v>409</v>
      </c>
      <c r="D497" t="s">
        <v>316</v>
      </c>
      <c r="E497" t="s">
        <v>360</v>
      </c>
      <c r="F497" t="s">
        <v>40</v>
      </c>
      <c r="G497" t="s">
        <v>40</v>
      </c>
      <c r="H497" t="s">
        <v>52</v>
      </c>
      <c r="I497" t="s">
        <v>53</v>
      </c>
      <c r="J497" t="s">
        <v>55</v>
      </c>
      <c r="K497" t="s">
        <v>72</v>
      </c>
      <c r="L497" t="s">
        <v>87</v>
      </c>
      <c r="M497" s="5">
        <v>9.5</v>
      </c>
      <c r="N497">
        <v>894</v>
      </c>
      <c r="O497" s="4">
        <v>6196.7</v>
      </c>
      <c r="P497" s="4">
        <v>12574.71</v>
      </c>
      <c r="Q497">
        <v>1</v>
      </c>
      <c r="R497">
        <v>0</v>
      </c>
      <c r="S497" t="s">
        <v>44</v>
      </c>
      <c r="T497">
        <v>5</v>
      </c>
      <c r="U497" t="s">
        <v>45</v>
      </c>
      <c r="V497" t="s">
        <v>46</v>
      </c>
    </row>
    <row r="498" spans="1:22">
      <c r="A498" t="s">
        <v>920</v>
      </c>
      <c r="B498" t="s">
        <v>282</v>
      </c>
      <c r="C498" t="s">
        <v>355</v>
      </c>
      <c r="D498" t="s">
        <v>479</v>
      </c>
      <c r="E498" t="s">
        <v>311</v>
      </c>
      <c r="F498" t="s">
        <v>40</v>
      </c>
      <c r="G498" t="s">
        <v>40</v>
      </c>
      <c r="H498" t="s">
        <v>52</v>
      </c>
      <c r="I498" t="s">
        <v>53</v>
      </c>
      <c r="J498" t="s">
        <v>55</v>
      </c>
      <c r="K498" t="s">
        <v>42</v>
      </c>
      <c r="L498" t="s">
        <v>61</v>
      </c>
      <c r="M498" s="5">
        <v>17</v>
      </c>
      <c r="N498">
        <v>370</v>
      </c>
      <c r="O498" s="4">
        <v>4211</v>
      </c>
      <c r="P498" s="4">
        <v>7204.7</v>
      </c>
      <c r="Q498">
        <v>7</v>
      </c>
      <c r="R498">
        <v>2</v>
      </c>
      <c r="S498" t="s">
        <v>56</v>
      </c>
      <c r="T498">
        <v>4</v>
      </c>
      <c r="U498" t="s">
        <v>45</v>
      </c>
      <c r="V498" t="s">
        <v>46</v>
      </c>
    </row>
    <row r="499" spans="1:22">
      <c r="A499" t="s">
        <v>921</v>
      </c>
      <c r="B499" t="s">
        <v>131</v>
      </c>
      <c r="C499" t="s">
        <v>114</v>
      </c>
      <c r="D499" t="s">
        <v>117</v>
      </c>
      <c r="E499" t="s">
        <v>191</v>
      </c>
      <c r="F499" t="s">
        <v>54</v>
      </c>
      <c r="G499" t="s">
        <v>54</v>
      </c>
      <c r="H499" t="s">
        <v>54</v>
      </c>
      <c r="I499" t="s">
        <v>54</v>
      </c>
      <c r="J499" t="s">
        <v>76</v>
      </c>
      <c r="K499" t="s">
        <v>42</v>
      </c>
      <c r="L499" t="s">
        <v>77</v>
      </c>
      <c r="M499" s="5">
        <v>1.8</v>
      </c>
      <c r="N499">
        <v>1655</v>
      </c>
      <c r="O499" s="4">
        <v>5232</v>
      </c>
      <c r="P499" s="4">
        <v>10682.14</v>
      </c>
      <c r="Q499">
        <v>2</v>
      </c>
      <c r="R499">
        <v>0</v>
      </c>
      <c r="S499" t="s">
        <v>44</v>
      </c>
      <c r="T499">
        <v>5</v>
      </c>
      <c r="U499" t="s">
        <v>45</v>
      </c>
      <c r="V499" t="s">
        <v>46</v>
      </c>
    </row>
    <row r="500" spans="1:22">
      <c r="A500" t="s">
        <v>922</v>
      </c>
      <c r="B500" t="s">
        <v>112</v>
      </c>
      <c r="C500" t="s">
        <v>112</v>
      </c>
      <c r="D500" t="s">
        <v>182</v>
      </c>
      <c r="E500" t="s">
        <v>185</v>
      </c>
      <c r="F500" t="s">
        <v>82</v>
      </c>
      <c r="G500" t="s">
        <v>82</v>
      </c>
      <c r="H500" t="s">
        <v>70</v>
      </c>
      <c r="I500" t="s">
        <v>71</v>
      </c>
      <c r="J500" t="s">
        <v>55</v>
      </c>
      <c r="K500" t="s">
        <v>65</v>
      </c>
      <c r="L500" t="s">
        <v>77</v>
      </c>
      <c r="M500" s="5">
        <v>10.4</v>
      </c>
      <c r="N500">
        <v>566</v>
      </c>
      <c r="O500" s="4">
        <v>4002.8</v>
      </c>
      <c r="P500" s="4">
        <v>6406.06</v>
      </c>
      <c r="Q500">
        <v>10</v>
      </c>
      <c r="R500">
        <v>2</v>
      </c>
      <c r="S500" t="s">
        <v>56</v>
      </c>
      <c r="T500">
        <v>4</v>
      </c>
      <c r="U500" t="s">
        <v>45</v>
      </c>
      <c r="V500" t="s">
        <v>46</v>
      </c>
    </row>
    <row r="501" spans="1:22">
      <c r="A501" t="s">
        <v>923</v>
      </c>
      <c r="B501" t="s">
        <v>431</v>
      </c>
      <c r="C501" t="s">
        <v>534</v>
      </c>
      <c r="D501" t="s">
        <v>655</v>
      </c>
      <c r="E501" t="s">
        <v>210</v>
      </c>
      <c r="F501" t="s">
        <v>52</v>
      </c>
      <c r="G501" t="s">
        <v>53</v>
      </c>
      <c r="H501" t="s">
        <v>70</v>
      </c>
      <c r="I501" t="s">
        <v>71</v>
      </c>
      <c r="J501" t="s">
        <v>55</v>
      </c>
      <c r="K501" t="s">
        <v>42</v>
      </c>
      <c r="L501" t="s">
        <v>61</v>
      </c>
      <c r="M501" s="5">
        <v>9.5</v>
      </c>
      <c r="N501">
        <v>1964</v>
      </c>
      <c r="O501" s="4">
        <v>6442.7</v>
      </c>
      <c r="P501" s="4">
        <v>10461.89</v>
      </c>
      <c r="Q501">
        <v>3</v>
      </c>
      <c r="R501">
        <v>0</v>
      </c>
      <c r="S501" t="s">
        <v>44</v>
      </c>
      <c r="T501">
        <v>4</v>
      </c>
      <c r="U501" t="s">
        <v>45</v>
      </c>
      <c r="V50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Tasks</vt:lpstr>
      <vt:lpstr>Shipments by destination</vt:lpstr>
      <vt:lpstr>Average Delivery Days</vt:lpstr>
      <vt:lpstr>Delivery Status by Region</vt:lpstr>
      <vt:lpstr>Shipping Cost &amp; Revenue</vt:lpstr>
      <vt:lpstr>Average Customer Rating</vt:lpstr>
      <vt:lpstr>Dashboard</vt:lpstr>
      <vt:lpstr>METRICS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2026-09-25T02:00:34Z</dcterms:created>
  <dcterms:modified xsi:type="dcterms:W3CDTF">2026-10-24T20:35:41Z</dcterms:modified>
</cp:coreProperties>
</file>