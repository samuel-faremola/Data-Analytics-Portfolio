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showInkAnnotation="0" hidePivotFieldList="1"/>
  <mc:AlternateContent xmlns:mc="http://schemas.openxmlformats.org/markup-compatibility/2006">
    <mc:Choice Requires="x15">
      <x15ac:absPath xmlns:x15ac="http://schemas.microsoft.com/office/spreadsheetml/2010/11/ac" url="C:\Users\bukol\Downloads\"/>
    </mc:Choice>
  </mc:AlternateContent>
  <xr:revisionPtr revIDLastSave="0" documentId="8_{B1809962-54AA-4D58-BF86-559FD00FE5E2}" xr6:coauthVersionLast="47" xr6:coauthVersionMax="47" xr10:uidLastSave="{00000000-0000-0000-0000-000000000000}"/>
  <bookViews>
    <workbookView xWindow="-120" yWindow="-120" windowWidth="29040" windowHeight="15840" firstSheet="1" activeTab="7" xr2:uid="{00000000-000D-0000-FFFF-FFFF00000000}"/>
  </bookViews>
  <sheets>
    <sheet name="Headcount by Department &amp; State" sheetId="10" r:id="rId1"/>
    <sheet name=" Overtime by Department &amp; Emplo" sheetId="11" r:id="rId2"/>
    <sheet name="Performance by Year &amp; Dept" sheetId="12" r:id="rId3"/>
    <sheet name="Hours &amp; Pay by Department" sheetId="14" r:id="rId4"/>
    <sheet name="Headcount by department" sheetId="15" r:id="rId5"/>
    <sheet name="Sheet1" sheetId="18" r:id="rId6"/>
    <sheet name="Data" sheetId="1" r:id="rId7"/>
    <sheet name="Dashboard chart" sheetId="17" r:id="rId8"/>
    <sheet name="Read Me" sheetId="2" r:id="rId9"/>
  </sheets>
  <definedNames>
    <definedName name="Slicer_Department">#N/A</definedName>
  </definedNames>
  <calcPr calcId="191028"/>
  <pivotCaches>
    <pivotCache cacheId="3"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15" l="1"/>
  <c r="D6" i="15"/>
  <c r="D7" i="15"/>
  <c r="D8" i="15"/>
  <c r="D9" i="15"/>
  <c r="D4" i="15"/>
  <c r="F8" i="14"/>
  <c r="F7" i="14"/>
  <c r="F6" i="14"/>
  <c r="F5" i="14"/>
  <c r="E9" i="14"/>
  <c r="E7" i="14"/>
  <c r="E6" i="14"/>
  <c r="E5" i="14"/>
  <c r="E4" i="14"/>
  <c r="G4" i="14" s="1"/>
  <c r="E8" i="14"/>
  <c r="G6" i="14" l="1"/>
  <c r="F9" i="14"/>
  <c r="G9" i="14" s="1"/>
  <c r="G7" i="14"/>
  <c r="G8" i="14"/>
  <c r="G5" i="14"/>
</calcChain>
</file>

<file path=xl/sharedStrings.xml><?xml version="1.0" encoding="utf-8"?>
<sst xmlns="http://schemas.openxmlformats.org/spreadsheetml/2006/main" count="3590" uniqueCount="553">
  <si>
    <t>Review Year</t>
  </si>
  <si>
    <t>State</t>
  </si>
  <si>
    <t>Department</t>
  </si>
  <si>
    <t>Role</t>
  </si>
  <si>
    <t>Employment Type</t>
  </si>
  <si>
    <t>Shift</t>
  </si>
  <si>
    <t>Hours Worked</t>
  </si>
  <si>
    <t>Overtime Hours</t>
  </si>
  <si>
    <t>Hourly Rate (USD)</t>
  </si>
  <si>
    <t>Performance Rating (1-5)</t>
  </si>
  <si>
    <t>Training Hours</t>
  </si>
  <si>
    <t>Status</t>
  </si>
  <si>
    <t>08-0001</t>
  </si>
  <si>
    <t>Texas</t>
  </si>
  <si>
    <t>Customer Support</t>
  </si>
  <si>
    <t>Analyst</t>
  </si>
  <si>
    <t>Part Time</t>
  </si>
  <si>
    <t>Night</t>
  </si>
  <si>
    <t>Active</t>
  </si>
  <si>
    <t>08-0002</t>
  </si>
  <si>
    <t>New York</t>
  </si>
  <si>
    <t>Full Time</t>
  </si>
  <si>
    <t>08-0003</t>
  </si>
  <si>
    <t>California</t>
  </si>
  <si>
    <t>Technology</t>
  </si>
  <si>
    <t>Evening</t>
  </si>
  <si>
    <t>08-0004</t>
  </si>
  <si>
    <t>08-0005</t>
  </si>
  <si>
    <t>HR</t>
  </si>
  <si>
    <t>Manager</t>
  </si>
  <si>
    <t>Left</t>
  </si>
  <si>
    <t>08-0006</t>
  </si>
  <si>
    <t>Associate</t>
  </si>
  <si>
    <t>08-0007</t>
  </si>
  <si>
    <t>08-0008</t>
  </si>
  <si>
    <t>Operations</t>
  </si>
  <si>
    <t>08-0009</t>
  </si>
  <si>
    <t>Finance</t>
  </si>
  <si>
    <t>Day</t>
  </si>
  <si>
    <t>08-0010</t>
  </si>
  <si>
    <t>08-0011</t>
  </si>
  <si>
    <t>08-0012</t>
  </si>
  <si>
    <t>Coordinator</t>
  </si>
  <si>
    <t>08-0013</t>
  </si>
  <si>
    <t>08-0014</t>
  </si>
  <si>
    <t>Ohio</t>
  </si>
  <si>
    <t>08-0015</t>
  </si>
  <si>
    <t>08-0016</t>
  </si>
  <si>
    <t>08-0017</t>
  </si>
  <si>
    <t>08-0018</t>
  </si>
  <si>
    <t>08-0019</t>
  </si>
  <si>
    <t>08-0020</t>
  </si>
  <si>
    <t>08-0021</t>
  </si>
  <si>
    <t>08-0022</t>
  </si>
  <si>
    <t>08-0023</t>
  </si>
  <si>
    <t>08-0024</t>
  </si>
  <si>
    <t>08-0025</t>
  </si>
  <si>
    <t>08-0026</t>
  </si>
  <si>
    <t>08-0027</t>
  </si>
  <si>
    <t>08-0028</t>
  </si>
  <si>
    <t>08-0029</t>
  </si>
  <si>
    <t>08-0030</t>
  </si>
  <si>
    <t>08-0031</t>
  </si>
  <si>
    <t>08-0032</t>
  </si>
  <si>
    <t>08-0033</t>
  </si>
  <si>
    <t>08-0034</t>
  </si>
  <si>
    <t>08-0035</t>
  </si>
  <si>
    <t>08-0036</t>
  </si>
  <si>
    <t>08-0037</t>
  </si>
  <si>
    <t>08-0038</t>
  </si>
  <si>
    <t>08-0039</t>
  </si>
  <si>
    <t>08-0040</t>
  </si>
  <si>
    <t>08-0041</t>
  </si>
  <si>
    <t>08-0042</t>
  </si>
  <si>
    <t>08-0043</t>
  </si>
  <si>
    <t>08-0044</t>
  </si>
  <si>
    <t>08-0045</t>
  </si>
  <si>
    <t>08-0046</t>
  </si>
  <si>
    <t>08-0047</t>
  </si>
  <si>
    <t>08-0048</t>
  </si>
  <si>
    <t>08-0049</t>
  </si>
  <si>
    <t>08-0050</t>
  </si>
  <si>
    <t>08-0051</t>
  </si>
  <si>
    <t>08-0052</t>
  </si>
  <si>
    <t>08-0053</t>
  </si>
  <si>
    <t>08-0054</t>
  </si>
  <si>
    <t>08-0055</t>
  </si>
  <si>
    <t>08-0056</t>
  </si>
  <si>
    <t>08-0057</t>
  </si>
  <si>
    <t>08-0058</t>
  </si>
  <si>
    <t>08-0059</t>
  </si>
  <si>
    <t>08-0060</t>
  </si>
  <si>
    <t>08-0061</t>
  </si>
  <si>
    <t>08-0062</t>
  </si>
  <si>
    <t>08-0063</t>
  </si>
  <si>
    <t>08-0064</t>
  </si>
  <si>
    <t>08-0065</t>
  </si>
  <si>
    <t>08-0066</t>
  </si>
  <si>
    <t>08-0067</t>
  </si>
  <si>
    <t>08-0068</t>
  </si>
  <si>
    <t>08-0069</t>
  </si>
  <si>
    <t>08-0070</t>
  </si>
  <si>
    <t>08-0071</t>
  </si>
  <si>
    <t>08-0072</t>
  </si>
  <si>
    <t>08-0073</t>
  </si>
  <si>
    <t>08-0074</t>
  </si>
  <si>
    <t>08-0075</t>
  </si>
  <si>
    <t>08-0076</t>
  </si>
  <si>
    <t>08-0077</t>
  </si>
  <si>
    <t>08-0078</t>
  </si>
  <si>
    <t>08-0079</t>
  </si>
  <si>
    <t>08-0080</t>
  </si>
  <si>
    <t>08-0081</t>
  </si>
  <si>
    <t>08-0082</t>
  </si>
  <si>
    <t>08-0083</t>
  </si>
  <si>
    <t>08-0084</t>
  </si>
  <si>
    <t>08-0085</t>
  </si>
  <si>
    <t>08-0086</t>
  </si>
  <si>
    <t>08-0087</t>
  </si>
  <si>
    <t>08-0088</t>
  </si>
  <si>
    <t>08-0089</t>
  </si>
  <si>
    <t>08-0090</t>
  </si>
  <si>
    <t>08-0091</t>
  </si>
  <si>
    <t>08-0092</t>
  </si>
  <si>
    <t>08-0093</t>
  </si>
  <si>
    <t>08-0094</t>
  </si>
  <si>
    <t>08-0095</t>
  </si>
  <si>
    <t>08-0096</t>
  </si>
  <si>
    <t>08-0097</t>
  </si>
  <si>
    <t>08-0098</t>
  </si>
  <si>
    <t>08-0099</t>
  </si>
  <si>
    <t>08-0100</t>
  </si>
  <si>
    <t>08-0101</t>
  </si>
  <si>
    <t>08-0102</t>
  </si>
  <si>
    <t>08-0103</t>
  </si>
  <si>
    <t>08-0104</t>
  </si>
  <si>
    <t>08-0105</t>
  </si>
  <si>
    <t>08-0106</t>
  </si>
  <si>
    <t>08-0107</t>
  </si>
  <si>
    <t>08-0108</t>
  </si>
  <si>
    <t>08-0109</t>
  </si>
  <si>
    <t>08-0110</t>
  </si>
  <si>
    <t>08-0111</t>
  </si>
  <si>
    <t>08-0112</t>
  </si>
  <si>
    <t>08-0113</t>
  </si>
  <si>
    <t>08-0114</t>
  </si>
  <si>
    <t>08-0115</t>
  </si>
  <si>
    <t>08-0116</t>
  </si>
  <si>
    <t>08-0117</t>
  </si>
  <si>
    <t>08-0118</t>
  </si>
  <si>
    <t>08-0119</t>
  </si>
  <si>
    <t>08-0120</t>
  </si>
  <si>
    <t>08-0121</t>
  </si>
  <si>
    <t>08-0122</t>
  </si>
  <si>
    <t>08-0123</t>
  </si>
  <si>
    <t>08-0124</t>
  </si>
  <si>
    <t>08-0125</t>
  </si>
  <si>
    <t>08-0126</t>
  </si>
  <si>
    <t>08-0127</t>
  </si>
  <si>
    <t>08-0128</t>
  </si>
  <si>
    <t>08-0129</t>
  </si>
  <si>
    <t>08-0130</t>
  </si>
  <si>
    <t>08-0131</t>
  </si>
  <si>
    <t>08-0132</t>
  </si>
  <si>
    <t>08-0133</t>
  </si>
  <si>
    <t>08-0134</t>
  </si>
  <si>
    <t>08-0135</t>
  </si>
  <si>
    <t>08-0136</t>
  </si>
  <si>
    <t>08-0137</t>
  </si>
  <si>
    <t>08-0138</t>
  </si>
  <si>
    <t>08-0139</t>
  </si>
  <si>
    <t>08-0140</t>
  </si>
  <si>
    <t>08-0141</t>
  </si>
  <si>
    <t>08-0142</t>
  </si>
  <si>
    <t>08-0143</t>
  </si>
  <si>
    <t>08-0144</t>
  </si>
  <si>
    <t>08-0145</t>
  </si>
  <si>
    <t>08-0146</t>
  </si>
  <si>
    <t>08-0147</t>
  </si>
  <si>
    <t>08-0148</t>
  </si>
  <si>
    <t>08-0149</t>
  </si>
  <si>
    <t>08-0150</t>
  </si>
  <si>
    <t>08-0151</t>
  </si>
  <si>
    <t>08-0152</t>
  </si>
  <si>
    <t>08-0153</t>
  </si>
  <si>
    <t>08-0154</t>
  </si>
  <si>
    <t>08-0155</t>
  </si>
  <si>
    <t>08-0156</t>
  </si>
  <si>
    <t>08-0157</t>
  </si>
  <si>
    <t>08-0158</t>
  </si>
  <si>
    <t>08-0159</t>
  </si>
  <si>
    <t>08-0160</t>
  </si>
  <si>
    <t>08-0161</t>
  </si>
  <si>
    <t>08-0162</t>
  </si>
  <si>
    <t>08-0163</t>
  </si>
  <si>
    <t>08-0164</t>
  </si>
  <si>
    <t>08-0165</t>
  </si>
  <si>
    <t>08-0166</t>
  </si>
  <si>
    <t>08-0167</t>
  </si>
  <si>
    <t>08-0168</t>
  </si>
  <si>
    <t>08-0169</t>
  </si>
  <si>
    <t>08-0170</t>
  </si>
  <si>
    <t>08-0171</t>
  </si>
  <si>
    <t>08-0172</t>
  </si>
  <si>
    <t>08-0173</t>
  </si>
  <si>
    <t>08-0174</t>
  </si>
  <si>
    <t>08-0175</t>
  </si>
  <si>
    <t>08-0176</t>
  </si>
  <si>
    <t>08-0177</t>
  </si>
  <si>
    <t>08-0178</t>
  </si>
  <si>
    <t>08-0179</t>
  </si>
  <si>
    <t>08-0180</t>
  </si>
  <si>
    <t>08-0181</t>
  </si>
  <si>
    <t>08-0182</t>
  </si>
  <si>
    <t>08-0183</t>
  </si>
  <si>
    <t>08-0184</t>
  </si>
  <si>
    <t>08-0185</t>
  </si>
  <si>
    <t>08-0186</t>
  </si>
  <si>
    <t>08-0187</t>
  </si>
  <si>
    <t>08-0188</t>
  </si>
  <si>
    <t>08-0189</t>
  </si>
  <si>
    <t>08-0190</t>
  </si>
  <si>
    <t>08-0191</t>
  </si>
  <si>
    <t>08-0192</t>
  </si>
  <si>
    <t>08-0193</t>
  </si>
  <si>
    <t>08-0194</t>
  </si>
  <si>
    <t>08-0195</t>
  </si>
  <si>
    <t>08-0196</t>
  </si>
  <si>
    <t>08-0197</t>
  </si>
  <si>
    <t>08-0198</t>
  </si>
  <si>
    <t>08-0199</t>
  </si>
  <si>
    <t>08-0200</t>
  </si>
  <si>
    <t>08-0201</t>
  </si>
  <si>
    <t>08-0202</t>
  </si>
  <si>
    <t>08-0203</t>
  </si>
  <si>
    <t>08-0204</t>
  </si>
  <si>
    <t>08-0205</t>
  </si>
  <si>
    <t>08-0206</t>
  </si>
  <si>
    <t>08-0207</t>
  </si>
  <si>
    <t>08-0208</t>
  </si>
  <si>
    <t>08-0209</t>
  </si>
  <si>
    <t>08-0210</t>
  </si>
  <si>
    <t>08-0211</t>
  </si>
  <si>
    <t>08-0212</t>
  </si>
  <si>
    <t>08-0213</t>
  </si>
  <si>
    <t>08-0214</t>
  </si>
  <si>
    <t>08-0215</t>
  </si>
  <si>
    <t>08-0216</t>
  </si>
  <si>
    <t>08-0217</t>
  </si>
  <si>
    <t>08-0218</t>
  </si>
  <si>
    <t>08-0219</t>
  </si>
  <si>
    <t>08-0220</t>
  </si>
  <si>
    <t>08-0221</t>
  </si>
  <si>
    <t>08-0222</t>
  </si>
  <si>
    <t>08-0223</t>
  </si>
  <si>
    <t>08-0224</t>
  </si>
  <si>
    <t>08-0225</t>
  </si>
  <si>
    <t>08-0226</t>
  </si>
  <si>
    <t>08-0227</t>
  </si>
  <si>
    <t>08-0228</t>
  </si>
  <si>
    <t>08-0229</t>
  </si>
  <si>
    <t>08-0230</t>
  </si>
  <si>
    <t>08-0231</t>
  </si>
  <si>
    <t>08-0232</t>
  </si>
  <si>
    <t>08-0233</t>
  </si>
  <si>
    <t>08-0234</t>
  </si>
  <si>
    <t>08-0235</t>
  </si>
  <si>
    <t>08-0236</t>
  </si>
  <si>
    <t>08-0237</t>
  </si>
  <si>
    <t>08-0238</t>
  </si>
  <si>
    <t>08-0239</t>
  </si>
  <si>
    <t>08-0240</t>
  </si>
  <si>
    <t>08-0241</t>
  </si>
  <si>
    <t>08-0242</t>
  </si>
  <si>
    <t>08-0243</t>
  </si>
  <si>
    <t>08-0244</t>
  </si>
  <si>
    <t>08-0245</t>
  </si>
  <si>
    <t>08-0246</t>
  </si>
  <si>
    <t>08-0247</t>
  </si>
  <si>
    <t>08-0248</t>
  </si>
  <si>
    <t>08-0249</t>
  </si>
  <si>
    <t>08-0250</t>
  </si>
  <si>
    <t>08-0251</t>
  </si>
  <si>
    <t>08-0252</t>
  </si>
  <si>
    <t>08-0253</t>
  </si>
  <si>
    <t>08-0254</t>
  </si>
  <si>
    <t>08-0255</t>
  </si>
  <si>
    <t>08-0256</t>
  </si>
  <si>
    <t>08-0257</t>
  </si>
  <si>
    <t>08-0258</t>
  </si>
  <si>
    <t>08-0259</t>
  </si>
  <si>
    <t>08-0260</t>
  </si>
  <si>
    <t>08-0261</t>
  </si>
  <si>
    <t>08-0262</t>
  </si>
  <si>
    <t>08-0263</t>
  </si>
  <si>
    <t>08-0264</t>
  </si>
  <si>
    <t>08-0265</t>
  </si>
  <si>
    <t>08-0266</t>
  </si>
  <si>
    <t>08-0267</t>
  </si>
  <si>
    <t>08-0268</t>
  </si>
  <si>
    <t>08-0269</t>
  </si>
  <si>
    <t>08-0270</t>
  </si>
  <si>
    <t>08-0271</t>
  </si>
  <si>
    <t>08-0272</t>
  </si>
  <si>
    <t>08-0273</t>
  </si>
  <si>
    <t>08-0274</t>
  </si>
  <si>
    <t>08-0275</t>
  </si>
  <si>
    <t>08-0276</t>
  </si>
  <si>
    <t>08-0277</t>
  </si>
  <si>
    <t>08-0278</t>
  </si>
  <si>
    <t>08-0279</t>
  </si>
  <si>
    <t>08-0280</t>
  </si>
  <si>
    <t>08-0281</t>
  </si>
  <si>
    <t>08-0282</t>
  </si>
  <si>
    <t>08-0283</t>
  </si>
  <si>
    <t>08-0284</t>
  </si>
  <si>
    <t>08-0285</t>
  </si>
  <si>
    <t>08-0286</t>
  </si>
  <si>
    <t>08-0287</t>
  </si>
  <si>
    <t>08-0288</t>
  </si>
  <si>
    <t>08-0289</t>
  </si>
  <si>
    <t>08-0290</t>
  </si>
  <si>
    <t>08-0291</t>
  </si>
  <si>
    <t>08-0292</t>
  </si>
  <si>
    <t>08-0293</t>
  </si>
  <si>
    <t>08-0294</t>
  </si>
  <si>
    <t>08-0295</t>
  </si>
  <si>
    <t>08-0296</t>
  </si>
  <si>
    <t>08-0297</t>
  </si>
  <si>
    <t>08-0298</t>
  </si>
  <si>
    <t>08-0299</t>
  </si>
  <si>
    <t>08-0300</t>
  </si>
  <si>
    <t>08-0301</t>
  </si>
  <si>
    <t>08-0302</t>
  </si>
  <si>
    <t>08-0303</t>
  </si>
  <si>
    <t>08-0304</t>
  </si>
  <si>
    <t>08-0305</t>
  </si>
  <si>
    <t>08-0306</t>
  </si>
  <si>
    <t>08-0307</t>
  </si>
  <si>
    <t>08-0308</t>
  </si>
  <si>
    <t>08-0309</t>
  </si>
  <si>
    <t>08-0310</t>
  </si>
  <si>
    <t>08-0311</t>
  </si>
  <si>
    <t>08-0312</t>
  </si>
  <si>
    <t>08-0313</t>
  </si>
  <si>
    <t>08-0314</t>
  </si>
  <si>
    <t>08-0315</t>
  </si>
  <si>
    <t>08-0316</t>
  </si>
  <si>
    <t>08-0317</t>
  </si>
  <si>
    <t>08-0318</t>
  </si>
  <si>
    <t>08-0319</t>
  </si>
  <si>
    <t>08-0320</t>
  </si>
  <si>
    <t>08-0321</t>
  </si>
  <si>
    <t>08-0322</t>
  </si>
  <si>
    <t>08-0323</t>
  </si>
  <si>
    <t>08-0324</t>
  </si>
  <si>
    <t>08-0325</t>
  </si>
  <si>
    <t>08-0326</t>
  </si>
  <si>
    <t>08-0327</t>
  </si>
  <si>
    <t>08-0328</t>
  </si>
  <si>
    <t>08-0329</t>
  </si>
  <si>
    <t>08-0330</t>
  </si>
  <si>
    <t>08-0331</t>
  </si>
  <si>
    <t>08-0332</t>
  </si>
  <si>
    <t>08-0333</t>
  </si>
  <si>
    <t>08-0334</t>
  </si>
  <si>
    <t>08-0335</t>
  </si>
  <si>
    <t>08-0336</t>
  </si>
  <si>
    <t>08-0337</t>
  </si>
  <si>
    <t>08-0338</t>
  </si>
  <si>
    <t>08-0339</t>
  </si>
  <si>
    <t>08-0340</t>
  </si>
  <si>
    <t>08-0341</t>
  </si>
  <si>
    <t>08-0342</t>
  </si>
  <si>
    <t>08-0343</t>
  </si>
  <si>
    <t>08-0344</t>
  </si>
  <si>
    <t>08-0345</t>
  </si>
  <si>
    <t>08-0346</t>
  </si>
  <si>
    <t>08-0347</t>
  </si>
  <si>
    <t>08-0348</t>
  </si>
  <si>
    <t>08-0349</t>
  </si>
  <si>
    <t>08-0350</t>
  </si>
  <si>
    <t>08-0351</t>
  </si>
  <si>
    <t>08-0352</t>
  </si>
  <si>
    <t>08-0353</t>
  </si>
  <si>
    <t>08-0354</t>
  </si>
  <si>
    <t>08-0355</t>
  </si>
  <si>
    <t>08-0356</t>
  </si>
  <si>
    <t>08-0357</t>
  </si>
  <si>
    <t>08-0358</t>
  </si>
  <si>
    <t>08-0359</t>
  </si>
  <si>
    <t>08-0360</t>
  </si>
  <si>
    <t>08-0361</t>
  </si>
  <si>
    <t>08-0362</t>
  </si>
  <si>
    <t>08-0363</t>
  </si>
  <si>
    <t>08-0364</t>
  </si>
  <si>
    <t>08-0365</t>
  </si>
  <si>
    <t>08-0366</t>
  </si>
  <si>
    <t>08-0367</t>
  </si>
  <si>
    <t>08-0368</t>
  </si>
  <si>
    <t>08-0369</t>
  </si>
  <si>
    <t>08-0370</t>
  </si>
  <si>
    <t>08-0371</t>
  </si>
  <si>
    <t>08-0372</t>
  </si>
  <si>
    <t>08-0373</t>
  </si>
  <si>
    <t>08-0374</t>
  </si>
  <si>
    <t>08-0375</t>
  </si>
  <si>
    <t>08-0376</t>
  </si>
  <si>
    <t>08-0377</t>
  </si>
  <si>
    <t>08-0378</t>
  </si>
  <si>
    <t>08-0379</t>
  </si>
  <si>
    <t>08-0380</t>
  </si>
  <si>
    <t>08-0381</t>
  </si>
  <si>
    <t>08-0382</t>
  </si>
  <si>
    <t>08-0383</t>
  </si>
  <si>
    <t>08-0384</t>
  </si>
  <si>
    <t>08-0385</t>
  </si>
  <si>
    <t>08-0386</t>
  </si>
  <si>
    <t>08-0387</t>
  </si>
  <si>
    <t>08-0388</t>
  </si>
  <si>
    <t>08-0389</t>
  </si>
  <si>
    <t>08-0390</t>
  </si>
  <si>
    <t>08-0391</t>
  </si>
  <si>
    <t>08-0392</t>
  </si>
  <si>
    <t>08-0393</t>
  </si>
  <si>
    <t>08-0394</t>
  </si>
  <si>
    <t>08-0395</t>
  </si>
  <si>
    <t>08-0396</t>
  </si>
  <si>
    <t>08-0397</t>
  </si>
  <si>
    <t>08-0398</t>
  </si>
  <si>
    <t>08-0399</t>
  </si>
  <si>
    <t>08-0400</t>
  </si>
  <si>
    <t>08-0401</t>
  </si>
  <si>
    <t>08-0402</t>
  </si>
  <si>
    <t>08-0403</t>
  </si>
  <si>
    <t>08-0404</t>
  </si>
  <si>
    <t>08-0405</t>
  </si>
  <si>
    <t>08-0406</t>
  </si>
  <si>
    <t>08-0407</t>
  </si>
  <si>
    <t>08-0408</t>
  </si>
  <si>
    <t>08-0409</t>
  </si>
  <si>
    <t>08-0410</t>
  </si>
  <si>
    <t>08-0411</t>
  </si>
  <si>
    <t>08-0412</t>
  </si>
  <si>
    <t>08-0413</t>
  </si>
  <si>
    <t>08-0414</t>
  </si>
  <si>
    <t>08-0415</t>
  </si>
  <si>
    <t>08-0416</t>
  </si>
  <si>
    <t>08-0417</t>
  </si>
  <si>
    <t>08-0418</t>
  </si>
  <si>
    <t>08-0419</t>
  </si>
  <si>
    <t>08-0420</t>
  </si>
  <si>
    <t>08-0421</t>
  </si>
  <si>
    <t>08-0422</t>
  </si>
  <si>
    <t>08-0423</t>
  </si>
  <si>
    <t>08-0424</t>
  </si>
  <si>
    <t>08-0425</t>
  </si>
  <si>
    <t>08-0426</t>
  </si>
  <si>
    <t>08-0427</t>
  </si>
  <si>
    <t>08-0428</t>
  </si>
  <si>
    <t>08-0429</t>
  </si>
  <si>
    <t>08-0430</t>
  </si>
  <si>
    <t>08-0431</t>
  </si>
  <si>
    <t>08-0432</t>
  </si>
  <si>
    <t>08-0433</t>
  </si>
  <si>
    <t>08-0434</t>
  </si>
  <si>
    <t>08-0435</t>
  </si>
  <si>
    <t>08-0436</t>
  </si>
  <si>
    <t>08-0437</t>
  </si>
  <si>
    <t>08-0438</t>
  </si>
  <si>
    <t>08-0439</t>
  </si>
  <si>
    <t>08-0440</t>
  </si>
  <si>
    <t>08-0441</t>
  </si>
  <si>
    <t>08-0442</t>
  </si>
  <si>
    <t>08-0443</t>
  </si>
  <si>
    <t>08-0444</t>
  </si>
  <si>
    <t>08-0445</t>
  </si>
  <si>
    <t>08-0446</t>
  </si>
  <si>
    <t>08-0447</t>
  </si>
  <si>
    <t>08-0448</t>
  </si>
  <si>
    <t>08-0449</t>
  </si>
  <si>
    <t>08-0450</t>
  </si>
  <si>
    <t>08-0451</t>
  </si>
  <si>
    <t>08-0452</t>
  </si>
  <si>
    <t>08-0453</t>
  </si>
  <si>
    <t>08-0454</t>
  </si>
  <si>
    <t>08-0455</t>
  </si>
  <si>
    <t>08-0456</t>
  </si>
  <si>
    <t>08-0457</t>
  </si>
  <si>
    <t>08-0458</t>
  </si>
  <si>
    <t>08-0459</t>
  </si>
  <si>
    <t>08-0460</t>
  </si>
  <si>
    <t>08-0461</t>
  </si>
  <si>
    <t>08-0462</t>
  </si>
  <si>
    <t>08-0463</t>
  </si>
  <si>
    <t>08-0464</t>
  </si>
  <si>
    <t>08-0465</t>
  </si>
  <si>
    <t>08-0466</t>
  </si>
  <si>
    <t>08-0467</t>
  </si>
  <si>
    <t>08-0468</t>
  </si>
  <si>
    <t>08-0469</t>
  </si>
  <si>
    <t>08-0470</t>
  </si>
  <si>
    <t>08-0471</t>
  </si>
  <si>
    <t>08-0472</t>
  </si>
  <si>
    <t>08-0473</t>
  </si>
  <si>
    <t>08-0474</t>
  </si>
  <si>
    <t>08-0475</t>
  </si>
  <si>
    <t>08-0476</t>
  </si>
  <si>
    <t>08-0477</t>
  </si>
  <si>
    <t>08-0478</t>
  </si>
  <si>
    <t>08-0479</t>
  </si>
  <si>
    <t>08-0480</t>
  </si>
  <si>
    <t>08-0481</t>
  </si>
  <si>
    <t>08-0482</t>
  </si>
  <si>
    <t>08-0483</t>
  </si>
  <si>
    <t>08-0484</t>
  </si>
  <si>
    <t>08-0485</t>
  </si>
  <si>
    <t>08-0486</t>
  </si>
  <si>
    <t>08-0487</t>
  </si>
  <si>
    <t>08-0488</t>
  </si>
  <si>
    <t>08-0489</t>
  </si>
  <si>
    <t>08-0490</t>
  </si>
  <si>
    <t>08-0491</t>
  </si>
  <si>
    <t>08-0492</t>
  </si>
  <si>
    <t>08-0493</t>
  </si>
  <si>
    <t>08-0494</t>
  </si>
  <si>
    <t>08-0495</t>
  </si>
  <si>
    <t>08-0496</t>
  </si>
  <si>
    <t>08-0497</t>
  </si>
  <si>
    <t>08-0498</t>
  </si>
  <si>
    <t>08-0499</t>
  </si>
  <si>
    <t>08-0500</t>
  </si>
  <si>
    <t>US Workforce Performance — dashboard practice</t>
  </si>
  <si>
    <t>Dataset type: FICTIONAL / SYNTHETIC DATA. Do not cite as actual industry performance.</t>
  </si>
  <si>
    <t>Records: 500. Each row can be used for PivotTables, charts and dashboard KPIs.</t>
  </si>
  <si>
    <t>Synthetic employee-year records; employee IDs are fictional.</t>
  </si>
  <si>
    <t>Dashboards: overtime, labor cost estimate, training and performance by department and year.</t>
  </si>
  <si>
    <t>Row Labels</t>
  </si>
  <si>
    <t>Grand Total</t>
  </si>
  <si>
    <t>Column Labels</t>
  </si>
  <si>
    <t xml:space="preserve">  Employee ID</t>
  </si>
  <si>
    <t>Count of   Employee ID</t>
  </si>
  <si>
    <t xml:space="preserve">The Department with the largest workforce is HR. </t>
  </si>
  <si>
    <t>Sum of Overtime Hours</t>
  </si>
  <si>
    <t>Operations has the largest number with evening shift.</t>
  </si>
  <si>
    <t>Average of Performance Rating (1-5)</t>
  </si>
  <si>
    <t>Total hours</t>
  </si>
  <si>
    <t>Base Salary</t>
  </si>
  <si>
    <t>Average of Hourly Rate (USD)</t>
  </si>
  <si>
    <t>Overtime Cost * 1.5</t>
  </si>
  <si>
    <t>Total Cost</t>
  </si>
  <si>
    <t>Overtime per Employee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</si>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</sst>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1"/>
      <color rgb="FFFFFFFF"/>
      <name val="Arial"/>
    </font>
    <font>
      <b/>
      <sz val="15"/>
      <color rgb="FFFFFFFF"/>
      <name val="Arial"/>
    </font>
    <font>
      <sz val="11"/>
      <name val="Carlito"/>
    </font>
    <font>
      <b/>
      <sz val="11"/>
      <name val="Carlito"/>
    </font>
  </fonts>
  <fills count="3">
    <fill>
      <patternFill patternType="none"/>
    </fill>
    <fill>
      <patternFill patternType="gray125"/>
    </fill>
    <fill>
      <patternFill patternType="solid">
        <fgColor rgb="FF17365D"/>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9">
    <xf numFmtId="0" fontId="0" fillId="0" borderId="0" xfId="0"/>
    <xf numFmtId="0" fontId="1" fillId="2" borderId="0" xfId="0" applyFont="1" applyFill="1"/>
    <xf numFmtId="0" fontId="2" fillId="2" borderId="0" xfId="0" applyFont="1" applyFill="1"/>
    <xf numFmtId="0" fontId="0" fillId="0" borderId="0" xfId="0" pivotButton="1"/>
    <xf numFmtId="0" fontId="0" fillId="0" borderId="0" xfId="0" applyAlignment="1">
      <alignment horizontal="left"/>
    </xf>
    <xf numFmtId="2" fontId="0" fillId="0" borderId="0" xfId="0" applyNumberFormat="1"/>
    <xf numFmtId="0" fontId="4" fillId="0" borderId="0" xfId="0" applyFont="1"/>
    <xf numFmtId="1" fontId="0" fillId="0" borderId="0" xfId="0" applyNumberFormat="1"/>
    <xf numFmtId="1" fontId="0" fillId="0" borderId="0" xfId="1" applyNumberFormat="1" applyFont="1"/>
  </cellXfs>
  <cellStyles count="2">
    <cellStyle name="Normal" xfId="0" builtinId="0"/>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[USA_HR ANALYTICS DASHBOARD.xlsx]Headcount by Department &amp; State!PivotTable2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'Headcount by Department &amp; State'!$B$3:$B$4</c:f>
              <c:strCache>
                <c:ptCount val="1"/>
                <c:pt idx="0">
                  <c:v>California</c:v>
                </c:pt>
              </c:strCache>
            </c:strRef>
          </c:tx>
          <c:spPr>
            <a:solidFill>
              <a:schemeClr val="accent1"/>
            </a:solidFill>
            <a:ln>
              <a:noFill/>
            </a:ln>
            <a:effectLst/>
          </c:spPr>
          <c:invertIfNegative val="0"/>
          <c:cat>
            <c:strRef>
              <c:f>'Headcount by Department &amp; State'!$A$5:$A$10</c:f>
              <c:strCache>
                <c:ptCount val="5"/>
                <c:pt idx="0">
                  <c:v>HR</c:v>
                </c:pt>
                <c:pt idx="1">
                  <c:v>Customer Support</c:v>
                </c:pt>
                <c:pt idx="2">
                  <c:v>Technology</c:v>
                </c:pt>
                <c:pt idx="3">
                  <c:v>Finance</c:v>
                </c:pt>
                <c:pt idx="4">
                  <c:v>Operations</c:v>
                </c:pt>
              </c:strCache>
            </c:strRef>
          </c:cat>
          <c:val>
            <c:numRef>
              <c:f>'Headcount by Department &amp; State'!$B$5:$B$10</c:f>
              <c:numCache>
                <c:formatCode>General</c:formatCode>
                <c:ptCount val="5"/>
                <c:pt idx="0">
                  <c:v>34</c:v>
                </c:pt>
                <c:pt idx="1">
                  <c:v>34</c:v>
                </c:pt>
                <c:pt idx="2">
                  <c:v>31</c:v>
                </c:pt>
                <c:pt idx="3">
                  <c:v>28</c:v>
                </c:pt>
                <c:pt idx="4">
                  <c:v>21</c:v>
                </c:pt>
              </c:numCache>
            </c:numRef>
          </c:val>
          <c:extLst>
            <c:ext xmlns:c16="http://schemas.microsoft.com/office/drawing/2014/chart" uri="{C3380CC4-5D6E-409C-BE32-E72D297353CC}">
              <c16:uniqueId val="{00000000-B776-4910-BE7B-B08E5793C4AF}"/>
            </c:ext>
          </c:extLst>
        </c:ser>
        <c:ser>
          <c:idx val="1"/>
          <c:order val="1"/>
          <c:tx>
            <c:strRef>
              <c:f>'Headcount by Department &amp; State'!$C$3:$C$4</c:f>
              <c:strCache>
                <c:ptCount val="1"/>
                <c:pt idx="0">
                  <c:v>New York</c:v>
                </c:pt>
              </c:strCache>
            </c:strRef>
          </c:tx>
          <c:spPr>
            <a:solidFill>
              <a:schemeClr val="accent2"/>
            </a:solidFill>
            <a:ln>
              <a:noFill/>
            </a:ln>
            <a:effectLst/>
          </c:spPr>
          <c:invertIfNegative val="0"/>
          <c:cat>
            <c:strRef>
              <c:f>'Headcount by Department &amp; State'!$A$5:$A$10</c:f>
              <c:strCache>
                <c:ptCount val="5"/>
                <c:pt idx="0">
                  <c:v>HR</c:v>
                </c:pt>
                <c:pt idx="1">
                  <c:v>Customer Support</c:v>
                </c:pt>
                <c:pt idx="2">
                  <c:v>Technology</c:v>
                </c:pt>
                <c:pt idx="3">
                  <c:v>Finance</c:v>
                </c:pt>
                <c:pt idx="4">
                  <c:v>Operations</c:v>
                </c:pt>
              </c:strCache>
            </c:strRef>
          </c:cat>
          <c:val>
            <c:numRef>
              <c:f>'Headcount by Department &amp; State'!$C$5:$C$10</c:f>
              <c:numCache>
                <c:formatCode>General</c:formatCode>
                <c:ptCount val="5"/>
                <c:pt idx="0">
                  <c:v>29</c:v>
                </c:pt>
                <c:pt idx="1">
                  <c:v>18</c:v>
                </c:pt>
                <c:pt idx="2">
                  <c:v>24</c:v>
                </c:pt>
                <c:pt idx="3">
                  <c:v>28</c:v>
                </c:pt>
                <c:pt idx="4">
                  <c:v>30</c:v>
                </c:pt>
              </c:numCache>
            </c:numRef>
          </c:val>
          <c:extLst>
            <c:ext xmlns:c16="http://schemas.microsoft.com/office/drawing/2014/chart" uri="{C3380CC4-5D6E-409C-BE32-E72D297353CC}">
              <c16:uniqueId val="{00000001-B776-4910-BE7B-B08E5793C4AF}"/>
            </c:ext>
          </c:extLst>
        </c:ser>
        <c:ser>
          <c:idx val="2"/>
          <c:order val="2"/>
          <c:tx>
            <c:strRef>
              <c:f>'Headcount by Department &amp; State'!$D$3:$D$4</c:f>
              <c:strCache>
                <c:ptCount val="1"/>
                <c:pt idx="0">
                  <c:v>Ohio</c:v>
                </c:pt>
              </c:strCache>
            </c:strRef>
          </c:tx>
          <c:spPr>
            <a:solidFill>
              <a:schemeClr val="accent3"/>
            </a:solidFill>
            <a:ln>
              <a:noFill/>
            </a:ln>
            <a:effectLst/>
          </c:spPr>
          <c:invertIfNegative val="0"/>
          <c:cat>
            <c:strRef>
              <c:f>'Headcount by Department &amp; State'!$A$5:$A$10</c:f>
              <c:strCache>
                <c:ptCount val="5"/>
                <c:pt idx="0">
                  <c:v>HR</c:v>
                </c:pt>
                <c:pt idx="1">
                  <c:v>Customer Support</c:v>
                </c:pt>
                <c:pt idx="2">
                  <c:v>Technology</c:v>
                </c:pt>
                <c:pt idx="3">
                  <c:v>Finance</c:v>
                </c:pt>
                <c:pt idx="4">
                  <c:v>Operations</c:v>
                </c:pt>
              </c:strCache>
            </c:strRef>
          </c:cat>
          <c:val>
            <c:numRef>
              <c:f>'Headcount by Department &amp; State'!$D$5:$D$10</c:f>
              <c:numCache>
                <c:formatCode>General</c:formatCode>
                <c:ptCount val="5"/>
                <c:pt idx="0">
                  <c:v>21</c:v>
                </c:pt>
                <c:pt idx="1">
                  <c:v>27</c:v>
                </c:pt>
                <c:pt idx="2">
                  <c:v>24</c:v>
                </c:pt>
                <c:pt idx="3">
                  <c:v>18</c:v>
                </c:pt>
                <c:pt idx="4">
                  <c:v>17</c:v>
                </c:pt>
              </c:numCache>
            </c:numRef>
          </c:val>
          <c:extLst>
            <c:ext xmlns:c16="http://schemas.microsoft.com/office/drawing/2014/chart" uri="{C3380CC4-5D6E-409C-BE32-E72D297353CC}">
              <c16:uniqueId val="{00000002-B776-4910-BE7B-B08E5793C4AF}"/>
            </c:ext>
          </c:extLst>
        </c:ser>
        <c:ser>
          <c:idx val="3"/>
          <c:order val="3"/>
          <c:tx>
            <c:strRef>
              <c:f>'Headcount by Department &amp; State'!$E$3:$E$4</c:f>
              <c:strCache>
                <c:ptCount val="1"/>
                <c:pt idx="0">
                  <c:v>Texas</c:v>
                </c:pt>
              </c:strCache>
            </c:strRef>
          </c:tx>
          <c:spPr>
            <a:solidFill>
              <a:schemeClr val="accent4"/>
            </a:solidFill>
            <a:ln>
              <a:noFill/>
            </a:ln>
            <a:effectLst/>
          </c:spPr>
          <c:invertIfNegative val="0"/>
          <c:cat>
            <c:strRef>
              <c:f>'Headcount by Department &amp; State'!$A$5:$A$10</c:f>
              <c:strCache>
                <c:ptCount val="5"/>
                <c:pt idx="0">
                  <c:v>HR</c:v>
                </c:pt>
                <c:pt idx="1">
                  <c:v>Customer Support</c:v>
                </c:pt>
                <c:pt idx="2">
                  <c:v>Technology</c:v>
                </c:pt>
                <c:pt idx="3">
                  <c:v>Finance</c:v>
                </c:pt>
                <c:pt idx="4">
                  <c:v>Operations</c:v>
                </c:pt>
              </c:strCache>
            </c:strRef>
          </c:cat>
          <c:val>
            <c:numRef>
              <c:f>'Headcount by Department &amp; State'!$E$5:$E$10</c:f>
              <c:numCache>
                <c:formatCode>General</c:formatCode>
                <c:ptCount val="5"/>
                <c:pt idx="0">
                  <c:v>21</c:v>
                </c:pt>
                <c:pt idx="1">
                  <c:v>25</c:v>
                </c:pt>
                <c:pt idx="2">
                  <c:v>21</c:v>
                </c:pt>
                <c:pt idx="3">
                  <c:v>22</c:v>
                </c:pt>
                <c:pt idx="4">
                  <c:v>27</c:v>
                </c:pt>
              </c:numCache>
            </c:numRef>
          </c:val>
          <c:extLst>
            <c:ext xmlns:c16="http://schemas.microsoft.com/office/drawing/2014/chart" uri="{C3380CC4-5D6E-409C-BE32-E72D297353CC}">
              <c16:uniqueId val="{00000003-B776-4910-BE7B-B08E5793C4AF}"/>
            </c:ext>
          </c:extLst>
        </c:ser>
        <c:dLbls>
          <c:showLegendKey val="0"/>
          <c:showVal val="0"/>
          <c:showCatName val="0"/>
          <c:showSerName val="0"/>
          <c:showPercent val="0"/>
          <c:showBubbleSize val="0"/>
        </c:dLbls>
        <c:gapWidth val="219"/>
        <c:overlap val="-27"/>
        <c:axId val="1485418656"/>
        <c:axId val="1475691584"/>
      </c:barChart>
      <c:catAx>
        <c:axId val="148541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691584"/>
        <c:crosses val="autoZero"/>
        <c:auto val="1"/>
        <c:lblAlgn val="ctr"/>
        <c:lblOffset val="100"/>
        <c:noMultiLvlLbl val="0"/>
      </c:catAx>
      <c:valAx>
        <c:axId val="1475691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418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[USA_HR ANALYTICS DASHBOARD.xlsx] Overtime by Department &amp; Emplo!PivotTable3</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 Overtime by Department &amp; Emplo'!$B$3:$B$4</c:f>
              <c:strCache>
                <c:ptCount val="1"/>
                <c:pt idx="0">
                  <c:v>Day</c:v>
                </c:pt>
              </c:strCache>
            </c:strRef>
          </c:tx>
          <c:spPr>
            <a:ln w="28575" cap="rnd">
              <a:solidFill>
                <a:schemeClr val="accent1"/>
              </a:solidFill>
              <a:round/>
            </a:ln>
            <a:effectLst/>
          </c:spPr>
          <c:marker>
            <c:symbol val="none"/>
          </c:marker>
          <c:cat>
            <c:strRef>
              <c:f>' Overtime by Department &amp; Emplo'!$A$5:$A$10</c:f>
              <c:strCache>
                <c:ptCount val="5"/>
                <c:pt idx="0">
                  <c:v>Operations</c:v>
                </c:pt>
                <c:pt idx="1">
                  <c:v>Customer Support</c:v>
                </c:pt>
                <c:pt idx="2">
                  <c:v>HR</c:v>
                </c:pt>
                <c:pt idx="3">
                  <c:v>Finance</c:v>
                </c:pt>
                <c:pt idx="4">
                  <c:v>Technology</c:v>
                </c:pt>
              </c:strCache>
            </c:strRef>
          </c:cat>
          <c:val>
            <c:numRef>
              <c:f>' Overtime by Department &amp; Emplo'!$B$5:$B$10</c:f>
              <c:numCache>
                <c:formatCode>General</c:formatCode>
                <c:ptCount val="5"/>
                <c:pt idx="0">
                  <c:v>1786</c:v>
                </c:pt>
                <c:pt idx="1">
                  <c:v>1950</c:v>
                </c:pt>
                <c:pt idx="2">
                  <c:v>1897</c:v>
                </c:pt>
                <c:pt idx="3">
                  <c:v>1954</c:v>
                </c:pt>
                <c:pt idx="4">
                  <c:v>1414</c:v>
                </c:pt>
              </c:numCache>
            </c:numRef>
          </c:val>
          <c:smooth val="0"/>
          <c:extLst>
            <c:ext xmlns:c16="http://schemas.microsoft.com/office/drawing/2014/chart" uri="{C3380CC4-5D6E-409C-BE32-E72D297353CC}">
              <c16:uniqueId val="{00000000-79DC-41F1-9619-55F3C9081CC1}"/>
            </c:ext>
          </c:extLst>
        </c:ser>
        <c:ser>
          <c:idx val="1"/>
          <c:order val="1"/>
          <c:tx>
            <c:strRef>
              <c:f>' Overtime by Department &amp; Emplo'!$C$3:$C$4</c:f>
              <c:strCache>
                <c:ptCount val="1"/>
                <c:pt idx="0">
                  <c:v>Evening</c:v>
                </c:pt>
              </c:strCache>
            </c:strRef>
          </c:tx>
          <c:spPr>
            <a:ln w="28575" cap="rnd">
              <a:solidFill>
                <a:schemeClr val="accent2"/>
              </a:solidFill>
              <a:round/>
            </a:ln>
            <a:effectLst/>
          </c:spPr>
          <c:marker>
            <c:symbol val="none"/>
          </c:marker>
          <c:cat>
            <c:strRef>
              <c:f>' Overtime by Department &amp; Emplo'!$A$5:$A$10</c:f>
              <c:strCache>
                <c:ptCount val="5"/>
                <c:pt idx="0">
                  <c:v>Operations</c:v>
                </c:pt>
                <c:pt idx="1">
                  <c:v>Customer Support</c:v>
                </c:pt>
                <c:pt idx="2">
                  <c:v>HR</c:v>
                </c:pt>
                <c:pt idx="3">
                  <c:v>Finance</c:v>
                </c:pt>
                <c:pt idx="4">
                  <c:v>Technology</c:v>
                </c:pt>
              </c:strCache>
            </c:strRef>
          </c:cat>
          <c:val>
            <c:numRef>
              <c:f>' Overtime by Department &amp; Emplo'!$C$5:$C$10</c:f>
              <c:numCache>
                <c:formatCode>General</c:formatCode>
                <c:ptCount val="5"/>
                <c:pt idx="0">
                  <c:v>2846</c:v>
                </c:pt>
                <c:pt idx="1">
                  <c:v>2290</c:v>
                </c:pt>
                <c:pt idx="2">
                  <c:v>2254</c:v>
                </c:pt>
                <c:pt idx="3">
                  <c:v>2509</c:v>
                </c:pt>
                <c:pt idx="4">
                  <c:v>2488</c:v>
                </c:pt>
              </c:numCache>
            </c:numRef>
          </c:val>
          <c:smooth val="0"/>
          <c:extLst>
            <c:ext xmlns:c16="http://schemas.microsoft.com/office/drawing/2014/chart" uri="{C3380CC4-5D6E-409C-BE32-E72D297353CC}">
              <c16:uniqueId val="{00000001-79DC-41F1-9619-55F3C9081CC1}"/>
            </c:ext>
          </c:extLst>
        </c:ser>
        <c:ser>
          <c:idx val="2"/>
          <c:order val="2"/>
          <c:tx>
            <c:strRef>
              <c:f>' Overtime by Department &amp; Emplo'!$D$3:$D$4</c:f>
              <c:strCache>
                <c:ptCount val="1"/>
                <c:pt idx="0">
                  <c:v>Night</c:v>
                </c:pt>
              </c:strCache>
            </c:strRef>
          </c:tx>
          <c:spPr>
            <a:ln w="28575" cap="rnd">
              <a:solidFill>
                <a:schemeClr val="accent3"/>
              </a:solidFill>
              <a:round/>
            </a:ln>
            <a:effectLst/>
          </c:spPr>
          <c:marker>
            <c:symbol val="none"/>
          </c:marker>
          <c:cat>
            <c:strRef>
              <c:f>' Overtime by Department &amp; Emplo'!$A$5:$A$10</c:f>
              <c:strCache>
                <c:ptCount val="5"/>
                <c:pt idx="0">
                  <c:v>Operations</c:v>
                </c:pt>
                <c:pt idx="1">
                  <c:v>Customer Support</c:v>
                </c:pt>
                <c:pt idx="2">
                  <c:v>HR</c:v>
                </c:pt>
                <c:pt idx="3">
                  <c:v>Finance</c:v>
                </c:pt>
                <c:pt idx="4">
                  <c:v>Technology</c:v>
                </c:pt>
              </c:strCache>
            </c:strRef>
          </c:cat>
          <c:val>
            <c:numRef>
              <c:f>' Overtime by Department &amp; Emplo'!$D$5:$D$10</c:f>
              <c:numCache>
                <c:formatCode>General</c:formatCode>
                <c:ptCount val="5"/>
                <c:pt idx="0">
                  <c:v>2323</c:v>
                </c:pt>
                <c:pt idx="1">
                  <c:v>2586</c:v>
                </c:pt>
                <c:pt idx="2">
                  <c:v>1654</c:v>
                </c:pt>
                <c:pt idx="3">
                  <c:v>836</c:v>
                </c:pt>
                <c:pt idx="4">
                  <c:v>951</c:v>
                </c:pt>
              </c:numCache>
            </c:numRef>
          </c:val>
          <c:smooth val="0"/>
          <c:extLst>
            <c:ext xmlns:c16="http://schemas.microsoft.com/office/drawing/2014/chart" uri="{C3380CC4-5D6E-409C-BE32-E72D297353CC}">
              <c16:uniqueId val="{00000002-79DC-41F1-9619-55F3C9081CC1}"/>
            </c:ext>
          </c:extLst>
        </c:ser>
        <c:dLbls>
          <c:showLegendKey val="0"/>
          <c:showVal val="0"/>
          <c:showCatName val="0"/>
          <c:showSerName val="0"/>
          <c:showPercent val="0"/>
          <c:showBubbleSize val="0"/>
        </c:dLbls>
        <c:smooth val="0"/>
        <c:axId val="1632925296"/>
        <c:axId val="1475692064"/>
      </c:lineChart>
      <c:catAx>
        <c:axId val="163292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692064"/>
        <c:crosses val="autoZero"/>
        <c:auto val="1"/>
        <c:lblAlgn val="ctr"/>
        <c:lblOffset val="100"/>
        <c:noMultiLvlLbl val="0"/>
      </c:catAx>
      <c:valAx>
        <c:axId val="147569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925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[USA_HR ANALYTICS DASHBOARD.xlsx]Performance by Year &amp; Dept!PivotTable4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'Performance by Year &amp; Dept'!$B$3:$B$4</c:f>
              <c:strCache>
                <c:ptCount val="1"/>
                <c:pt idx="0">
                  <c:v>Customer Support</c:v>
                </c:pt>
              </c:strCache>
            </c:strRef>
          </c:tx>
          <c:spPr>
            <a:solidFill>
              <a:schemeClr val="accent1"/>
            </a:solidFill>
            <a:ln>
              <a:noFill/>
            </a:ln>
            <a:effectLst/>
          </c:spPr>
          <c:invertIfNegative val="0"/>
          <c:cat>
            <c:strRef>
              <c:f>'Performance by Year &amp; Dept'!$A$5:$A$8</c:f>
              <c:strCache>
                <c:ptCount val="3"/>
                <c:pt idx="0">
                  <c:v>2022</c:v>
                </c:pt>
                <c:pt idx="1">
                  <c:v>2023</c:v>
                </c:pt>
                <c:pt idx="2">
                  <c:v>2024</c:v>
                </c:pt>
              </c:strCache>
            </c:strRef>
          </c:cat>
          <c:val>
            <c:numRef>
              <c:f>'Performance by Year &amp; Dept'!$B$5:$B$8</c:f>
              <c:numCache>
                <c:formatCode>0.00</c:formatCode>
                <c:ptCount val="3"/>
                <c:pt idx="0">
                  <c:v>3.0625</c:v>
                </c:pt>
                <c:pt idx="1">
                  <c:v>3.1052631578947367</c:v>
                </c:pt>
                <c:pt idx="2">
                  <c:v>3.1666666666666665</c:v>
                </c:pt>
              </c:numCache>
            </c:numRef>
          </c:val>
          <c:extLst>
            <c:ext xmlns:c16="http://schemas.microsoft.com/office/drawing/2014/chart" uri="{C3380CC4-5D6E-409C-BE32-E72D297353CC}">
              <c16:uniqueId val="{00000000-254E-4A06-94C5-97C3BCF9C422}"/>
            </c:ext>
          </c:extLst>
        </c:ser>
        <c:ser>
          <c:idx val="1"/>
          <c:order val="1"/>
          <c:tx>
            <c:strRef>
              <c:f>'Performance by Year &amp; Dept'!$C$3:$C$4</c:f>
              <c:strCache>
                <c:ptCount val="1"/>
                <c:pt idx="0">
                  <c:v>Finance</c:v>
                </c:pt>
              </c:strCache>
            </c:strRef>
          </c:tx>
          <c:spPr>
            <a:solidFill>
              <a:schemeClr val="accent2"/>
            </a:solidFill>
            <a:ln>
              <a:noFill/>
            </a:ln>
            <a:effectLst/>
          </c:spPr>
          <c:invertIfNegative val="0"/>
          <c:cat>
            <c:strRef>
              <c:f>'Performance by Year &amp; Dept'!$A$5:$A$8</c:f>
              <c:strCache>
                <c:ptCount val="3"/>
                <c:pt idx="0">
                  <c:v>2022</c:v>
                </c:pt>
                <c:pt idx="1">
                  <c:v>2023</c:v>
                </c:pt>
                <c:pt idx="2">
                  <c:v>2024</c:v>
                </c:pt>
              </c:strCache>
            </c:strRef>
          </c:cat>
          <c:val>
            <c:numRef>
              <c:f>'Performance by Year &amp; Dept'!$C$5:$C$8</c:f>
              <c:numCache>
                <c:formatCode>0.00</c:formatCode>
                <c:ptCount val="3"/>
                <c:pt idx="0">
                  <c:v>3.3846153846153846</c:v>
                </c:pt>
                <c:pt idx="1">
                  <c:v>3.05</c:v>
                </c:pt>
                <c:pt idx="2">
                  <c:v>3</c:v>
                </c:pt>
              </c:numCache>
            </c:numRef>
          </c:val>
          <c:extLst>
            <c:ext xmlns:c16="http://schemas.microsoft.com/office/drawing/2014/chart" uri="{C3380CC4-5D6E-409C-BE32-E72D297353CC}">
              <c16:uniqueId val="{00000008-24A0-4BED-AADD-5D79CEFAB421}"/>
            </c:ext>
          </c:extLst>
        </c:ser>
        <c:ser>
          <c:idx val="2"/>
          <c:order val="2"/>
          <c:tx>
            <c:strRef>
              <c:f>'Performance by Year &amp; Dept'!$D$3:$D$4</c:f>
              <c:strCache>
                <c:ptCount val="1"/>
                <c:pt idx="0">
                  <c:v>HR</c:v>
                </c:pt>
              </c:strCache>
            </c:strRef>
          </c:tx>
          <c:spPr>
            <a:solidFill>
              <a:schemeClr val="accent3"/>
            </a:solidFill>
            <a:ln>
              <a:noFill/>
            </a:ln>
            <a:effectLst/>
          </c:spPr>
          <c:invertIfNegative val="0"/>
          <c:cat>
            <c:strRef>
              <c:f>'Performance by Year &amp; Dept'!$A$5:$A$8</c:f>
              <c:strCache>
                <c:ptCount val="3"/>
                <c:pt idx="0">
                  <c:v>2022</c:v>
                </c:pt>
                <c:pt idx="1">
                  <c:v>2023</c:v>
                </c:pt>
                <c:pt idx="2">
                  <c:v>2024</c:v>
                </c:pt>
              </c:strCache>
            </c:strRef>
          </c:cat>
          <c:val>
            <c:numRef>
              <c:f>'Performance by Year &amp; Dept'!$D$5:$D$8</c:f>
              <c:numCache>
                <c:formatCode>0.00</c:formatCode>
                <c:ptCount val="3"/>
                <c:pt idx="0">
                  <c:v>3.3720930232558142</c:v>
                </c:pt>
                <c:pt idx="1">
                  <c:v>2.9069767441860463</c:v>
                </c:pt>
                <c:pt idx="2">
                  <c:v>2.9473684210526314</c:v>
                </c:pt>
              </c:numCache>
            </c:numRef>
          </c:val>
          <c:extLst>
            <c:ext xmlns:c16="http://schemas.microsoft.com/office/drawing/2014/chart" uri="{C3380CC4-5D6E-409C-BE32-E72D297353CC}">
              <c16:uniqueId val="{00000009-24A0-4BED-AADD-5D79CEFAB421}"/>
            </c:ext>
          </c:extLst>
        </c:ser>
        <c:ser>
          <c:idx val="3"/>
          <c:order val="3"/>
          <c:tx>
            <c:strRef>
              <c:f>'Performance by Year &amp; Dept'!$E$3:$E$4</c:f>
              <c:strCache>
                <c:ptCount val="1"/>
                <c:pt idx="0">
                  <c:v>Operations</c:v>
                </c:pt>
              </c:strCache>
            </c:strRef>
          </c:tx>
          <c:spPr>
            <a:solidFill>
              <a:schemeClr val="accent4"/>
            </a:solidFill>
            <a:ln>
              <a:noFill/>
            </a:ln>
            <a:effectLst/>
          </c:spPr>
          <c:invertIfNegative val="0"/>
          <c:cat>
            <c:strRef>
              <c:f>'Performance by Year &amp; Dept'!$A$5:$A$8</c:f>
              <c:strCache>
                <c:ptCount val="3"/>
                <c:pt idx="0">
                  <c:v>2022</c:v>
                </c:pt>
                <c:pt idx="1">
                  <c:v>2023</c:v>
                </c:pt>
                <c:pt idx="2">
                  <c:v>2024</c:v>
                </c:pt>
              </c:strCache>
            </c:strRef>
          </c:cat>
          <c:val>
            <c:numRef>
              <c:f>'Performance by Year &amp; Dept'!$E$5:$E$8</c:f>
              <c:numCache>
                <c:formatCode>0.00</c:formatCode>
                <c:ptCount val="3"/>
                <c:pt idx="0">
                  <c:v>3.34375</c:v>
                </c:pt>
                <c:pt idx="1">
                  <c:v>2.975609756097561</c:v>
                </c:pt>
                <c:pt idx="2">
                  <c:v>3.5909090909090908</c:v>
                </c:pt>
              </c:numCache>
            </c:numRef>
          </c:val>
          <c:extLst>
            <c:ext xmlns:c16="http://schemas.microsoft.com/office/drawing/2014/chart" uri="{C3380CC4-5D6E-409C-BE32-E72D297353CC}">
              <c16:uniqueId val="{0000000A-24A0-4BED-AADD-5D79CEFAB421}"/>
            </c:ext>
          </c:extLst>
        </c:ser>
        <c:ser>
          <c:idx val="4"/>
          <c:order val="4"/>
          <c:tx>
            <c:strRef>
              <c:f>'Performance by Year &amp; Dept'!$F$3:$F$4</c:f>
              <c:strCache>
                <c:ptCount val="1"/>
                <c:pt idx="0">
                  <c:v>Technology</c:v>
                </c:pt>
              </c:strCache>
            </c:strRef>
          </c:tx>
          <c:spPr>
            <a:solidFill>
              <a:schemeClr val="accent5"/>
            </a:solidFill>
            <a:ln>
              <a:noFill/>
            </a:ln>
            <a:effectLst/>
          </c:spPr>
          <c:invertIfNegative val="0"/>
          <c:cat>
            <c:strRef>
              <c:f>'Performance by Year &amp; Dept'!$A$5:$A$8</c:f>
              <c:strCache>
                <c:ptCount val="3"/>
                <c:pt idx="0">
                  <c:v>2022</c:v>
                </c:pt>
                <c:pt idx="1">
                  <c:v>2023</c:v>
                </c:pt>
                <c:pt idx="2">
                  <c:v>2024</c:v>
                </c:pt>
              </c:strCache>
            </c:strRef>
          </c:cat>
          <c:val>
            <c:numRef>
              <c:f>'Performance by Year &amp; Dept'!$F$5:$F$8</c:f>
              <c:numCache>
                <c:formatCode>0.00</c:formatCode>
                <c:ptCount val="3"/>
                <c:pt idx="0">
                  <c:v>3.2105263157894739</c:v>
                </c:pt>
                <c:pt idx="1">
                  <c:v>2.9473684210526314</c:v>
                </c:pt>
                <c:pt idx="2">
                  <c:v>3.375</c:v>
                </c:pt>
              </c:numCache>
            </c:numRef>
          </c:val>
          <c:extLst>
            <c:ext xmlns:c16="http://schemas.microsoft.com/office/drawing/2014/chart" uri="{C3380CC4-5D6E-409C-BE32-E72D297353CC}">
              <c16:uniqueId val="{0000000B-24A0-4BED-AADD-5D79CEFAB421}"/>
            </c:ext>
          </c:extLst>
        </c:ser>
        <c:dLbls>
          <c:showLegendKey val="0"/>
          <c:showVal val="0"/>
          <c:showCatName val="0"/>
          <c:showSerName val="0"/>
          <c:showPercent val="0"/>
          <c:showBubbleSize val="0"/>
        </c:dLbls>
        <c:gapWidth val="219"/>
        <c:overlap val="-27"/>
        <c:axId val="1632943856"/>
        <c:axId val="1475709344"/>
      </c:barChart>
      <c:catAx>
        <c:axId val="1632943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709344"/>
        <c:crosses val="autoZero"/>
        <c:auto val="1"/>
        <c:lblAlgn val="ctr"/>
        <c:lblOffset val="100"/>
        <c:noMultiLvlLbl val="0"/>
      </c:catAx>
      <c:valAx>
        <c:axId val="14757093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943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[USA_HR ANALYTICS DASHBOARD.xlsx]Hours &amp; Pay by Department!PivotTable2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'Hours &amp; Pay by Department'!$B$3</c:f>
              <c:strCache>
                <c:ptCount val="1"/>
                <c:pt idx="0">
                  <c:v>Total hours</c:v>
                </c:pt>
              </c:strCache>
            </c:strRef>
          </c:tx>
          <c:spPr>
            <a:solidFill>
              <a:schemeClr val="accent1"/>
            </a:solidFill>
            <a:ln>
              <a:noFill/>
            </a:ln>
            <a:effectLst/>
          </c:spPr>
          <c:invertIfNegative val="0"/>
          <c:cat>
            <c:strRef>
              <c:f>'Hours &amp; Pay by Department'!$A$4:$A$9</c:f>
              <c:strCache>
                <c:ptCount val="5"/>
                <c:pt idx="0">
                  <c:v>Customer Support</c:v>
                </c:pt>
                <c:pt idx="1">
                  <c:v>Finance</c:v>
                </c:pt>
                <c:pt idx="2">
                  <c:v>HR</c:v>
                </c:pt>
                <c:pt idx="3">
                  <c:v>Operations</c:v>
                </c:pt>
                <c:pt idx="4">
                  <c:v>Technology</c:v>
                </c:pt>
              </c:strCache>
            </c:strRef>
          </c:cat>
          <c:val>
            <c:numRef>
              <c:f>'Hours &amp; Pay by Department'!$B$4:$B$9</c:f>
              <c:numCache>
                <c:formatCode>General</c:formatCode>
                <c:ptCount val="5"/>
                <c:pt idx="0">
                  <c:v>153192</c:v>
                </c:pt>
                <c:pt idx="1">
                  <c:v>135665</c:v>
                </c:pt>
                <c:pt idx="2">
                  <c:v>150195</c:v>
                </c:pt>
                <c:pt idx="3">
                  <c:v>141101</c:v>
                </c:pt>
                <c:pt idx="4">
                  <c:v>146842</c:v>
                </c:pt>
              </c:numCache>
            </c:numRef>
          </c:val>
          <c:extLst>
            <c:ext xmlns:c16="http://schemas.microsoft.com/office/drawing/2014/chart" uri="{C3380CC4-5D6E-409C-BE32-E72D297353CC}">
              <c16:uniqueId val="{00000000-5017-4B48-9297-97AC99A1AE86}"/>
            </c:ext>
          </c:extLst>
        </c:ser>
        <c:ser>
          <c:idx val="1"/>
          <c:order val="1"/>
          <c:tx>
            <c:strRef>
              <c:f>'Hours &amp; Pay by Department'!$C$3</c:f>
              <c:strCache>
                <c:ptCount val="1"/>
                <c:pt idx="0">
                  <c:v>Sum of Overtime Hours</c:v>
                </c:pt>
              </c:strCache>
            </c:strRef>
          </c:tx>
          <c:spPr>
            <a:solidFill>
              <a:schemeClr val="accent2"/>
            </a:solidFill>
            <a:ln>
              <a:noFill/>
            </a:ln>
            <a:effectLst/>
          </c:spPr>
          <c:invertIfNegative val="0"/>
          <c:cat>
            <c:strRef>
              <c:f>'Hours &amp; Pay by Department'!$A$4:$A$9</c:f>
              <c:strCache>
                <c:ptCount val="5"/>
                <c:pt idx="0">
                  <c:v>Customer Support</c:v>
                </c:pt>
                <c:pt idx="1">
                  <c:v>Finance</c:v>
                </c:pt>
                <c:pt idx="2">
                  <c:v>HR</c:v>
                </c:pt>
                <c:pt idx="3">
                  <c:v>Operations</c:v>
                </c:pt>
                <c:pt idx="4">
                  <c:v>Technology</c:v>
                </c:pt>
              </c:strCache>
            </c:strRef>
          </c:cat>
          <c:val>
            <c:numRef>
              <c:f>'Hours &amp; Pay by Department'!$C$4:$C$9</c:f>
              <c:numCache>
                <c:formatCode>General</c:formatCode>
                <c:ptCount val="5"/>
                <c:pt idx="0">
                  <c:v>12447</c:v>
                </c:pt>
                <c:pt idx="1">
                  <c:v>11812</c:v>
                </c:pt>
                <c:pt idx="2">
                  <c:v>12593</c:v>
                </c:pt>
                <c:pt idx="3">
                  <c:v>12670</c:v>
                </c:pt>
                <c:pt idx="4">
                  <c:v>12526</c:v>
                </c:pt>
              </c:numCache>
            </c:numRef>
          </c:val>
          <c:extLst>
            <c:ext xmlns:c16="http://schemas.microsoft.com/office/drawing/2014/chart" uri="{C3380CC4-5D6E-409C-BE32-E72D297353CC}">
              <c16:uniqueId val="{00000001-5017-4B48-9297-97AC99A1AE86}"/>
            </c:ext>
          </c:extLst>
        </c:ser>
        <c:dLbls>
          <c:showLegendKey val="0"/>
          <c:showVal val="0"/>
          <c:showCatName val="0"/>
          <c:showSerName val="0"/>
          <c:showPercent val="0"/>
          <c:showBubbleSize val="0"/>
        </c:dLbls>
        <c:gapWidth val="219"/>
        <c:overlap val="-27"/>
        <c:axId val="1194291552"/>
        <c:axId val="1946704016"/>
      </c:barChart>
      <c:catAx>
        <c:axId val="119429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704016"/>
        <c:crosses val="autoZero"/>
        <c:auto val="1"/>
        <c:lblAlgn val="ctr"/>
        <c:lblOffset val="100"/>
        <c:noMultiLvlLbl val="0"/>
      </c:catAx>
      <c:valAx>
        <c:axId val="1946704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291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[USA_HR ANALYTICS DASHBOARD.xlsx]Headcount by department!PivotTable1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Head</a:t>
            </a:r>
            <a:r>
              <a:rPr lang="en-US" baseline="0"/>
              <a:t> Count Distribution by Department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'Headcount by department'!$B$3</c:f>
              <c:strCache>
                <c:ptCount val="1"/>
                <c:pt idx="0">
                  <c:v>Count of   Employee ID</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A20-41B2-B5E8-BACC6FD56C6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A20-41B2-B5E8-BACC6FD56C6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A20-41B2-B5E8-BACC6FD56C6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A20-41B2-B5E8-BACC6FD56C63}"/>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BA20-41B2-B5E8-BACC6FD56C6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'Headcount by department'!$A$4:$A$9</c:f>
              <c:strCache>
                <c:ptCount val="5"/>
                <c:pt idx="0">
                  <c:v>Customer Support</c:v>
                </c:pt>
                <c:pt idx="1">
                  <c:v>Finance</c:v>
                </c:pt>
                <c:pt idx="2">
                  <c:v>HR</c:v>
                </c:pt>
                <c:pt idx="3">
                  <c:v>Operations</c:v>
                </c:pt>
                <c:pt idx="4">
                  <c:v>Technology</c:v>
                </c:pt>
              </c:strCache>
            </c:strRef>
          </c:cat>
          <c:val>
            <c:numRef>
              <c:f>'Headcount by department'!$B$4:$B$9</c:f>
              <c:numCache>
                <c:formatCode>General</c:formatCode>
                <c:ptCount val="5"/>
                <c:pt idx="0">
                  <c:v>104</c:v>
                </c:pt>
                <c:pt idx="1">
                  <c:v>96</c:v>
                </c:pt>
                <c:pt idx="2">
                  <c:v>105</c:v>
                </c:pt>
                <c:pt idx="3">
                  <c:v>95</c:v>
                </c:pt>
                <c:pt idx="4">
                  <c:v>100</c:v>
                </c:pt>
              </c:numCache>
            </c:numRef>
          </c:val>
          <c:extLst>
            <c:ext xmlns:c16="http://schemas.microsoft.com/office/drawing/2014/chart" uri="{C3380CC4-5D6E-409C-BE32-E72D297353CC}">
              <c16:uniqueId val="{00000000-1528-442E-8B8C-B5A5F9C663FF}"/>
            </c:ext>
          </c:extLst>
        </c:ser>
        <c:ser>
          <c:idx val="1"/>
          <c:order val="1"/>
          <c:tx>
            <c:strRef>
              <c:f>'Headcount by department'!$C$3</c:f>
              <c:strCache>
                <c:ptCount val="1"/>
                <c:pt idx="0">
                  <c:v>Sum of Overtime Hours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BA20-41B2-B5E8-BACC6FD56C6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BA20-41B2-B5E8-BACC6FD56C6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BA20-41B2-B5E8-BACC6FD56C6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BA20-41B2-B5E8-BACC6FD56C63}"/>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BA20-41B2-B5E8-BACC6FD56C6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'Headcount by department'!$A$4:$A$9</c:f>
              <c:strCache>
                <c:ptCount val="5"/>
                <c:pt idx="0">
                  <c:v>Customer Support</c:v>
                </c:pt>
                <c:pt idx="1">
                  <c:v>Finance</c:v>
                </c:pt>
                <c:pt idx="2">
                  <c:v>HR</c:v>
                </c:pt>
                <c:pt idx="3">
                  <c:v>Operations</c:v>
                </c:pt>
                <c:pt idx="4">
                  <c:v>Technology</c:v>
                </c:pt>
              </c:strCache>
            </c:strRef>
          </c:cat>
          <c:val>
            <c:numRef>
              <c:f>'Headcount by department'!$C$4:$C$9</c:f>
              <c:numCache>
                <c:formatCode>General</c:formatCode>
                <c:ptCount val="5"/>
                <c:pt idx="0">
                  <c:v>12447</c:v>
                </c:pt>
                <c:pt idx="1">
                  <c:v>11812</c:v>
                </c:pt>
                <c:pt idx="2">
                  <c:v>12593</c:v>
                </c:pt>
                <c:pt idx="3">
                  <c:v>12670</c:v>
                </c:pt>
                <c:pt idx="4">
                  <c:v>12526</c:v>
                </c:pt>
              </c:numCache>
            </c:numRef>
          </c:val>
          <c:extLst>
            <c:ext xmlns:c16="http://schemas.microsoft.com/office/drawing/2014/chart" uri="{C3380CC4-5D6E-409C-BE32-E72D297353CC}">
              <c16:uniqueId val="{00000001-1528-442E-8B8C-B5A5F9C663F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[USA_HR ANALYTICS DASHBOARD.xlsx]Sheet1!PivotTable1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Hourly Pay by Dept(USD)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Sheet1!$A$4:$A$9</c:f>
              <c:strCache>
                <c:ptCount val="5"/>
                <c:pt idx="0">
                  <c:v>Customer Support</c:v>
                </c:pt>
                <c:pt idx="1">
                  <c:v>Finance</c:v>
                </c:pt>
                <c:pt idx="2">
                  <c:v>HR</c:v>
                </c:pt>
                <c:pt idx="3">
                  <c:v>Operations</c:v>
                </c:pt>
                <c:pt idx="4">
                  <c:v>Technology</c:v>
                </c:pt>
              </c:strCache>
            </c:strRef>
          </c:cat>
          <c:val>
            <c:numRef>
              <c:f>Sheet1!$B$4:$B$9</c:f>
              <c:numCache>
                <c:formatCode>General</c:formatCode>
                <c:ptCount val="5"/>
                <c:pt idx="0">
                  <c:v>37.932692307692307</c:v>
                </c:pt>
                <c:pt idx="1">
                  <c:v>39.916666666666664</c:v>
                </c:pt>
                <c:pt idx="2">
                  <c:v>38.666666666666664</c:v>
                </c:pt>
                <c:pt idx="3">
                  <c:v>41</c:v>
                </c:pt>
                <c:pt idx="4">
                  <c:v>38.58</c:v>
                </c:pt>
              </c:numCache>
            </c:numRef>
          </c:val>
          <c:extLst>
            <c:ext xmlns:c16="http://schemas.microsoft.com/office/drawing/2014/chart" uri="{C3380CC4-5D6E-409C-BE32-E72D297353CC}">
              <c16:uniqueId val="{00000000-3F62-41D3-BBF6-9E0A07B72E26}"/>
            </c:ext>
          </c:extLst>
        </c:ser>
        <c:dLbls>
          <c:showLegendKey val="0"/>
          <c:showVal val="0"/>
          <c:showCatName val="0"/>
          <c:showSerName val="0"/>
          <c:showPercent val="0"/>
          <c:showBubbleSize val="0"/>
        </c:dLbls>
        <c:gapWidth val="219"/>
        <c:overlap val="-27"/>
        <c:axId val="3714815"/>
        <c:axId val="2012546943"/>
      </c:barChart>
      <c:catAx>
        <c:axId val="3714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546943"/>
        <c:crosses val="autoZero"/>
        <c:auto val="1"/>
        <c:lblAlgn val="ctr"/>
        <c:lblOffset val="100"/>
        <c:noMultiLvlLbl val="0"/>
      </c:catAx>
      <c:valAx>
        <c:axId val="2012546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4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[USA_HR ANALYTICS DASHBOARD.xlsx]Headcount by Department &amp; State!PivotTable2</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'Headcount by Department &amp; State'!$B$3:$B$4</c:f>
              <c:strCache>
                <c:ptCount val="1"/>
                <c:pt idx="0">
                  <c:v>California</c:v>
                </c:pt>
              </c:strCache>
            </c:strRef>
          </c:tx>
          <c:spPr>
            <a:solidFill>
              <a:schemeClr val="accent1"/>
            </a:solidFill>
            <a:ln>
              <a:noFill/>
            </a:ln>
            <a:effectLst/>
          </c:spPr>
          <c:invertIfNegative val="0"/>
          <c:cat>
            <c:strRef>
              <c:f>'Headcount by Department &amp; State'!$A$5:$A$10</c:f>
              <c:strCache>
                <c:ptCount val="5"/>
                <c:pt idx="0">
                  <c:v>HR</c:v>
                </c:pt>
                <c:pt idx="1">
                  <c:v>Customer Support</c:v>
                </c:pt>
                <c:pt idx="2">
                  <c:v>Technology</c:v>
                </c:pt>
                <c:pt idx="3">
                  <c:v>Finance</c:v>
                </c:pt>
                <c:pt idx="4">
                  <c:v>Operations</c:v>
                </c:pt>
              </c:strCache>
            </c:strRef>
          </c:cat>
          <c:val>
            <c:numRef>
              <c:f>'Headcount by Department &amp; State'!$B$5:$B$10</c:f>
              <c:numCache>
                <c:formatCode>General</c:formatCode>
                <c:ptCount val="5"/>
                <c:pt idx="0">
                  <c:v>34</c:v>
                </c:pt>
                <c:pt idx="1">
                  <c:v>34</c:v>
                </c:pt>
                <c:pt idx="2">
                  <c:v>31</c:v>
                </c:pt>
                <c:pt idx="3">
                  <c:v>28</c:v>
                </c:pt>
                <c:pt idx="4">
                  <c:v>21</c:v>
                </c:pt>
              </c:numCache>
            </c:numRef>
          </c:val>
          <c:extLst>
            <c:ext xmlns:c16="http://schemas.microsoft.com/office/drawing/2014/chart" uri="{C3380CC4-5D6E-409C-BE32-E72D297353CC}">
              <c16:uniqueId val="{00000000-DE5C-4F84-8199-B4B47E3DB71A}"/>
            </c:ext>
          </c:extLst>
        </c:ser>
        <c:ser>
          <c:idx val="1"/>
          <c:order val="1"/>
          <c:tx>
            <c:strRef>
              <c:f>'Headcount by Department &amp; State'!$C$3:$C$4</c:f>
              <c:strCache>
                <c:ptCount val="1"/>
                <c:pt idx="0">
                  <c:v>New York</c:v>
                </c:pt>
              </c:strCache>
            </c:strRef>
          </c:tx>
          <c:spPr>
            <a:solidFill>
              <a:schemeClr val="accent2"/>
            </a:solidFill>
            <a:ln>
              <a:noFill/>
            </a:ln>
            <a:effectLst/>
          </c:spPr>
          <c:invertIfNegative val="0"/>
          <c:cat>
            <c:strRef>
              <c:f>'Headcount by Department &amp; State'!$A$5:$A$10</c:f>
              <c:strCache>
                <c:ptCount val="5"/>
                <c:pt idx="0">
                  <c:v>HR</c:v>
                </c:pt>
                <c:pt idx="1">
                  <c:v>Customer Support</c:v>
                </c:pt>
                <c:pt idx="2">
                  <c:v>Technology</c:v>
                </c:pt>
                <c:pt idx="3">
                  <c:v>Finance</c:v>
                </c:pt>
                <c:pt idx="4">
                  <c:v>Operations</c:v>
                </c:pt>
              </c:strCache>
            </c:strRef>
          </c:cat>
          <c:val>
            <c:numRef>
              <c:f>'Headcount by Department &amp; State'!$C$5:$C$10</c:f>
              <c:numCache>
                <c:formatCode>General</c:formatCode>
                <c:ptCount val="5"/>
                <c:pt idx="0">
                  <c:v>29</c:v>
                </c:pt>
                <c:pt idx="1">
                  <c:v>18</c:v>
                </c:pt>
                <c:pt idx="2">
                  <c:v>24</c:v>
                </c:pt>
                <c:pt idx="3">
                  <c:v>28</c:v>
                </c:pt>
                <c:pt idx="4">
                  <c:v>30</c:v>
                </c:pt>
              </c:numCache>
            </c:numRef>
          </c:val>
          <c:extLst>
            <c:ext xmlns:c16="http://schemas.microsoft.com/office/drawing/2014/chart" uri="{C3380CC4-5D6E-409C-BE32-E72D297353CC}">
              <c16:uniqueId val="{00000001-DE5C-4F84-8199-B4B47E3DB71A}"/>
            </c:ext>
          </c:extLst>
        </c:ser>
        <c:ser>
          <c:idx val="2"/>
          <c:order val="2"/>
          <c:tx>
            <c:strRef>
              <c:f>'Headcount by Department &amp; State'!$D$3:$D$4</c:f>
              <c:strCache>
                <c:ptCount val="1"/>
                <c:pt idx="0">
                  <c:v>Ohio</c:v>
                </c:pt>
              </c:strCache>
            </c:strRef>
          </c:tx>
          <c:spPr>
            <a:solidFill>
              <a:schemeClr val="accent3"/>
            </a:solidFill>
            <a:ln>
              <a:noFill/>
            </a:ln>
            <a:effectLst/>
          </c:spPr>
          <c:invertIfNegative val="0"/>
          <c:cat>
            <c:strRef>
              <c:f>'Headcount by Department &amp; State'!$A$5:$A$10</c:f>
              <c:strCache>
                <c:ptCount val="5"/>
                <c:pt idx="0">
                  <c:v>HR</c:v>
                </c:pt>
                <c:pt idx="1">
                  <c:v>Customer Support</c:v>
                </c:pt>
                <c:pt idx="2">
                  <c:v>Technology</c:v>
                </c:pt>
                <c:pt idx="3">
                  <c:v>Finance</c:v>
                </c:pt>
                <c:pt idx="4">
                  <c:v>Operations</c:v>
                </c:pt>
              </c:strCache>
            </c:strRef>
          </c:cat>
          <c:val>
            <c:numRef>
              <c:f>'Headcount by Department &amp; State'!$D$5:$D$10</c:f>
              <c:numCache>
                <c:formatCode>General</c:formatCode>
                <c:ptCount val="5"/>
                <c:pt idx="0">
                  <c:v>21</c:v>
                </c:pt>
                <c:pt idx="1">
                  <c:v>27</c:v>
                </c:pt>
                <c:pt idx="2">
                  <c:v>24</c:v>
                </c:pt>
                <c:pt idx="3">
                  <c:v>18</c:v>
                </c:pt>
                <c:pt idx="4">
                  <c:v>17</c:v>
                </c:pt>
              </c:numCache>
            </c:numRef>
          </c:val>
          <c:extLst>
            <c:ext xmlns:c16="http://schemas.microsoft.com/office/drawing/2014/chart" uri="{C3380CC4-5D6E-409C-BE32-E72D297353CC}">
              <c16:uniqueId val="{00000002-DE5C-4F84-8199-B4B47E3DB71A}"/>
            </c:ext>
          </c:extLst>
        </c:ser>
        <c:ser>
          <c:idx val="3"/>
          <c:order val="3"/>
          <c:tx>
            <c:strRef>
              <c:f>'Headcount by Department &amp; State'!$E$3:$E$4</c:f>
              <c:strCache>
                <c:ptCount val="1"/>
                <c:pt idx="0">
                  <c:v>Texas</c:v>
                </c:pt>
              </c:strCache>
            </c:strRef>
          </c:tx>
          <c:spPr>
            <a:solidFill>
              <a:schemeClr val="accent4"/>
            </a:solidFill>
            <a:ln>
              <a:noFill/>
            </a:ln>
            <a:effectLst/>
          </c:spPr>
          <c:invertIfNegative val="0"/>
          <c:cat>
            <c:strRef>
              <c:f>'Headcount by Department &amp; State'!$A$5:$A$10</c:f>
              <c:strCache>
                <c:ptCount val="5"/>
                <c:pt idx="0">
                  <c:v>HR</c:v>
                </c:pt>
                <c:pt idx="1">
                  <c:v>Customer Support</c:v>
                </c:pt>
                <c:pt idx="2">
                  <c:v>Technology</c:v>
                </c:pt>
                <c:pt idx="3">
                  <c:v>Finance</c:v>
                </c:pt>
                <c:pt idx="4">
                  <c:v>Operations</c:v>
                </c:pt>
              </c:strCache>
            </c:strRef>
          </c:cat>
          <c:val>
            <c:numRef>
              <c:f>'Headcount by Department &amp; State'!$E$5:$E$10</c:f>
              <c:numCache>
                <c:formatCode>General</c:formatCode>
                <c:ptCount val="5"/>
                <c:pt idx="0">
                  <c:v>21</c:v>
                </c:pt>
                <c:pt idx="1">
                  <c:v>25</c:v>
                </c:pt>
                <c:pt idx="2">
                  <c:v>21</c:v>
                </c:pt>
                <c:pt idx="3">
                  <c:v>22</c:v>
                </c:pt>
                <c:pt idx="4">
                  <c:v>27</c:v>
                </c:pt>
              </c:numCache>
            </c:numRef>
          </c:val>
          <c:extLst>
            <c:ext xmlns:c16="http://schemas.microsoft.com/office/drawing/2014/chart" uri="{C3380CC4-5D6E-409C-BE32-E72D297353CC}">
              <c16:uniqueId val="{00000003-DE5C-4F84-8199-B4B47E3DB71A}"/>
            </c:ext>
          </c:extLst>
        </c:ser>
        <c:dLbls>
          <c:showLegendKey val="0"/>
          <c:showVal val="0"/>
          <c:showCatName val="0"/>
          <c:showSerName val="0"/>
          <c:showPercent val="0"/>
          <c:showBubbleSize val="0"/>
        </c:dLbls>
        <c:gapWidth val="219"/>
        <c:overlap val="-27"/>
        <c:axId val="1485418656"/>
        <c:axId val="1475691584"/>
      </c:barChart>
      <c:catAx>
        <c:axId val="148541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691584"/>
        <c:crosses val="autoZero"/>
        <c:auto val="1"/>
        <c:lblAlgn val="ctr"/>
        <c:lblOffset val="100"/>
        <c:noMultiLvlLbl val="0"/>
      </c:catAx>
      <c:valAx>
        <c:axId val="1475691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418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[USA_HR ANALYTICS DASHBOARD.xlsx] Overtime by Department &amp; Emplo!PivotTable3</c:name>
    <c:fmtId val="9"/>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433873006129029E-2"/>
          <c:y val="0.23406969962088073"/>
          <c:w val="0.6920369166797854"/>
          <c:h val="0.51610236220472439"/>
        </c:manualLayout>
      </c:layout>
      <c:lineChart>
        <c:grouping val="standard"/>
        <c:varyColors val="0"/>
        <c:ser>
          <c:idx val="0"/>
          <c:order val="0"/>
          <c:tx>
            <c:strRef>
              <c:f>' Overtime by Department &amp; Emplo'!$B$3:$B$4</c:f>
              <c:strCache>
                <c:ptCount val="1"/>
                <c:pt idx="0">
                  <c:v>Day</c:v>
                </c:pt>
              </c:strCache>
            </c:strRef>
          </c:tx>
          <c:spPr>
            <a:ln w="28575" cap="rnd">
              <a:solidFill>
                <a:schemeClr val="accent1"/>
              </a:solidFill>
              <a:round/>
            </a:ln>
            <a:effectLst/>
          </c:spPr>
          <c:marker>
            <c:symbol val="none"/>
          </c:marker>
          <c:cat>
            <c:strRef>
              <c:f>' Overtime by Department &amp; Emplo'!$A$5:$A$10</c:f>
              <c:strCache>
                <c:ptCount val="5"/>
                <c:pt idx="0">
                  <c:v>Operations</c:v>
                </c:pt>
                <c:pt idx="1">
                  <c:v>Customer Support</c:v>
                </c:pt>
                <c:pt idx="2">
                  <c:v>HR</c:v>
                </c:pt>
                <c:pt idx="3">
                  <c:v>Finance</c:v>
                </c:pt>
                <c:pt idx="4">
                  <c:v>Technology</c:v>
                </c:pt>
              </c:strCache>
            </c:strRef>
          </c:cat>
          <c:val>
            <c:numRef>
              <c:f>' Overtime by Department &amp; Emplo'!$B$5:$B$10</c:f>
              <c:numCache>
                <c:formatCode>General</c:formatCode>
                <c:ptCount val="5"/>
                <c:pt idx="0">
                  <c:v>1786</c:v>
                </c:pt>
                <c:pt idx="1">
                  <c:v>1950</c:v>
                </c:pt>
                <c:pt idx="2">
                  <c:v>1897</c:v>
                </c:pt>
                <c:pt idx="3">
                  <c:v>1954</c:v>
                </c:pt>
                <c:pt idx="4">
                  <c:v>1414</c:v>
                </c:pt>
              </c:numCache>
            </c:numRef>
          </c:val>
          <c:smooth val="0"/>
          <c:extLst>
            <c:ext xmlns:c16="http://schemas.microsoft.com/office/drawing/2014/chart" uri="{C3380CC4-5D6E-409C-BE32-E72D297353CC}">
              <c16:uniqueId val="{00000000-3C52-4E1C-90F8-989CE71FBB95}"/>
            </c:ext>
          </c:extLst>
        </c:ser>
        <c:ser>
          <c:idx val="1"/>
          <c:order val="1"/>
          <c:tx>
            <c:strRef>
              <c:f>' Overtime by Department &amp; Emplo'!$C$3:$C$4</c:f>
              <c:strCache>
                <c:ptCount val="1"/>
                <c:pt idx="0">
                  <c:v>Evening</c:v>
                </c:pt>
              </c:strCache>
            </c:strRef>
          </c:tx>
          <c:spPr>
            <a:ln w="28575" cap="rnd">
              <a:solidFill>
                <a:schemeClr val="accent2"/>
              </a:solidFill>
              <a:round/>
            </a:ln>
            <a:effectLst/>
          </c:spPr>
          <c:marker>
            <c:symbol val="none"/>
          </c:marker>
          <c:cat>
            <c:strRef>
              <c:f>' Overtime by Department &amp; Emplo'!$A$5:$A$10</c:f>
              <c:strCache>
                <c:ptCount val="5"/>
                <c:pt idx="0">
                  <c:v>Operations</c:v>
                </c:pt>
                <c:pt idx="1">
                  <c:v>Customer Support</c:v>
                </c:pt>
                <c:pt idx="2">
                  <c:v>HR</c:v>
                </c:pt>
                <c:pt idx="3">
                  <c:v>Finance</c:v>
                </c:pt>
                <c:pt idx="4">
                  <c:v>Technology</c:v>
                </c:pt>
              </c:strCache>
            </c:strRef>
          </c:cat>
          <c:val>
            <c:numRef>
              <c:f>' Overtime by Department &amp; Emplo'!$C$5:$C$10</c:f>
              <c:numCache>
                <c:formatCode>General</c:formatCode>
                <c:ptCount val="5"/>
                <c:pt idx="0">
                  <c:v>2846</c:v>
                </c:pt>
                <c:pt idx="1">
                  <c:v>2290</c:v>
                </c:pt>
                <c:pt idx="2">
                  <c:v>2254</c:v>
                </c:pt>
                <c:pt idx="3">
                  <c:v>2509</c:v>
                </c:pt>
                <c:pt idx="4">
                  <c:v>2488</c:v>
                </c:pt>
              </c:numCache>
            </c:numRef>
          </c:val>
          <c:smooth val="0"/>
          <c:extLst>
            <c:ext xmlns:c16="http://schemas.microsoft.com/office/drawing/2014/chart" uri="{C3380CC4-5D6E-409C-BE32-E72D297353CC}">
              <c16:uniqueId val="{00000001-3C52-4E1C-90F8-989CE71FBB95}"/>
            </c:ext>
          </c:extLst>
        </c:ser>
        <c:ser>
          <c:idx val="2"/>
          <c:order val="2"/>
          <c:tx>
            <c:strRef>
              <c:f>' Overtime by Department &amp; Emplo'!$D$3:$D$4</c:f>
              <c:strCache>
                <c:ptCount val="1"/>
                <c:pt idx="0">
                  <c:v>Night</c:v>
                </c:pt>
              </c:strCache>
            </c:strRef>
          </c:tx>
          <c:spPr>
            <a:ln w="28575" cap="rnd">
              <a:solidFill>
                <a:schemeClr val="accent3"/>
              </a:solidFill>
              <a:round/>
            </a:ln>
            <a:effectLst/>
          </c:spPr>
          <c:marker>
            <c:symbol val="none"/>
          </c:marker>
          <c:cat>
            <c:strRef>
              <c:f>' Overtime by Department &amp; Emplo'!$A$5:$A$10</c:f>
              <c:strCache>
                <c:ptCount val="5"/>
                <c:pt idx="0">
                  <c:v>Operations</c:v>
                </c:pt>
                <c:pt idx="1">
                  <c:v>Customer Support</c:v>
                </c:pt>
                <c:pt idx="2">
                  <c:v>HR</c:v>
                </c:pt>
                <c:pt idx="3">
                  <c:v>Finance</c:v>
                </c:pt>
                <c:pt idx="4">
                  <c:v>Technology</c:v>
                </c:pt>
              </c:strCache>
            </c:strRef>
          </c:cat>
          <c:val>
            <c:numRef>
              <c:f>' Overtime by Department &amp; Emplo'!$D$5:$D$10</c:f>
              <c:numCache>
                <c:formatCode>General</c:formatCode>
                <c:ptCount val="5"/>
                <c:pt idx="0">
                  <c:v>2323</c:v>
                </c:pt>
                <c:pt idx="1">
                  <c:v>2586</c:v>
                </c:pt>
                <c:pt idx="2">
                  <c:v>1654</c:v>
                </c:pt>
                <c:pt idx="3">
                  <c:v>836</c:v>
                </c:pt>
                <c:pt idx="4">
                  <c:v>951</c:v>
                </c:pt>
              </c:numCache>
            </c:numRef>
          </c:val>
          <c:smooth val="0"/>
          <c:extLst>
            <c:ext xmlns:c16="http://schemas.microsoft.com/office/drawing/2014/chart" uri="{C3380CC4-5D6E-409C-BE32-E72D297353CC}">
              <c16:uniqueId val="{00000002-3C52-4E1C-90F8-989CE71FBB95}"/>
            </c:ext>
          </c:extLst>
        </c:ser>
        <c:dLbls>
          <c:showLegendKey val="0"/>
          <c:showVal val="0"/>
          <c:showCatName val="0"/>
          <c:showSerName val="0"/>
          <c:showPercent val="0"/>
          <c:showBubbleSize val="0"/>
        </c:dLbls>
        <c:smooth val="0"/>
        <c:axId val="1632925296"/>
        <c:axId val="1475692064"/>
      </c:lineChart>
      <c:catAx>
        <c:axId val="163292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692064"/>
        <c:crosses val="autoZero"/>
        <c:auto val="1"/>
        <c:lblAlgn val="ctr"/>
        <c:lblOffset val="100"/>
        <c:noMultiLvlLbl val="0"/>
      </c:catAx>
      <c:valAx>
        <c:axId val="147569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925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[USA_HR ANALYTICS DASHBOARD.xlsx]Performance by Year &amp; Dept!PivotTable4</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'Performance by Year &amp; Dept'!$B$3:$B$4</c:f>
              <c:strCache>
                <c:ptCount val="1"/>
                <c:pt idx="0">
                  <c:v>Customer Support</c:v>
                </c:pt>
              </c:strCache>
            </c:strRef>
          </c:tx>
          <c:spPr>
            <a:solidFill>
              <a:schemeClr val="accent1"/>
            </a:solidFill>
            <a:ln>
              <a:noFill/>
            </a:ln>
            <a:effectLst/>
          </c:spPr>
          <c:invertIfNegative val="0"/>
          <c:cat>
            <c:strRef>
              <c:f>'Performance by Year &amp; Dept'!$A$5:$A$8</c:f>
              <c:strCache>
                <c:ptCount val="3"/>
                <c:pt idx="0">
                  <c:v>2022</c:v>
                </c:pt>
                <c:pt idx="1">
                  <c:v>2023</c:v>
                </c:pt>
                <c:pt idx="2">
                  <c:v>2024</c:v>
                </c:pt>
              </c:strCache>
            </c:strRef>
          </c:cat>
          <c:val>
            <c:numRef>
              <c:f>'Performance by Year &amp; Dept'!$B$5:$B$8</c:f>
              <c:numCache>
                <c:formatCode>0.00</c:formatCode>
                <c:ptCount val="3"/>
                <c:pt idx="0">
                  <c:v>3.0625</c:v>
                </c:pt>
                <c:pt idx="1">
                  <c:v>3.1052631578947367</c:v>
                </c:pt>
                <c:pt idx="2">
                  <c:v>3.1666666666666665</c:v>
                </c:pt>
              </c:numCache>
            </c:numRef>
          </c:val>
          <c:extLst>
            <c:ext xmlns:c16="http://schemas.microsoft.com/office/drawing/2014/chart" uri="{C3380CC4-5D6E-409C-BE32-E72D297353CC}">
              <c16:uniqueId val="{00000000-30ED-439E-AD5C-6750F1A9FACE}"/>
            </c:ext>
          </c:extLst>
        </c:ser>
        <c:ser>
          <c:idx val="1"/>
          <c:order val="1"/>
          <c:tx>
            <c:strRef>
              <c:f>'Performance by Year &amp; Dept'!$C$3:$C$4</c:f>
              <c:strCache>
                <c:ptCount val="1"/>
                <c:pt idx="0">
                  <c:v>Finance</c:v>
                </c:pt>
              </c:strCache>
            </c:strRef>
          </c:tx>
          <c:spPr>
            <a:solidFill>
              <a:schemeClr val="accent2"/>
            </a:solidFill>
            <a:ln>
              <a:noFill/>
            </a:ln>
            <a:effectLst/>
          </c:spPr>
          <c:invertIfNegative val="0"/>
          <c:cat>
            <c:strRef>
              <c:f>'Performance by Year &amp; Dept'!$A$5:$A$8</c:f>
              <c:strCache>
                <c:ptCount val="3"/>
                <c:pt idx="0">
                  <c:v>2022</c:v>
                </c:pt>
                <c:pt idx="1">
                  <c:v>2023</c:v>
                </c:pt>
                <c:pt idx="2">
                  <c:v>2024</c:v>
                </c:pt>
              </c:strCache>
            </c:strRef>
          </c:cat>
          <c:val>
            <c:numRef>
              <c:f>'Performance by Year &amp; Dept'!$C$5:$C$8</c:f>
              <c:numCache>
                <c:formatCode>0.00</c:formatCode>
                <c:ptCount val="3"/>
                <c:pt idx="0">
                  <c:v>3.3846153846153846</c:v>
                </c:pt>
                <c:pt idx="1">
                  <c:v>3.05</c:v>
                </c:pt>
                <c:pt idx="2">
                  <c:v>3</c:v>
                </c:pt>
              </c:numCache>
            </c:numRef>
          </c:val>
          <c:extLst>
            <c:ext xmlns:c16="http://schemas.microsoft.com/office/drawing/2014/chart" uri="{C3380CC4-5D6E-409C-BE32-E72D297353CC}">
              <c16:uniqueId val="{00000009-CAA7-448D-861E-CE06FAB70E2C}"/>
            </c:ext>
          </c:extLst>
        </c:ser>
        <c:ser>
          <c:idx val="2"/>
          <c:order val="2"/>
          <c:tx>
            <c:strRef>
              <c:f>'Performance by Year &amp; Dept'!$D$3:$D$4</c:f>
              <c:strCache>
                <c:ptCount val="1"/>
                <c:pt idx="0">
                  <c:v>HR</c:v>
                </c:pt>
              </c:strCache>
            </c:strRef>
          </c:tx>
          <c:spPr>
            <a:solidFill>
              <a:schemeClr val="accent3"/>
            </a:solidFill>
            <a:ln>
              <a:noFill/>
            </a:ln>
            <a:effectLst/>
          </c:spPr>
          <c:invertIfNegative val="0"/>
          <c:cat>
            <c:strRef>
              <c:f>'Performance by Year &amp; Dept'!$A$5:$A$8</c:f>
              <c:strCache>
                <c:ptCount val="3"/>
                <c:pt idx="0">
                  <c:v>2022</c:v>
                </c:pt>
                <c:pt idx="1">
                  <c:v>2023</c:v>
                </c:pt>
                <c:pt idx="2">
                  <c:v>2024</c:v>
                </c:pt>
              </c:strCache>
            </c:strRef>
          </c:cat>
          <c:val>
            <c:numRef>
              <c:f>'Performance by Year &amp; Dept'!$D$5:$D$8</c:f>
              <c:numCache>
                <c:formatCode>0.00</c:formatCode>
                <c:ptCount val="3"/>
                <c:pt idx="0">
                  <c:v>3.3720930232558142</c:v>
                </c:pt>
                <c:pt idx="1">
                  <c:v>2.9069767441860463</c:v>
                </c:pt>
                <c:pt idx="2">
                  <c:v>2.9473684210526314</c:v>
                </c:pt>
              </c:numCache>
            </c:numRef>
          </c:val>
          <c:extLst>
            <c:ext xmlns:c16="http://schemas.microsoft.com/office/drawing/2014/chart" uri="{C3380CC4-5D6E-409C-BE32-E72D297353CC}">
              <c16:uniqueId val="{0000000A-CAA7-448D-861E-CE06FAB70E2C}"/>
            </c:ext>
          </c:extLst>
        </c:ser>
        <c:ser>
          <c:idx val="3"/>
          <c:order val="3"/>
          <c:tx>
            <c:strRef>
              <c:f>'Performance by Year &amp; Dept'!$E$3:$E$4</c:f>
              <c:strCache>
                <c:ptCount val="1"/>
                <c:pt idx="0">
                  <c:v>Operations</c:v>
                </c:pt>
              </c:strCache>
            </c:strRef>
          </c:tx>
          <c:spPr>
            <a:solidFill>
              <a:schemeClr val="accent4"/>
            </a:solidFill>
            <a:ln>
              <a:noFill/>
            </a:ln>
            <a:effectLst/>
          </c:spPr>
          <c:invertIfNegative val="0"/>
          <c:cat>
            <c:strRef>
              <c:f>'Performance by Year &amp; Dept'!$A$5:$A$8</c:f>
              <c:strCache>
                <c:ptCount val="3"/>
                <c:pt idx="0">
                  <c:v>2022</c:v>
                </c:pt>
                <c:pt idx="1">
                  <c:v>2023</c:v>
                </c:pt>
                <c:pt idx="2">
                  <c:v>2024</c:v>
                </c:pt>
              </c:strCache>
            </c:strRef>
          </c:cat>
          <c:val>
            <c:numRef>
              <c:f>'Performance by Year &amp; Dept'!$E$5:$E$8</c:f>
              <c:numCache>
                <c:formatCode>0.00</c:formatCode>
                <c:ptCount val="3"/>
                <c:pt idx="0">
                  <c:v>3.34375</c:v>
                </c:pt>
                <c:pt idx="1">
                  <c:v>2.975609756097561</c:v>
                </c:pt>
                <c:pt idx="2">
                  <c:v>3.5909090909090908</c:v>
                </c:pt>
              </c:numCache>
            </c:numRef>
          </c:val>
          <c:extLst>
            <c:ext xmlns:c16="http://schemas.microsoft.com/office/drawing/2014/chart" uri="{C3380CC4-5D6E-409C-BE32-E72D297353CC}">
              <c16:uniqueId val="{0000000B-CAA7-448D-861E-CE06FAB70E2C}"/>
            </c:ext>
          </c:extLst>
        </c:ser>
        <c:ser>
          <c:idx val="4"/>
          <c:order val="4"/>
          <c:tx>
            <c:strRef>
              <c:f>'Performance by Year &amp; Dept'!$F$3:$F$4</c:f>
              <c:strCache>
                <c:ptCount val="1"/>
                <c:pt idx="0">
                  <c:v>Technology</c:v>
                </c:pt>
              </c:strCache>
            </c:strRef>
          </c:tx>
          <c:spPr>
            <a:solidFill>
              <a:schemeClr val="accent5"/>
            </a:solidFill>
            <a:ln>
              <a:noFill/>
            </a:ln>
            <a:effectLst/>
          </c:spPr>
          <c:invertIfNegative val="0"/>
          <c:cat>
            <c:strRef>
              <c:f>'Performance by Year &amp; Dept'!$A$5:$A$8</c:f>
              <c:strCache>
                <c:ptCount val="3"/>
                <c:pt idx="0">
                  <c:v>2022</c:v>
                </c:pt>
                <c:pt idx="1">
                  <c:v>2023</c:v>
                </c:pt>
                <c:pt idx="2">
                  <c:v>2024</c:v>
                </c:pt>
              </c:strCache>
            </c:strRef>
          </c:cat>
          <c:val>
            <c:numRef>
              <c:f>'Performance by Year &amp; Dept'!$F$5:$F$8</c:f>
              <c:numCache>
                <c:formatCode>0.00</c:formatCode>
                <c:ptCount val="3"/>
                <c:pt idx="0">
                  <c:v>3.2105263157894739</c:v>
                </c:pt>
                <c:pt idx="1">
                  <c:v>2.9473684210526314</c:v>
                </c:pt>
                <c:pt idx="2">
                  <c:v>3.375</c:v>
                </c:pt>
              </c:numCache>
            </c:numRef>
          </c:val>
          <c:extLst>
            <c:ext xmlns:c16="http://schemas.microsoft.com/office/drawing/2014/chart" uri="{C3380CC4-5D6E-409C-BE32-E72D297353CC}">
              <c16:uniqueId val="{0000000C-CAA7-448D-861E-CE06FAB70E2C}"/>
            </c:ext>
          </c:extLst>
        </c:ser>
        <c:dLbls>
          <c:showLegendKey val="0"/>
          <c:showVal val="0"/>
          <c:showCatName val="0"/>
          <c:showSerName val="0"/>
          <c:showPercent val="0"/>
          <c:showBubbleSize val="0"/>
        </c:dLbls>
        <c:gapWidth val="219"/>
        <c:overlap val="-27"/>
        <c:axId val="1632943856"/>
        <c:axId val="1475709344"/>
      </c:barChart>
      <c:catAx>
        <c:axId val="1632943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709344"/>
        <c:crosses val="autoZero"/>
        <c:auto val="1"/>
        <c:lblAlgn val="ctr"/>
        <c:lblOffset val="100"/>
        <c:noMultiLvlLbl val="0"/>
      </c:catAx>
      <c:valAx>
        <c:axId val="14757093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943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[USA_HR ANALYTICS DASHBOARD.xlsx]Hours &amp; Pay by Department!PivotTable2</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'Hours &amp; Pay by Department'!$B$3</c:f>
              <c:strCache>
                <c:ptCount val="1"/>
                <c:pt idx="0">
                  <c:v>Total hours</c:v>
                </c:pt>
              </c:strCache>
            </c:strRef>
          </c:tx>
          <c:spPr>
            <a:solidFill>
              <a:schemeClr val="accent1"/>
            </a:solidFill>
            <a:ln>
              <a:noFill/>
            </a:ln>
            <a:effectLst/>
          </c:spPr>
          <c:invertIfNegative val="0"/>
          <c:cat>
            <c:strRef>
              <c:f>'Hours &amp; Pay by Department'!$A$4:$A$9</c:f>
              <c:strCache>
                <c:ptCount val="5"/>
                <c:pt idx="0">
                  <c:v>Customer Support</c:v>
                </c:pt>
                <c:pt idx="1">
                  <c:v>Finance</c:v>
                </c:pt>
                <c:pt idx="2">
                  <c:v>HR</c:v>
                </c:pt>
                <c:pt idx="3">
                  <c:v>Operations</c:v>
                </c:pt>
                <c:pt idx="4">
                  <c:v>Technology</c:v>
                </c:pt>
              </c:strCache>
            </c:strRef>
          </c:cat>
          <c:val>
            <c:numRef>
              <c:f>'Hours &amp; Pay by Department'!$B$4:$B$9</c:f>
              <c:numCache>
                <c:formatCode>General</c:formatCode>
                <c:ptCount val="5"/>
                <c:pt idx="0">
                  <c:v>153192</c:v>
                </c:pt>
                <c:pt idx="1">
                  <c:v>135665</c:v>
                </c:pt>
                <c:pt idx="2">
                  <c:v>150195</c:v>
                </c:pt>
                <c:pt idx="3">
                  <c:v>141101</c:v>
                </c:pt>
                <c:pt idx="4">
                  <c:v>146842</c:v>
                </c:pt>
              </c:numCache>
            </c:numRef>
          </c:val>
          <c:extLst>
            <c:ext xmlns:c16="http://schemas.microsoft.com/office/drawing/2014/chart" uri="{C3380CC4-5D6E-409C-BE32-E72D297353CC}">
              <c16:uniqueId val="{00000000-3D38-454C-B702-ACD5F693DBA8}"/>
            </c:ext>
          </c:extLst>
        </c:ser>
        <c:ser>
          <c:idx val="1"/>
          <c:order val="1"/>
          <c:tx>
            <c:strRef>
              <c:f>'Hours &amp; Pay by Department'!$C$3</c:f>
              <c:strCache>
                <c:ptCount val="1"/>
                <c:pt idx="0">
                  <c:v>Sum of Overtime Hours</c:v>
                </c:pt>
              </c:strCache>
            </c:strRef>
          </c:tx>
          <c:spPr>
            <a:solidFill>
              <a:schemeClr val="accent2"/>
            </a:solidFill>
            <a:ln>
              <a:noFill/>
            </a:ln>
            <a:effectLst/>
          </c:spPr>
          <c:invertIfNegative val="0"/>
          <c:cat>
            <c:strRef>
              <c:f>'Hours &amp; Pay by Department'!$A$4:$A$9</c:f>
              <c:strCache>
                <c:ptCount val="5"/>
                <c:pt idx="0">
                  <c:v>Customer Support</c:v>
                </c:pt>
                <c:pt idx="1">
                  <c:v>Finance</c:v>
                </c:pt>
                <c:pt idx="2">
                  <c:v>HR</c:v>
                </c:pt>
                <c:pt idx="3">
                  <c:v>Operations</c:v>
                </c:pt>
                <c:pt idx="4">
                  <c:v>Technology</c:v>
                </c:pt>
              </c:strCache>
            </c:strRef>
          </c:cat>
          <c:val>
            <c:numRef>
              <c:f>'Hours &amp; Pay by Department'!$C$4:$C$9</c:f>
              <c:numCache>
                <c:formatCode>General</c:formatCode>
                <c:ptCount val="5"/>
                <c:pt idx="0">
                  <c:v>12447</c:v>
                </c:pt>
                <c:pt idx="1">
                  <c:v>11812</c:v>
                </c:pt>
                <c:pt idx="2">
                  <c:v>12593</c:v>
                </c:pt>
                <c:pt idx="3">
                  <c:v>12670</c:v>
                </c:pt>
                <c:pt idx="4">
                  <c:v>12526</c:v>
                </c:pt>
              </c:numCache>
            </c:numRef>
          </c:val>
          <c:extLst>
            <c:ext xmlns:c16="http://schemas.microsoft.com/office/drawing/2014/chart" uri="{C3380CC4-5D6E-409C-BE32-E72D297353CC}">
              <c16:uniqueId val="{00000001-3D38-454C-B702-ACD5F693DBA8}"/>
            </c:ext>
          </c:extLst>
        </c:ser>
        <c:dLbls>
          <c:showLegendKey val="0"/>
          <c:showVal val="0"/>
          <c:showCatName val="0"/>
          <c:showSerName val="0"/>
          <c:showPercent val="0"/>
          <c:showBubbleSize val="0"/>
        </c:dLbls>
        <c:gapWidth val="219"/>
        <c:overlap val="-27"/>
        <c:axId val="1194291552"/>
        <c:axId val="1946704016"/>
      </c:barChart>
      <c:catAx>
        <c:axId val="119429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704016"/>
        <c:crosses val="autoZero"/>
        <c:auto val="1"/>
        <c:lblAlgn val="ctr"/>
        <c:lblOffset val="100"/>
        <c:noMultiLvlLbl val="0"/>
      </c:catAx>
      <c:valAx>
        <c:axId val="1946704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291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[USA_HR ANALYTICS DASHBOARD.xlsx]Headcount by department!PivotTable1</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Head</a:t>
            </a:r>
            <a:r>
              <a:rPr lang="en-US" baseline="0"/>
              <a:t> Count Distribution by Department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'Headcount by department'!$B$3</c:f>
              <c:strCache>
                <c:ptCount val="1"/>
                <c:pt idx="0">
                  <c:v>Count of   Employee ID</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CFA-4BE8-B872-245EFB7BF78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CFA-4BE8-B872-245EFB7BF78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CFA-4BE8-B872-245EFB7BF78B}"/>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CFA-4BE8-B872-245EFB7BF78B}"/>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7CFA-4BE8-B872-245EFB7BF78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'Headcount by department'!$A$4:$A$9</c:f>
              <c:strCache>
                <c:ptCount val="5"/>
                <c:pt idx="0">
                  <c:v>Customer Support</c:v>
                </c:pt>
                <c:pt idx="1">
                  <c:v>Finance</c:v>
                </c:pt>
                <c:pt idx="2">
                  <c:v>HR</c:v>
                </c:pt>
                <c:pt idx="3">
                  <c:v>Operations</c:v>
                </c:pt>
                <c:pt idx="4">
                  <c:v>Technology</c:v>
                </c:pt>
              </c:strCache>
            </c:strRef>
          </c:cat>
          <c:val>
            <c:numRef>
              <c:f>'Headcount by department'!$B$4:$B$9</c:f>
              <c:numCache>
                <c:formatCode>General</c:formatCode>
                <c:ptCount val="5"/>
                <c:pt idx="0">
                  <c:v>104</c:v>
                </c:pt>
                <c:pt idx="1">
                  <c:v>96</c:v>
                </c:pt>
                <c:pt idx="2">
                  <c:v>105</c:v>
                </c:pt>
                <c:pt idx="3">
                  <c:v>95</c:v>
                </c:pt>
                <c:pt idx="4">
                  <c:v>100</c:v>
                </c:pt>
              </c:numCache>
            </c:numRef>
          </c:val>
          <c:extLst>
            <c:ext xmlns:c16="http://schemas.microsoft.com/office/drawing/2014/chart" uri="{C3380CC4-5D6E-409C-BE32-E72D297353CC}">
              <c16:uniqueId val="{0000000A-7CFA-4BE8-B872-245EFB7BF78B}"/>
            </c:ext>
          </c:extLst>
        </c:ser>
        <c:ser>
          <c:idx val="1"/>
          <c:order val="1"/>
          <c:tx>
            <c:strRef>
              <c:f>'Headcount by department'!$C$3</c:f>
              <c:strCache>
                <c:ptCount val="1"/>
                <c:pt idx="0">
                  <c:v>Sum of Overtime Hours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7CFA-4BE8-B872-245EFB7BF78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E-7CFA-4BE8-B872-245EFB7BF78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0-7CFA-4BE8-B872-245EFB7BF78B}"/>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2-7CFA-4BE8-B872-245EFB7BF78B}"/>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4-7CFA-4BE8-B872-245EFB7BF78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'Headcount by department'!$A$4:$A$9</c:f>
              <c:strCache>
                <c:ptCount val="5"/>
                <c:pt idx="0">
                  <c:v>Customer Support</c:v>
                </c:pt>
                <c:pt idx="1">
                  <c:v>Finance</c:v>
                </c:pt>
                <c:pt idx="2">
                  <c:v>HR</c:v>
                </c:pt>
                <c:pt idx="3">
                  <c:v>Operations</c:v>
                </c:pt>
                <c:pt idx="4">
                  <c:v>Technology</c:v>
                </c:pt>
              </c:strCache>
            </c:strRef>
          </c:cat>
          <c:val>
            <c:numRef>
              <c:f>'Headcount by department'!$C$4:$C$9</c:f>
              <c:numCache>
                <c:formatCode>General</c:formatCode>
                <c:ptCount val="5"/>
                <c:pt idx="0">
                  <c:v>12447</c:v>
                </c:pt>
                <c:pt idx="1">
                  <c:v>11812</c:v>
                </c:pt>
                <c:pt idx="2">
                  <c:v>12593</c:v>
                </c:pt>
                <c:pt idx="3">
                  <c:v>12670</c:v>
                </c:pt>
                <c:pt idx="4">
                  <c:v>12526</c:v>
                </c:pt>
              </c:numCache>
            </c:numRef>
          </c:val>
          <c:extLst>
            <c:ext xmlns:c16="http://schemas.microsoft.com/office/drawing/2014/chart" uri="{C3380CC4-5D6E-409C-BE32-E72D297353CC}">
              <c16:uniqueId val="{00000015-7CFA-4BE8-B872-245EFB7BF78B}"/>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[USA_HR ANALYTICS DASHBOARD.xlsx]Sheet1!PivotTable1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Hourly Pay by Dept(USD)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Sheet1!$A$4:$A$9</c:f>
              <c:strCache>
                <c:ptCount val="5"/>
                <c:pt idx="0">
                  <c:v>Customer Support</c:v>
                </c:pt>
                <c:pt idx="1">
                  <c:v>Finance</c:v>
                </c:pt>
                <c:pt idx="2">
                  <c:v>HR</c:v>
                </c:pt>
                <c:pt idx="3">
                  <c:v>Operations</c:v>
                </c:pt>
                <c:pt idx="4">
                  <c:v>Technology</c:v>
                </c:pt>
              </c:strCache>
            </c:strRef>
          </c:cat>
          <c:val>
            <c:numRef>
              <c:f>Sheet1!$B$4:$B$9</c:f>
              <c:numCache>
                <c:formatCode>General</c:formatCode>
                <c:ptCount val="5"/>
                <c:pt idx="0">
                  <c:v>37.932692307692307</c:v>
                </c:pt>
                <c:pt idx="1">
                  <c:v>39.916666666666664</c:v>
                </c:pt>
                <c:pt idx="2">
                  <c:v>38.666666666666664</c:v>
                </c:pt>
                <c:pt idx="3">
                  <c:v>41</c:v>
                </c:pt>
                <c:pt idx="4">
                  <c:v>38.58</c:v>
                </c:pt>
              </c:numCache>
            </c:numRef>
          </c:val>
          <c:extLst>
            <c:ext xmlns:c16="http://schemas.microsoft.com/office/drawing/2014/chart" uri="{C3380CC4-5D6E-409C-BE32-E72D297353CC}">
              <c16:uniqueId val="{00000000-38D6-4CE7-B1D9-1300C480902B}"/>
            </c:ext>
          </c:extLst>
        </c:ser>
        <c:dLbls>
          <c:showLegendKey val="0"/>
          <c:showVal val="0"/>
          <c:showCatName val="0"/>
          <c:showSerName val="0"/>
          <c:showPercent val="0"/>
          <c:showBubbleSize val="0"/>
        </c:dLbls>
        <c:gapWidth val="219"/>
        <c:overlap val="-27"/>
        <c:axId val="3714815"/>
        <c:axId val="2012546943"/>
      </c:barChart>
      <c:catAx>
        <c:axId val="3714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546943"/>
        <c:crosses val="autoZero"/>
        <c:auto val="1"/>
        <c:lblAlgn val="ctr"/>
        <c:lblOffset val="100"/>
        <c:noMultiLvlLbl val="0"/>
      </c:catAx>
      <c:valAx>
        <c:axId val="2012546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4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242887</xdr:colOff>
      <xdr:row>18</xdr:row>
      <xdr:rowOff>57150</xdr:rowOff>
    </xdr:from>
    <xdr:to>
      <xdr:col>5</xdr:col>
      <xdr:colOff>376237</xdr:colOff>
      <xdr:row>33</xdr:row>
      <xdr:rowOff>85725</xdr:rowOff>
    </xdr:to>
    <xdr:graphicFrame macro="">
      <xdr:nvGraphicFramePr>
        <xdr:cNvPr id="2" name="Chart 1">
          <a:extLst>
            <a:ext uri="{FF2B5EF4-FFF2-40B4-BE49-F238E27FC236}">
              <a16:creationId xmlns:a16="http://schemas.microsoft.com/office/drawing/2014/main" id="{D729DEBB-3BD0-CEC9-0F46-EC93787B00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347662</xdr:colOff>
      <xdr:row>18</xdr:row>
      <xdr:rowOff>142875</xdr:rowOff>
    </xdr:from>
    <xdr:to>
      <xdr:col>5</xdr:col>
      <xdr:colOff>71437</xdr:colOff>
      <xdr:row>33</xdr:row>
      <xdr:rowOff>171450</xdr:rowOff>
    </xdr:to>
    <xdr:graphicFrame macro="">
      <xdr:nvGraphicFramePr>
        <xdr:cNvPr id="2" name="Chart 1">
          <a:extLst>
            <a:ext uri="{FF2B5EF4-FFF2-40B4-BE49-F238E27FC236}">
              <a16:creationId xmlns:a16="http://schemas.microsoft.com/office/drawing/2014/main" id="{75F14085-CC36-228E-5D6A-BA4E7C0421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490537</xdr:colOff>
      <xdr:row>16</xdr:row>
      <xdr:rowOff>76200</xdr:rowOff>
    </xdr:from>
    <xdr:to>
      <xdr:col>4</xdr:col>
      <xdr:colOff>547687</xdr:colOff>
      <xdr:row>31</xdr:row>
      <xdr:rowOff>104775</xdr:rowOff>
    </xdr:to>
    <xdr:graphicFrame macro="">
      <xdr:nvGraphicFramePr>
        <xdr:cNvPr id="2" name="Chart 1">
          <a:extLst>
            <a:ext uri="{FF2B5EF4-FFF2-40B4-BE49-F238E27FC236}">
              <a16:creationId xmlns:a16="http://schemas.microsoft.com/office/drawing/2014/main" id="{58FB303D-7A03-0B78-DB8B-551DAB11FC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947737</xdr:colOff>
      <xdr:row>14</xdr:row>
      <xdr:rowOff>66675</xdr:rowOff>
    </xdr:from>
    <xdr:to>
      <xdr:col>3</xdr:col>
      <xdr:colOff>1785937</xdr:colOff>
      <xdr:row>29</xdr:row>
      <xdr:rowOff>95250</xdr:rowOff>
    </xdr:to>
    <xdr:graphicFrame macro="">
      <xdr:nvGraphicFramePr>
        <xdr:cNvPr id="2" name="Chart 1">
          <a:extLst>
            <a:ext uri="{FF2B5EF4-FFF2-40B4-BE49-F238E27FC236}">
              <a16:creationId xmlns:a16="http://schemas.microsoft.com/office/drawing/2014/main" id="{6B09425A-41DA-3F2C-4B03-3BD9EE856B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319087</xdr:colOff>
      <xdr:row>13</xdr:row>
      <xdr:rowOff>66675</xdr:rowOff>
    </xdr:from>
    <xdr:to>
      <xdr:col>3</xdr:col>
      <xdr:colOff>366712</xdr:colOff>
      <xdr:row>28</xdr:row>
      <xdr:rowOff>95250</xdr:rowOff>
    </xdr:to>
    <xdr:graphicFrame macro="">
      <xdr:nvGraphicFramePr>
        <xdr:cNvPr id="2" name="Chart 1">
          <a:extLst>
            <a:ext uri="{FF2B5EF4-FFF2-40B4-BE49-F238E27FC236}">
              <a16:creationId xmlns:a16="http://schemas.microsoft.com/office/drawing/2014/main" id="{833060C5-FA6A-0E29-EAC2-25960591EC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366712</xdr:colOff>
      <xdr:row>15</xdr:row>
      <xdr:rowOff>161925</xdr:rowOff>
    </xdr:from>
    <xdr:to>
      <xdr:col>4</xdr:col>
      <xdr:colOff>242887</xdr:colOff>
      <xdr:row>31</xdr:row>
      <xdr:rowOff>9525</xdr:rowOff>
    </xdr:to>
    <xdr:graphicFrame macro="">
      <xdr:nvGraphicFramePr>
        <xdr:cNvPr id="2" name="Chart 1">
          <a:extLst>
            <a:ext uri="{FF2B5EF4-FFF2-40B4-BE49-F238E27FC236}">
              <a16:creationId xmlns:a16="http://schemas.microsoft.com/office/drawing/2014/main" id="{5F2BAD6D-7EF0-20AF-DEDF-2F246B5806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485775</xdr:colOff>
      <xdr:row>0</xdr:row>
      <xdr:rowOff>95251</xdr:rowOff>
    </xdr:from>
    <xdr:to>
      <xdr:col>20</xdr:col>
      <xdr:colOff>76201</xdr:colOff>
      <xdr:row>5</xdr:row>
      <xdr:rowOff>171450</xdr:rowOff>
    </xdr:to>
    <xdr:sp macro="" textlink="">
      <xdr:nvSpPr>
        <xdr:cNvPr id="2" name="Rectangle 1">
          <a:extLst>
            <a:ext uri="{FF2B5EF4-FFF2-40B4-BE49-F238E27FC236}">
              <a16:creationId xmlns:a16="http://schemas.microsoft.com/office/drawing/2014/main" id="{E4AD739C-2F69-27B7-D205-F78981E5AEF6}"/>
            </a:ext>
          </a:extLst>
        </xdr:cNvPr>
        <xdr:cNvSpPr/>
      </xdr:nvSpPr>
      <xdr:spPr>
        <a:xfrm>
          <a:off x="2543175" y="95251"/>
          <a:ext cx="11249026" cy="981074"/>
        </a:xfrm>
        <a:prstGeom prst="rect">
          <a:avLst/>
        </a:prstGeom>
        <a:solidFill>
          <a:schemeClr val="tx2"/>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GB" sz="4000" b="1">
              <a:solidFill>
                <a:schemeClr val="bg1"/>
              </a:solidFill>
            </a:rPr>
            <a:t>          USA_</a:t>
          </a:r>
          <a:r>
            <a:rPr lang="en-GB" sz="4400" b="1">
              <a:solidFill>
                <a:schemeClr val="bg1"/>
              </a:solidFill>
            </a:rPr>
            <a:t>HR</a:t>
          </a:r>
          <a:r>
            <a:rPr lang="en-GB" sz="4400" b="1" baseline="0">
              <a:solidFill>
                <a:schemeClr val="bg1"/>
              </a:solidFill>
            </a:rPr>
            <a:t> ANALYTICS  DASHBOARD</a:t>
          </a:r>
          <a:endParaRPr lang="en-GB" sz="4400" b="1">
            <a:solidFill>
              <a:schemeClr val="bg1"/>
            </a:solidFill>
          </a:endParaRPr>
        </a:p>
      </xdr:txBody>
    </xdr:sp>
    <xdr:clientData/>
  </xdr:twoCellAnchor>
  <xdr:twoCellAnchor>
    <xdr:from>
      <xdr:col>0</xdr:col>
      <xdr:colOff>666750</xdr:colOff>
      <xdr:row>10</xdr:row>
      <xdr:rowOff>1</xdr:rowOff>
    </xdr:from>
    <xdr:to>
      <xdr:col>8</xdr:col>
      <xdr:colOff>9525</xdr:colOff>
      <xdr:row>25</xdr:row>
      <xdr:rowOff>161926</xdr:rowOff>
    </xdr:to>
    <xdr:graphicFrame macro="">
      <xdr:nvGraphicFramePr>
        <xdr:cNvPr id="4" name="Chart 3">
          <a:extLst>
            <a:ext uri="{FF2B5EF4-FFF2-40B4-BE49-F238E27FC236}">
              <a16:creationId xmlns:a16="http://schemas.microsoft.com/office/drawing/2014/main" id="{DA874410-5D95-46D5-825D-60B67B013C8A}"/>
            </a:ext>
            <a:ext uri="{147F2762-F138-4A5C-976F-8EAC2B608ADB}">
              <a16:predDERef xmlns:a16="http://schemas.microsoft.com/office/drawing/2014/main" pred="{E4AD739C-2F69-27B7-D205-F78981E5AE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19049</xdr:colOff>
      <xdr:row>10</xdr:row>
      <xdr:rowOff>0</xdr:rowOff>
    </xdr:from>
    <xdr:to>
      <xdr:col>17</xdr:col>
      <xdr:colOff>47625</xdr:colOff>
      <xdr:row>26</xdr:row>
      <xdr:rowOff>9525</xdr:rowOff>
    </xdr:to>
    <xdr:graphicFrame macro="">
      <xdr:nvGraphicFramePr>
        <xdr:cNvPr id="6" name="Chart 5">
          <a:extLst>
            <a:ext uri="{FF2B5EF4-FFF2-40B4-BE49-F238E27FC236}">
              <a16:creationId xmlns:a16="http://schemas.microsoft.com/office/drawing/2014/main" id="{AA8D3302-E560-4312-B09B-4227609852DB}"/>
            </a:ext>
            <a:ext uri="{147F2762-F138-4A5C-976F-8EAC2B608ADB}">
              <a16:predDERef xmlns:a16="http://schemas.microsoft.com/office/drawing/2014/main" pred="{DA874410-5D95-46D5-825D-60B67B013C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477454</xdr:colOff>
      <xdr:row>6</xdr:row>
      <xdr:rowOff>153276</xdr:rowOff>
    </xdr:from>
    <xdr:to>
      <xdr:col>7</xdr:col>
      <xdr:colOff>362857</xdr:colOff>
      <xdr:row>9</xdr:row>
      <xdr:rowOff>100505</xdr:rowOff>
    </xdr:to>
    <xdr:sp macro="" textlink="">
      <xdr:nvSpPr>
        <xdr:cNvPr id="7" name="Rectangle 6">
          <a:extLst>
            <a:ext uri="{FF2B5EF4-FFF2-40B4-BE49-F238E27FC236}">
              <a16:creationId xmlns:a16="http://schemas.microsoft.com/office/drawing/2014/main" id="{551F17B7-B751-1ECD-336A-5F9FEC04AA0E}"/>
            </a:ext>
          </a:extLst>
        </xdr:cNvPr>
        <xdr:cNvSpPr/>
      </xdr:nvSpPr>
      <xdr:spPr>
        <a:xfrm>
          <a:off x="1157811" y="1241847"/>
          <a:ext cx="3967546" cy="49151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400" b="1">
              <a:solidFill>
                <a:schemeClr val="tx2"/>
              </a:solidFill>
            </a:rPr>
            <a:t>Headcount by Dept</a:t>
          </a:r>
          <a:r>
            <a:rPr lang="en-GB" sz="2400" b="1" baseline="0">
              <a:solidFill>
                <a:schemeClr val="tx2"/>
              </a:solidFill>
            </a:rPr>
            <a:t> &amp; State</a:t>
          </a:r>
          <a:endParaRPr lang="en-GB" sz="2400" b="1">
            <a:solidFill>
              <a:schemeClr val="tx2"/>
            </a:solidFill>
          </a:endParaRPr>
        </a:p>
      </xdr:txBody>
    </xdr:sp>
    <xdr:clientData/>
  </xdr:twoCellAnchor>
  <xdr:twoCellAnchor>
    <xdr:from>
      <xdr:col>10</xdr:col>
      <xdr:colOff>273706</xdr:colOff>
      <xdr:row>6</xdr:row>
      <xdr:rowOff>142326</xdr:rowOff>
    </xdr:from>
    <xdr:to>
      <xdr:col>16</xdr:col>
      <xdr:colOff>481725</xdr:colOff>
      <xdr:row>9</xdr:row>
      <xdr:rowOff>76637</xdr:rowOff>
    </xdr:to>
    <xdr:sp macro="" textlink="">
      <xdr:nvSpPr>
        <xdr:cNvPr id="15" name="Rectangle 14">
          <a:extLst>
            <a:ext uri="{FF2B5EF4-FFF2-40B4-BE49-F238E27FC236}">
              <a16:creationId xmlns:a16="http://schemas.microsoft.com/office/drawing/2014/main" id="{39096035-41CC-44CB-94C5-6FFD27810D8C}"/>
            </a:ext>
          </a:extLst>
        </xdr:cNvPr>
        <xdr:cNvSpPr/>
      </xdr:nvSpPr>
      <xdr:spPr>
        <a:xfrm>
          <a:off x="7171120" y="1259050"/>
          <a:ext cx="4346467" cy="492673"/>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800" b="1">
              <a:solidFill>
                <a:schemeClr val="tx2"/>
              </a:solidFill>
            </a:rPr>
            <a:t>Overtime</a:t>
          </a:r>
          <a:r>
            <a:rPr lang="en-GB" sz="2800" b="1" baseline="0">
              <a:solidFill>
                <a:schemeClr val="tx2"/>
              </a:solidFill>
            </a:rPr>
            <a:t> by Dept &amp; Shift</a:t>
          </a:r>
          <a:endParaRPr lang="en-GB" sz="2800" b="1">
            <a:solidFill>
              <a:schemeClr val="tx2"/>
            </a:solidFill>
          </a:endParaRPr>
        </a:p>
      </xdr:txBody>
    </xdr:sp>
    <xdr:clientData/>
  </xdr:twoCellAnchor>
  <xdr:twoCellAnchor>
    <xdr:from>
      <xdr:col>19</xdr:col>
      <xdr:colOff>4761</xdr:colOff>
      <xdr:row>9</xdr:row>
      <xdr:rowOff>171450</xdr:rowOff>
    </xdr:from>
    <xdr:to>
      <xdr:col>25</xdr:col>
      <xdr:colOff>676274</xdr:colOff>
      <xdr:row>26</xdr:row>
      <xdr:rowOff>9525</xdr:rowOff>
    </xdr:to>
    <xdr:graphicFrame macro="">
      <xdr:nvGraphicFramePr>
        <xdr:cNvPr id="16" name="Chart 15">
          <a:extLst>
            <a:ext uri="{FF2B5EF4-FFF2-40B4-BE49-F238E27FC236}">
              <a16:creationId xmlns:a16="http://schemas.microsoft.com/office/drawing/2014/main" id="{F5103F1F-B391-47CA-A048-F0041E0EE7CE}"/>
            </a:ext>
            <a:ext uri="{147F2762-F138-4A5C-976F-8EAC2B608ADB}">
              <a16:predDERef xmlns:a16="http://schemas.microsoft.com/office/drawing/2014/main" pred="{39096035-41CC-44CB-94C5-6FFD27810D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76637</xdr:colOff>
      <xdr:row>6</xdr:row>
      <xdr:rowOff>129957</xdr:rowOff>
    </xdr:from>
    <xdr:to>
      <xdr:col>25</xdr:col>
      <xdr:colOff>580259</xdr:colOff>
      <xdr:row>9</xdr:row>
      <xdr:rowOff>77186</xdr:rowOff>
    </xdr:to>
    <xdr:sp macro="" textlink="">
      <xdr:nvSpPr>
        <xdr:cNvPr id="17" name="Rectangle 16">
          <a:extLst>
            <a:ext uri="{FF2B5EF4-FFF2-40B4-BE49-F238E27FC236}">
              <a16:creationId xmlns:a16="http://schemas.microsoft.com/office/drawing/2014/main" id="{A83DE180-F876-4A31-9107-DC7761E7B385}"/>
            </a:ext>
          </a:extLst>
        </xdr:cNvPr>
        <xdr:cNvSpPr/>
      </xdr:nvSpPr>
      <xdr:spPr>
        <a:xfrm>
          <a:off x="13181723" y="1246681"/>
          <a:ext cx="4642070" cy="505591"/>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800" b="1">
              <a:solidFill>
                <a:schemeClr val="tx2"/>
              </a:solidFill>
            </a:rPr>
            <a:t>Performance</a:t>
          </a:r>
          <a:r>
            <a:rPr lang="en-GB" sz="2800" b="1" baseline="0">
              <a:solidFill>
                <a:schemeClr val="tx2"/>
              </a:solidFill>
            </a:rPr>
            <a:t> by Year &amp; Dept</a:t>
          </a:r>
          <a:endParaRPr lang="en-GB" sz="2800" b="1">
            <a:solidFill>
              <a:schemeClr val="tx2"/>
            </a:solidFill>
          </a:endParaRPr>
        </a:p>
      </xdr:txBody>
    </xdr:sp>
    <xdr:clientData/>
  </xdr:twoCellAnchor>
  <xdr:twoCellAnchor>
    <xdr:from>
      <xdr:col>0</xdr:col>
      <xdr:colOff>685799</xdr:colOff>
      <xdr:row>30</xdr:row>
      <xdr:rowOff>161925</xdr:rowOff>
    </xdr:from>
    <xdr:to>
      <xdr:col>8</xdr:col>
      <xdr:colOff>9524</xdr:colOff>
      <xdr:row>47</xdr:row>
      <xdr:rowOff>19050</xdr:rowOff>
    </xdr:to>
    <xdr:graphicFrame macro="">
      <xdr:nvGraphicFramePr>
        <xdr:cNvPr id="19" name="Chart 18">
          <a:extLst>
            <a:ext uri="{FF2B5EF4-FFF2-40B4-BE49-F238E27FC236}">
              <a16:creationId xmlns:a16="http://schemas.microsoft.com/office/drawing/2014/main" id="{CE43EA57-71DD-4C83-A28D-61D306CE2488}"/>
            </a:ext>
            <a:ext uri="{147F2762-F138-4A5C-976F-8EAC2B608ADB}">
              <a16:predDERef xmlns:a16="http://schemas.microsoft.com/office/drawing/2014/main" pred="{A83DE180-F876-4A31-9107-DC7761E7B3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14287</xdr:colOff>
      <xdr:row>30</xdr:row>
      <xdr:rowOff>161925</xdr:rowOff>
    </xdr:from>
    <xdr:to>
      <xdr:col>17</xdr:col>
      <xdr:colOff>57150</xdr:colOff>
      <xdr:row>47</xdr:row>
      <xdr:rowOff>9525</xdr:rowOff>
    </xdr:to>
    <xdr:graphicFrame macro="">
      <xdr:nvGraphicFramePr>
        <xdr:cNvPr id="20" name="Chart 19">
          <a:extLst>
            <a:ext uri="{FF2B5EF4-FFF2-40B4-BE49-F238E27FC236}">
              <a16:creationId xmlns:a16="http://schemas.microsoft.com/office/drawing/2014/main" id="{D8F0917F-9425-4C32-8A68-BDB663147D8A}"/>
            </a:ext>
            <a:ext uri="{147F2762-F138-4A5C-976F-8EAC2B608ADB}">
              <a16:predDERef xmlns:a16="http://schemas.microsoft.com/office/drawing/2014/main" pred="{CE43EA57-71DD-4C83-A28D-61D306CE24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295604</xdr:colOff>
      <xdr:row>27</xdr:row>
      <xdr:rowOff>152400</xdr:rowOff>
    </xdr:from>
    <xdr:to>
      <xdr:col>7</xdr:col>
      <xdr:colOff>147411</xdr:colOff>
      <xdr:row>30</xdr:row>
      <xdr:rowOff>104775</xdr:rowOff>
    </xdr:to>
    <xdr:sp macro="" textlink="">
      <xdr:nvSpPr>
        <xdr:cNvPr id="22" name="Rectangle 21">
          <a:extLst>
            <a:ext uri="{FF2B5EF4-FFF2-40B4-BE49-F238E27FC236}">
              <a16:creationId xmlns:a16="http://schemas.microsoft.com/office/drawing/2014/main" id="{FC3A8B6D-E505-40BC-935D-97FE02BBE62B}"/>
            </a:ext>
          </a:extLst>
        </xdr:cNvPr>
        <xdr:cNvSpPr/>
      </xdr:nvSpPr>
      <xdr:spPr>
        <a:xfrm>
          <a:off x="975961" y="5050971"/>
          <a:ext cx="3933950" cy="496661"/>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800" b="1">
              <a:solidFill>
                <a:schemeClr val="tx2"/>
              </a:solidFill>
            </a:rPr>
            <a:t>Working</a:t>
          </a:r>
          <a:r>
            <a:rPr lang="en-GB" sz="2800" b="1" baseline="0">
              <a:solidFill>
                <a:schemeClr val="tx2"/>
              </a:solidFill>
            </a:rPr>
            <a:t> hours by Dept</a:t>
          </a:r>
          <a:endParaRPr lang="en-GB" sz="2800" b="1">
            <a:solidFill>
              <a:schemeClr val="tx2"/>
            </a:solidFill>
          </a:endParaRPr>
        </a:p>
      </xdr:txBody>
    </xdr:sp>
    <xdr:clientData/>
  </xdr:twoCellAnchor>
  <xdr:twoCellAnchor>
    <xdr:from>
      <xdr:col>10</xdr:col>
      <xdr:colOff>448879</xdr:colOff>
      <xdr:row>28</xdr:row>
      <xdr:rowOff>0</xdr:rowOff>
    </xdr:from>
    <xdr:to>
      <xdr:col>15</xdr:col>
      <xdr:colOff>284655</xdr:colOff>
      <xdr:row>30</xdr:row>
      <xdr:rowOff>133350</xdr:rowOff>
    </xdr:to>
    <xdr:sp macro="" textlink="">
      <xdr:nvSpPr>
        <xdr:cNvPr id="23" name="Rectangle 22">
          <a:extLst>
            <a:ext uri="{FF2B5EF4-FFF2-40B4-BE49-F238E27FC236}">
              <a16:creationId xmlns:a16="http://schemas.microsoft.com/office/drawing/2014/main" id="{C50C4AEB-794A-4578-A654-546ED27A90CB}"/>
            </a:ext>
          </a:extLst>
        </xdr:cNvPr>
        <xdr:cNvSpPr/>
      </xdr:nvSpPr>
      <xdr:spPr>
        <a:xfrm>
          <a:off x="7346293" y="5211379"/>
          <a:ext cx="3284483" cy="505592"/>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800" b="1">
              <a:solidFill>
                <a:schemeClr val="tx2"/>
              </a:solidFill>
            </a:rPr>
            <a:t>Headcount</a:t>
          </a:r>
          <a:r>
            <a:rPr lang="en-GB" sz="2800" b="1" baseline="0">
              <a:solidFill>
                <a:schemeClr val="tx2"/>
              </a:solidFill>
            </a:rPr>
            <a:t> by Dept</a:t>
          </a:r>
          <a:endParaRPr lang="en-GB" sz="2800" b="1">
            <a:solidFill>
              <a:schemeClr val="tx2"/>
            </a:solidFill>
          </a:endParaRPr>
        </a:p>
      </xdr:txBody>
    </xdr:sp>
    <xdr:clientData/>
  </xdr:twoCellAnchor>
  <xdr:twoCellAnchor>
    <xdr:from>
      <xdr:col>19</xdr:col>
      <xdr:colOff>45356</xdr:colOff>
      <xdr:row>30</xdr:row>
      <xdr:rowOff>170088</xdr:rowOff>
    </xdr:from>
    <xdr:to>
      <xdr:col>26</xdr:col>
      <xdr:colOff>45357</xdr:colOff>
      <xdr:row>46</xdr:row>
      <xdr:rowOff>181428</xdr:rowOff>
    </xdr:to>
    <xdr:graphicFrame macro="">
      <xdr:nvGraphicFramePr>
        <xdr:cNvPr id="3" name="Chart 2">
          <a:extLst>
            <a:ext uri="{FF2B5EF4-FFF2-40B4-BE49-F238E27FC236}">
              <a16:creationId xmlns:a16="http://schemas.microsoft.com/office/drawing/2014/main" id="{2981B3D1-6051-4813-951B-31102C9D18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26</xdr:col>
      <xdr:colOff>420006</xdr:colOff>
      <xdr:row>6</xdr:row>
      <xdr:rowOff>153307</xdr:rowOff>
    </xdr:from>
    <xdr:to>
      <xdr:col>30</xdr:col>
      <xdr:colOff>453571</xdr:colOff>
      <xdr:row>25</xdr:row>
      <xdr:rowOff>170090</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B8B085A2-7C13-A0AA-A0F7-F098A87DF39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8109292" y="1241878"/>
              <a:ext cx="2754993" cy="346392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ukola faremola" refreshedDate="46290.713481365739" createdVersion="8" refreshedVersion="8" minRefreshableVersion="3" recordCount="500" xr:uid="{CD12FF4D-DCD8-4568-A508-54CB0803E4A8}">
  <cacheSource type="worksheet">
    <worksheetSource name="PracticeData"/>
  </cacheSource>
  <cacheFields count="13">
    <cacheField name="  Employee ID" numFmtId="0">
      <sharedItems/>
    </cacheField>
    <cacheField name="Review Year" numFmtId="0">
      <sharedItems containsSemiMixedTypes="0" containsString="0" containsNumber="1" containsInteger="1" minValue="2022" maxValue="2024" count="3">
        <n v="2022"/>
        <n v="2023"/>
        <n v="2024"/>
      </sharedItems>
    </cacheField>
    <cacheField name="State" numFmtId="0">
      <sharedItems count="4">
        <s v="Texas"/>
        <s v="New York"/>
        <s v="California"/>
        <s v="Ohio"/>
      </sharedItems>
    </cacheField>
    <cacheField name="Department" numFmtId="0">
      <sharedItems count="5">
        <s v="Customer Support"/>
        <s v="Technology"/>
        <s v="HR"/>
        <s v="Operations"/>
        <s v="Finance"/>
      </sharedItems>
    </cacheField>
    <cacheField name="Role" numFmtId="0">
      <sharedItems/>
    </cacheField>
    <cacheField name="Employment Type" numFmtId="0">
      <sharedItems count="2">
        <s v="Part Time"/>
        <s v="Full Time"/>
      </sharedItems>
    </cacheField>
    <cacheField name="Shift" numFmtId="0">
      <sharedItems count="3">
        <s v="Night"/>
        <s v="Evening"/>
        <s v="Day"/>
      </sharedItems>
    </cacheField>
    <cacheField name="Hours Worked" numFmtId="0">
      <sharedItems containsSemiMixedTypes="0" containsString="0" containsNumber="1" containsInteger="1" minValue="902" maxValue="2099"/>
    </cacheField>
    <cacheField name="Overtime Hours" numFmtId="0">
      <sharedItems containsSemiMixedTypes="0" containsString="0" containsNumber="1" containsInteger="1" minValue="0" maxValue="250"/>
    </cacheField>
    <cacheField name="Hourly Rate (USD)" numFmtId="0">
      <sharedItems containsSemiMixedTypes="0" containsString="0" containsNumber="1" containsInteger="1" minValue="17" maxValue="65"/>
    </cacheField>
    <cacheField name="Performance Rating (1-5)" numFmtId="0">
      <sharedItems containsSemiMixedTypes="0" containsString="0" containsNumber="1" containsInteger="1" minValue="1" maxValue="5"/>
    </cacheField>
    <cacheField name="Training Hours" numFmtId="0">
      <sharedItems containsSemiMixedTypes="0" containsString="0" containsNumber="1" containsInteger="1" minValue="0" maxValue="90"/>
    </cacheField>
    <cacheField name="Status" numFmtId="0">
      <sharedItems count="2">
        <s v="Active"/>
        <s v="Left"/>
      </sharedItems>
    </cacheField>
  </cacheFields>
  <extLst>
    <ext xmlns:x14="http://schemas.microsoft.com/office/spreadsheetml/2009/9/main" uri="{725AE2AE-9491-48be-B2B4-4EB974FC3084}">
      <x14:pivotCacheDefinition pivotCacheId="1761634083"/>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08-0001"/>
    <x v="0"/>
    <x v="0"/>
    <x v="0"/>
    <s v="Analyst"/>
    <x v="0"/>
    <x v="0"/>
    <n v="1280"/>
    <n v="61"/>
    <n v="55"/>
    <n v="5"/>
    <n v="51"/>
    <x v="0"/>
  </r>
  <r>
    <s v="08-0002"/>
    <x v="0"/>
    <x v="1"/>
    <x v="0"/>
    <s v="Analyst"/>
    <x v="1"/>
    <x v="0"/>
    <n v="1976"/>
    <n v="211"/>
    <n v="29"/>
    <n v="2"/>
    <n v="80"/>
    <x v="0"/>
  </r>
  <r>
    <s v="08-0003"/>
    <x v="0"/>
    <x v="2"/>
    <x v="1"/>
    <s v="Analyst"/>
    <x v="1"/>
    <x v="1"/>
    <n v="1055"/>
    <n v="126"/>
    <n v="22"/>
    <n v="4"/>
    <n v="25"/>
    <x v="0"/>
  </r>
  <r>
    <s v="08-0004"/>
    <x v="0"/>
    <x v="1"/>
    <x v="0"/>
    <s v="Analyst"/>
    <x v="1"/>
    <x v="0"/>
    <n v="911"/>
    <n v="189"/>
    <n v="17"/>
    <n v="2"/>
    <n v="31"/>
    <x v="0"/>
  </r>
  <r>
    <s v="08-0005"/>
    <x v="0"/>
    <x v="2"/>
    <x v="2"/>
    <s v="Manager"/>
    <x v="0"/>
    <x v="0"/>
    <n v="1975"/>
    <n v="76"/>
    <n v="17"/>
    <n v="4"/>
    <n v="6"/>
    <x v="1"/>
  </r>
  <r>
    <s v="08-0006"/>
    <x v="0"/>
    <x v="0"/>
    <x v="1"/>
    <s v="Associate"/>
    <x v="0"/>
    <x v="0"/>
    <n v="1660"/>
    <n v="121"/>
    <n v="37"/>
    <n v="5"/>
    <n v="72"/>
    <x v="0"/>
  </r>
  <r>
    <s v="08-0007"/>
    <x v="0"/>
    <x v="2"/>
    <x v="2"/>
    <s v="Analyst"/>
    <x v="0"/>
    <x v="1"/>
    <n v="981"/>
    <n v="235"/>
    <n v="37"/>
    <n v="3"/>
    <n v="59"/>
    <x v="0"/>
  </r>
  <r>
    <s v="08-0008"/>
    <x v="0"/>
    <x v="1"/>
    <x v="3"/>
    <s v="Manager"/>
    <x v="1"/>
    <x v="0"/>
    <n v="977"/>
    <n v="223"/>
    <n v="19"/>
    <n v="5"/>
    <n v="45"/>
    <x v="1"/>
  </r>
  <r>
    <s v="08-0009"/>
    <x v="0"/>
    <x v="0"/>
    <x v="4"/>
    <s v="Associate"/>
    <x v="0"/>
    <x v="2"/>
    <n v="1132"/>
    <n v="247"/>
    <n v="18"/>
    <n v="5"/>
    <n v="75"/>
    <x v="0"/>
  </r>
  <r>
    <s v="08-0010"/>
    <x v="0"/>
    <x v="2"/>
    <x v="3"/>
    <s v="Associate"/>
    <x v="1"/>
    <x v="1"/>
    <n v="1058"/>
    <n v="224"/>
    <n v="52"/>
    <n v="5"/>
    <n v="56"/>
    <x v="0"/>
  </r>
  <r>
    <s v="08-0011"/>
    <x v="0"/>
    <x v="1"/>
    <x v="1"/>
    <s v="Associate"/>
    <x v="0"/>
    <x v="0"/>
    <n v="938"/>
    <n v="51"/>
    <n v="53"/>
    <n v="2"/>
    <n v="68"/>
    <x v="1"/>
  </r>
  <r>
    <s v="08-0012"/>
    <x v="0"/>
    <x v="1"/>
    <x v="4"/>
    <s v="Coordinator"/>
    <x v="1"/>
    <x v="2"/>
    <n v="1936"/>
    <n v="21"/>
    <n v="18"/>
    <n v="4"/>
    <n v="18"/>
    <x v="0"/>
  </r>
  <r>
    <s v="08-0013"/>
    <x v="0"/>
    <x v="0"/>
    <x v="4"/>
    <s v="Coordinator"/>
    <x v="0"/>
    <x v="2"/>
    <n v="1493"/>
    <n v="250"/>
    <n v="27"/>
    <n v="1"/>
    <n v="70"/>
    <x v="0"/>
  </r>
  <r>
    <s v="08-0014"/>
    <x v="0"/>
    <x v="3"/>
    <x v="3"/>
    <s v="Analyst"/>
    <x v="0"/>
    <x v="0"/>
    <n v="1883"/>
    <n v="94"/>
    <n v="34"/>
    <n v="1"/>
    <n v="45"/>
    <x v="0"/>
  </r>
  <r>
    <s v="08-0015"/>
    <x v="0"/>
    <x v="2"/>
    <x v="4"/>
    <s v="Manager"/>
    <x v="1"/>
    <x v="2"/>
    <n v="1105"/>
    <n v="76"/>
    <n v="32"/>
    <n v="2"/>
    <n v="27"/>
    <x v="0"/>
  </r>
  <r>
    <s v="08-0016"/>
    <x v="0"/>
    <x v="0"/>
    <x v="4"/>
    <s v="Coordinator"/>
    <x v="1"/>
    <x v="0"/>
    <n v="2021"/>
    <n v="210"/>
    <n v="28"/>
    <n v="2"/>
    <n v="80"/>
    <x v="0"/>
  </r>
  <r>
    <s v="08-0017"/>
    <x v="0"/>
    <x v="1"/>
    <x v="3"/>
    <s v="Manager"/>
    <x v="1"/>
    <x v="1"/>
    <n v="1551"/>
    <n v="139"/>
    <n v="54"/>
    <n v="4"/>
    <n v="1"/>
    <x v="1"/>
  </r>
  <r>
    <s v="08-0018"/>
    <x v="0"/>
    <x v="0"/>
    <x v="0"/>
    <s v="Analyst"/>
    <x v="1"/>
    <x v="0"/>
    <n v="1751"/>
    <n v="97"/>
    <n v="21"/>
    <n v="1"/>
    <n v="14"/>
    <x v="0"/>
  </r>
  <r>
    <s v="08-0019"/>
    <x v="0"/>
    <x v="2"/>
    <x v="0"/>
    <s v="Analyst"/>
    <x v="1"/>
    <x v="0"/>
    <n v="2040"/>
    <n v="211"/>
    <n v="39"/>
    <n v="1"/>
    <n v="25"/>
    <x v="1"/>
  </r>
  <r>
    <s v="08-0020"/>
    <x v="0"/>
    <x v="2"/>
    <x v="3"/>
    <s v="Analyst"/>
    <x v="0"/>
    <x v="0"/>
    <n v="1633"/>
    <n v="160"/>
    <n v="20"/>
    <n v="5"/>
    <n v="48"/>
    <x v="0"/>
  </r>
  <r>
    <s v="08-0021"/>
    <x v="0"/>
    <x v="1"/>
    <x v="3"/>
    <s v="Associate"/>
    <x v="1"/>
    <x v="1"/>
    <n v="1393"/>
    <n v="125"/>
    <n v="50"/>
    <n v="5"/>
    <n v="4"/>
    <x v="0"/>
  </r>
  <r>
    <s v="08-0022"/>
    <x v="0"/>
    <x v="1"/>
    <x v="1"/>
    <s v="Analyst"/>
    <x v="1"/>
    <x v="1"/>
    <n v="1634"/>
    <n v="173"/>
    <n v="30"/>
    <n v="5"/>
    <n v="6"/>
    <x v="1"/>
  </r>
  <r>
    <s v="08-0023"/>
    <x v="0"/>
    <x v="0"/>
    <x v="2"/>
    <s v="Associate"/>
    <x v="1"/>
    <x v="1"/>
    <n v="1008"/>
    <n v="222"/>
    <n v="44"/>
    <n v="5"/>
    <n v="74"/>
    <x v="0"/>
  </r>
  <r>
    <s v="08-0024"/>
    <x v="0"/>
    <x v="0"/>
    <x v="2"/>
    <s v="Analyst"/>
    <x v="0"/>
    <x v="1"/>
    <n v="1514"/>
    <n v="115"/>
    <n v="20"/>
    <n v="1"/>
    <n v="27"/>
    <x v="0"/>
  </r>
  <r>
    <s v="08-0025"/>
    <x v="0"/>
    <x v="0"/>
    <x v="3"/>
    <s v="Coordinator"/>
    <x v="1"/>
    <x v="2"/>
    <n v="1045"/>
    <n v="166"/>
    <n v="46"/>
    <n v="5"/>
    <n v="88"/>
    <x v="0"/>
  </r>
  <r>
    <s v="08-0026"/>
    <x v="0"/>
    <x v="0"/>
    <x v="0"/>
    <s v="Manager"/>
    <x v="0"/>
    <x v="0"/>
    <n v="1015"/>
    <n v="219"/>
    <n v="30"/>
    <n v="5"/>
    <n v="42"/>
    <x v="0"/>
  </r>
  <r>
    <s v="08-0027"/>
    <x v="0"/>
    <x v="2"/>
    <x v="0"/>
    <s v="Analyst"/>
    <x v="1"/>
    <x v="0"/>
    <n v="1197"/>
    <n v="184"/>
    <n v="24"/>
    <n v="3"/>
    <n v="73"/>
    <x v="0"/>
  </r>
  <r>
    <s v="08-0028"/>
    <x v="0"/>
    <x v="1"/>
    <x v="0"/>
    <s v="Associate"/>
    <x v="1"/>
    <x v="2"/>
    <n v="1919"/>
    <n v="126"/>
    <n v="32"/>
    <n v="3"/>
    <n v="6"/>
    <x v="0"/>
  </r>
  <r>
    <s v="08-0029"/>
    <x v="0"/>
    <x v="2"/>
    <x v="0"/>
    <s v="Coordinator"/>
    <x v="1"/>
    <x v="0"/>
    <n v="1821"/>
    <n v="91"/>
    <n v="39"/>
    <n v="4"/>
    <n v="79"/>
    <x v="0"/>
  </r>
  <r>
    <s v="08-0030"/>
    <x v="0"/>
    <x v="1"/>
    <x v="4"/>
    <s v="Analyst"/>
    <x v="0"/>
    <x v="2"/>
    <n v="2001"/>
    <n v="90"/>
    <n v="51"/>
    <n v="2"/>
    <n v="5"/>
    <x v="0"/>
  </r>
  <r>
    <s v="08-0031"/>
    <x v="0"/>
    <x v="1"/>
    <x v="0"/>
    <s v="Analyst"/>
    <x v="0"/>
    <x v="2"/>
    <n v="1238"/>
    <n v="42"/>
    <n v="61"/>
    <n v="5"/>
    <n v="21"/>
    <x v="0"/>
  </r>
  <r>
    <s v="08-0032"/>
    <x v="0"/>
    <x v="1"/>
    <x v="3"/>
    <s v="Associate"/>
    <x v="1"/>
    <x v="1"/>
    <n v="1984"/>
    <n v="134"/>
    <n v="32"/>
    <n v="3"/>
    <n v="50"/>
    <x v="0"/>
  </r>
  <r>
    <s v="08-0033"/>
    <x v="0"/>
    <x v="2"/>
    <x v="2"/>
    <s v="Manager"/>
    <x v="0"/>
    <x v="1"/>
    <n v="1111"/>
    <n v="78"/>
    <n v="44"/>
    <n v="5"/>
    <n v="53"/>
    <x v="0"/>
  </r>
  <r>
    <s v="08-0034"/>
    <x v="0"/>
    <x v="0"/>
    <x v="1"/>
    <s v="Manager"/>
    <x v="0"/>
    <x v="1"/>
    <n v="1934"/>
    <n v="83"/>
    <n v="18"/>
    <n v="2"/>
    <n v="64"/>
    <x v="0"/>
  </r>
  <r>
    <s v="08-0035"/>
    <x v="0"/>
    <x v="1"/>
    <x v="3"/>
    <s v="Associate"/>
    <x v="1"/>
    <x v="0"/>
    <n v="1260"/>
    <n v="250"/>
    <n v="27"/>
    <n v="4"/>
    <n v="80"/>
    <x v="1"/>
  </r>
  <r>
    <s v="08-0036"/>
    <x v="0"/>
    <x v="0"/>
    <x v="0"/>
    <s v="Manager"/>
    <x v="0"/>
    <x v="1"/>
    <n v="1164"/>
    <n v="59"/>
    <n v="19"/>
    <n v="5"/>
    <n v="73"/>
    <x v="1"/>
  </r>
  <r>
    <s v="08-0037"/>
    <x v="0"/>
    <x v="1"/>
    <x v="2"/>
    <s v="Associate"/>
    <x v="0"/>
    <x v="0"/>
    <n v="1326"/>
    <n v="72"/>
    <n v="41"/>
    <n v="5"/>
    <n v="22"/>
    <x v="1"/>
  </r>
  <r>
    <s v="08-0038"/>
    <x v="0"/>
    <x v="2"/>
    <x v="1"/>
    <s v="Coordinator"/>
    <x v="1"/>
    <x v="2"/>
    <n v="1142"/>
    <n v="47"/>
    <n v="37"/>
    <n v="1"/>
    <n v="39"/>
    <x v="0"/>
  </r>
  <r>
    <s v="08-0039"/>
    <x v="0"/>
    <x v="1"/>
    <x v="2"/>
    <s v="Manager"/>
    <x v="1"/>
    <x v="0"/>
    <n v="1901"/>
    <n v="11"/>
    <n v="31"/>
    <n v="5"/>
    <n v="63"/>
    <x v="0"/>
  </r>
  <r>
    <s v="08-0040"/>
    <x v="0"/>
    <x v="0"/>
    <x v="4"/>
    <s v="Associate"/>
    <x v="1"/>
    <x v="0"/>
    <n v="1361"/>
    <n v="102"/>
    <n v="41"/>
    <n v="5"/>
    <n v="14"/>
    <x v="0"/>
  </r>
  <r>
    <s v="08-0041"/>
    <x v="0"/>
    <x v="2"/>
    <x v="2"/>
    <s v="Analyst"/>
    <x v="0"/>
    <x v="2"/>
    <n v="1206"/>
    <n v="97"/>
    <n v="53"/>
    <n v="4"/>
    <n v="47"/>
    <x v="0"/>
  </r>
  <r>
    <s v="08-0042"/>
    <x v="0"/>
    <x v="0"/>
    <x v="3"/>
    <s v="Analyst"/>
    <x v="1"/>
    <x v="2"/>
    <n v="1180"/>
    <n v="102"/>
    <n v="60"/>
    <n v="1"/>
    <n v="49"/>
    <x v="0"/>
  </r>
  <r>
    <s v="08-0043"/>
    <x v="0"/>
    <x v="2"/>
    <x v="1"/>
    <s v="Coordinator"/>
    <x v="1"/>
    <x v="1"/>
    <n v="1876"/>
    <n v="202"/>
    <n v="29"/>
    <n v="1"/>
    <n v="4"/>
    <x v="0"/>
  </r>
  <r>
    <s v="08-0044"/>
    <x v="0"/>
    <x v="2"/>
    <x v="0"/>
    <s v="Associate"/>
    <x v="0"/>
    <x v="1"/>
    <n v="1411"/>
    <n v="250"/>
    <n v="32"/>
    <n v="2"/>
    <n v="84"/>
    <x v="0"/>
  </r>
  <r>
    <s v="08-0045"/>
    <x v="0"/>
    <x v="2"/>
    <x v="1"/>
    <s v="Analyst"/>
    <x v="0"/>
    <x v="1"/>
    <n v="1624"/>
    <n v="181"/>
    <n v="52"/>
    <n v="5"/>
    <n v="44"/>
    <x v="0"/>
  </r>
  <r>
    <s v="08-0046"/>
    <x v="0"/>
    <x v="2"/>
    <x v="0"/>
    <s v="Associate"/>
    <x v="1"/>
    <x v="1"/>
    <n v="1595"/>
    <n v="2"/>
    <n v="23"/>
    <n v="3"/>
    <n v="72"/>
    <x v="0"/>
  </r>
  <r>
    <s v="08-0047"/>
    <x v="0"/>
    <x v="1"/>
    <x v="1"/>
    <s v="Analyst"/>
    <x v="0"/>
    <x v="2"/>
    <n v="1142"/>
    <n v="103"/>
    <n v="36"/>
    <n v="5"/>
    <n v="67"/>
    <x v="1"/>
  </r>
  <r>
    <s v="08-0048"/>
    <x v="0"/>
    <x v="1"/>
    <x v="1"/>
    <s v="Coordinator"/>
    <x v="1"/>
    <x v="2"/>
    <n v="1134"/>
    <n v="63"/>
    <n v="46"/>
    <n v="5"/>
    <n v="47"/>
    <x v="0"/>
  </r>
  <r>
    <s v="08-0049"/>
    <x v="0"/>
    <x v="0"/>
    <x v="3"/>
    <s v="Coordinator"/>
    <x v="0"/>
    <x v="2"/>
    <n v="1898"/>
    <n v="202"/>
    <n v="31"/>
    <n v="2"/>
    <n v="44"/>
    <x v="1"/>
  </r>
  <r>
    <s v="08-0050"/>
    <x v="0"/>
    <x v="0"/>
    <x v="2"/>
    <s v="Associate"/>
    <x v="0"/>
    <x v="0"/>
    <n v="1164"/>
    <n v="238"/>
    <n v="37"/>
    <n v="3"/>
    <n v="73"/>
    <x v="0"/>
  </r>
  <r>
    <s v="08-0051"/>
    <x v="0"/>
    <x v="0"/>
    <x v="4"/>
    <s v="Coordinator"/>
    <x v="1"/>
    <x v="1"/>
    <n v="1464"/>
    <n v="189"/>
    <n v="55"/>
    <n v="3"/>
    <n v="40"/>
    <x v="0"/>
  </r>
  <r>
    <s v="08-0052"/>
    <x v="0"/>
    <x v="2"/>
    <x v="3"/>
    <s v="Manager"/>
    <x v="0"/>
    <x v="2"/>
    <n v="1257"/>
    <n v="120"/>
    <n v="23"/>
    <n v="1"/>
    <n v="66"/>
    <x v="0"/>
  </r>
  <r>
    <s v="08-0053"/>
    <x v="0"/>
    <x v="1"/>
    <x v="2"/>
    <s v="Coordinator"/>
    <x v="0"/>
    <x v="2"/>
    <n v="1332"/>
    <n v="18"/>
    <n v="41"/>
    <n v="5"/>
    <n v="27"/>
    <x v="0"/>
  </r>
  <r>
    <s v="08-0054"/>
    <x v="0"/>
    <x v="0"/>
    <x v="1"/>
    <s v="Associate"/>
    <x v="1"/>
    <x v="1"/>
    <n v="1456"/>
    <n v="32"/>
    <n v="48"/>
    <n v="1"/>
    <n v="16"/>
    <x v="0"/>
  </r>
  <r>
    <s v="08-0055"/>
    <x v="0"/>
    <x v="0"/>
    <x v="4"/>
    <s v="Associate"/>
    <x v="1"/>
    <x v="2"/>
    <n v="1208"/>
    <n v="194"/>
    <n v="59"/>
    <n v="4"/>
    <n v="78"/>
    <x v="0"/>
  </r>
  <r>
    <s v="08-0056"/>
    <x v="0"/>
    <x v="2"/>
    <x v="0"/>
    <s v="Coordinator"/>
    <x v="0"/>
    <x v="2"/>
    <n v="1366"/>
    <n v="49"/>
    <n v="29"/>
    <n v="3"/>
    <n v="19"/>
    <x v="1"/>
  </r>
  <r>
    <s v="08-0057"/>
    <x v="0"/>
    <x v="3"/>
    <x v="0"/>
    <s v="Analyst"/>
    <x v="1"/>
    <x v="0"/>
    <n v="1799"/>
    <n v="59"/>
    <n v="48"/>
    <n v="4"/>
    <n v="54"/>
    <x v="0"/>
  </r>
  <r>
    <s v="08-0058"/>
    <x v="0"/>
    <x v="0"/>
    <x v="3"/>
    <s v="Manager"/>
    <x v="0"/>
    <x v="2"/>
    <n v="1246"/>
    <n v="223"/>
    <n v="34"/>
    <n v="2"/>
    <n v="85"/>
    <x v="0"/>
  </r>
  <r>
    <s v="08-0059"/>
    <x v="0"/>
    <x v="2"/>
    <x v="2"/>
    <s v="Coordinator"/>
    <x v="0"/>
    <x v="1"/>
    <n v="1968"/>
    <n v="73"/>
    <n v="44"/>
    <n v="3"/>
    <n v="78"/>
    <x v="1"/>
  </r>
  <r>
    <s v="08-0060"/>
    <x v="0"/>
    <x v="3"/>
    <x v="0"/>
    <s v="Manager"/>
    <x v="1"/>
    <x v="1"/>
    <n v="2021"/>
    <n v="169"/>
    <n v="32"/>
    <n v="1"/>
    <n v="64"/>
    <x v="0"/>
  </r>
  <r>
    <s v="08-0061"/>
    <x v="0"/>
    <x v="3"/>
    <x v="0"/>
    <s v="Coordinator"/>
    <x v="1"/>
    <x v="2"/>
    <n v="1492"/>
    <n v="108"/>
    <n v="26"/>
    <n v="1"/>
    <n v="55"/>
    <x v="0"/>
  </r>
  <r>
    <s v="08-0062"/>
    <x v="0"/>
    <x v="3"/>
    <x v="1"/>
    <s v="Coordinator"/>
    <x v="0"/>
    <x v="0"/>
    <n v="1836"/>
    <n v="29"/>
    <n v="43"/>
    <n v="1"/>
    <n v="41"/>
    <x v="1"/>
  </r>
  <r>
    <s v="08-0063"/>
    <x v="0"/>
    <x v="1"/>
    <x v="4"/>
    <s v="Analyst"/>
    <x v="1"/>
    <x v="2"/>
    <n v="1675"/>
    <n v="243"/>
    <n v="34"/>
    <n v="4"/>
    <n v="38"/>
    <x v="0"/>
  </r>
  <r>
    <s v="08-0064"/>
    <x v="0"/>
    <x v="1"/>
    <x v="3"/>
    <s v="Coordinator"/>
    <x v="0"/>
    <x v="0"/>
    <n v="1797"/>
    <n v="49"/>
    <n v="44"/>
    <n v="4"/>
    <n v="25"/>
    <x v="1"/>
  </r>
  <r>
    <s v="08-0065"/>
    <x v="0"/>
    <x v="2"/>
    <x v="0"/>
    <s v="Coordinator"/>
    <x v="1"/>
    <x v="2"/>
    <n v="1462"/>
    <n v="90"/>
    <n v="20"/>
    <n v="2"/>
    <n v="24"/>
    <x v="0"/>
  </r>
  <r>
    <s v="08-0066"/>
    <x v="0"/>
    <x v="0"/>
    <x v="0"/>
    <s v="Coordinator"/>
    <x v="1"/>
    <x v="0"/>
    <n v="1630"/>
    <n v="101"/>
    <n v="60"/>
    <n v="5"/>
    <n v="73"/>
    <x v="1"/>
  </r>
  <r>
    <s v="08-0067"/>
    <x v="0"/>
    <x v="2"/>
    <x v="1"/>
    <s v="Coordinator"/>
    <x v="0"/>
    <x v="1"/>
    <n v="1965"/>
    <n v="44"/>
    <n v="59"/>
    <n v="3"/>
    <n v="1"/>
    <x v="0"/>
  </r>
  <r>
    <s v="08-0068"/>
    <x v="0"/>
    <x v="3"/>
    <x v="4"/>
    <s v="Analyst"/>
    <x v="0"/>
    <x v="1"/>
    <n v="1971"/>
    <n v="107"/>
    <n v="51"/>
    <n v="1"/>
    <n v="60"/>
    <x v="1"/>
  </r>
  <r>
    <s v="08-0069"/>
    <x v="0"/>
    <x v="2"/>
    <x v="0"/>
    <s v="Analyst"/>
    <x v="1"/>
    <x v="0"/>
    <n v="1253"/>
    <n v="221"/>
    <n v="27"/>
    <n v="5"/>
    <n v="27"/>
    <x v="0"/>
  </r>
  <r>
    <s v="08-0070"/>
    <x v="0"/>
    <x v="3"/>
    <x v="3"/>
    <s v="Manager"/>
    <x v="1"/>
    <x v="0"/>
    <n v="1789"/>
    <n v="212"/>
    <n v="40"/>
    <n v="3"/>
    <n v="21"/>
    <x v="0"/>
  </r>
  <r>
    <s v="08-0071"/>
    <x v="0"/>
    <x v="2"/>
    <x v="3"/>
    <s v="Manager"/>
    <x v="1"/>
    <x v="1"/>
    <n v="1462"/>
    <n v="229"/>
    <n v="38"/>
    <n v="5"/>
    <n v="78"/>
    <x v="0"/>
  </r>
  <r>
    <s v="08-0072"/>
    <x v="0"/>
    <x v="1"/>
    <x v="3"/>
    <s v="Coordinator"/>
    <x v="1"/>
    <x v="1"/>
    <n v="1820"/>
    <n v="200"/>
    <n v="40"/>
    <n v="3"/>
    <n v="59"/>
    <x v="0"/>
  </r>
  <r>
    <s v="08-0073"/>
    <x v="0"/>
    <x v="0"/>
    <x v="0"/>
    <s v="Coordinator"/>
    <x v="1"/>
    <x v="1"/>
    <n v="1063"/>
    <n v="183"/>
    <n v="48"/>
    <n v="5"/>
    <n v="14"/>
    <x v="1"/>
  </r>
  <r>
    <s v="08-0074"/>
    <x v="0"/>
    <x v="3"/>
    <x v="0"/>
    <s v="Analyst"/>
    <x v="1"/>
    <x v="1"/>
    <n v="1935"/>
    <n v="100"/>
    <n v="63"/>
    <n v="4"/>
    <n v="21"/>
    <x v="0"/>
  </r>
  <r>
    <s v="08-0075"/>
    <x v="0"/>
    <x v="2"/>
    <x v="4"/>
    <s v="Manager"/>
    <x v="1"/>
    <x v="1"/>
    <n v="971"/>
    <n v="7"/>
    <n v="39"/>
    <n v="5"/>
    <n v="12"/>
    <x v="0"/>
  </r>
  <r>
    <s v="08-0076"/>
    <x v="0"/>
    <x v="1"/>
    <x v="2"/>
    <s v="Coordinator"/>
    <x v="0"/>
    <x v="0"/>
    <n v="1448"/>
    <n v="204"/>
    <n v="26"/>
    <n v="5"/>
    <n v="77"/>
    <x v="1"/>
  </r>
  <r>
    <s v="08-0077"/>
    <x v="0"/>
    <x v="2"/>
    <x v="4"/>
    <s v="Coordinator"/>
    <x v="0"/>
    <x v="0"/>
    <n v="1742"/>
    <n v="93"/>
    <n v="32"/>
    <n v="5"/>
    <n v="62"/>
    <x v="0"/>
  </r>
  <r>
    <s v="08-0078"/>
    <x v="0"/>
    <x v="0"/>
    <x v="1"/>
    <s v="Coordinator"/>
    <x v="0"/>
    <x v="2"/>
    <n v="1120"/>
    <n v="233"/>
    <n v="25"/>
    <n v="3"/>
    <n v="35"/>
    <x v="0"/>
  </r>
  <r>
    <s v="08-0079"/>
    <x v="0"/>
    <x v="2"/>
    <x v="0"/>
    <s v="Manager"/>
    <x v="0"/>
    <x v="2"/>
    <n v="1214"/>
    <n v="106"/>
    <n v="31"/>
    <n v="2"/>
    <n v="15"/>
    <x v="0"/>
  </r>
  <r>
    <s v="08-0080"/>
    <x v="0"/>
    <x v="1"/>
    <x v="0"/>
    <s v="Analyst"/>
    <x v="1"/>
    <x v="1"/>
    <n v="1728"/>
    <n v="158"/>
    <n v="55"/>
    <n v="2"/>
    <n v="49"/>
    <x v="0"/>
  </r>
  <r>
    <s v="08-0081"/>
    <x v="0"/>
    <x v="2"/>
    <x v="2"/>
    <s v="Manager"/>
    <x v="0"/>
    <x v="2"/>
    <n v="1450"/>
    <n v="36"/>
    <n v="37"/>
    <n v="4"/>
    <n v="72"/>
    <x v="0"/>
  </r>
  <r>
    <s v="08-0082"/>
    <x v="0"/>
    <x v="3"/>
    <x v="4"/>
    <s v="Associate"/>
    <x v="0"/>
    <x v="0"/>
    <n v="1634"/>
    <n v="83"/>
    <n v="46"/>
    <n v="5"/>
    <n v="89"/>
    <x v="0"/>
  </r>
  <r>
    <s v="08-0083"/>
    <x v="0"/>
    <x v="1"/>
    <x v="2"/>
    <s v="Associate"/>
    <x v="0"/>
    <x v="1"/>
    <n v="1712"/>
    <n v="235"/>
    <n v="41"/>
    <n v="2"/>
    <n v="85"/>
    <x v="1"/>
  </r>
  <r>
    <s v="08-0084"/>
    <x v="0"/>
    <x v="0"/>
    <x v="0"/>
    <s v="Coordinator"/>
    <x v="0"/>
    <x v="2"/>
    <n v="2044"/>
    <n v="84"/>
    <n v="23"/>
    <n v="3"/>
    <n v="18"/>
    <x v="1"/>
  </r>
  <r>
    <s v="08-0085"/>
    <x v="0"/>
    <x v="0"/>
    <x v="0"/>
    <s v="Manager"/>
    <x v="1"/>
    <x v="1"/>
    <n v="1297"/>
    <n v="39"/>
    <n v="25"/>
    <n v="3"/>
    <n v="75"/>
    <x v="0"/>
  </r>
  <r>
    <s v="08-0086"/>
    <x v="0"/>
    <x v="3"/>
    <x v="0"/>
    <s v="Associate"/>
    <x v="0"/>
    <x v="2"/>
    <n v="1465"/>
    <n v="99"/>
    <n v="41"/>
    <n v="1"/>
    <n v="5"/>
    <x v="1"/>
  </r>
  <r>
    <s v="08-0087"/>
    <x v="0"/>
    <x v="0"/>
    <x v="2"/>
    <s v="Manager"/>
    <x v="1"/>
    <x v="0"/>
    <n v="1258"/>
    <n v="28"/>
    <n v="26"/>
    <n v="2"/>
    <n v="70"/>
    <x v="0"/>
  </r>
  <r>
    <s v="08-0088"/>
    <x v="0"/>
    <x v="1"/>
    <x v="1"/>
    <s v="Coordinator"/>
    <x v="0"/>
    <x v="0"/>
    <n v="1639"/>
    <n v="195"/>
    <n v="40"/>
    <n v="2"/>
    <n v="2"/>
    <x v="1"/>
  </r>
  <r>
    <s v="08-0089"/>
    <x v="0"/>
    <x v="0"/>
    <x v="4"/>
    <s v="Associate"/>
    <x v="1"/>
    <x v="2"/>
    <n v="1371"/>
    <n v="160"/>
    <n v="61"/>
    <n v="2"/>
    <n v="5"/>
    <x v="0"/>
  </r>
  <r>
    <s v="08-0090"/>
    <x v="0"/>
    <x v="2"/>
    <x v="0"/>
    <s v="Associate"/>
    <x v="0"/>
    <x v="2"/>
    <n v="1177"/>
    <n v="69"/>
    <n v="44"/>
    <n v="4"/>
    <n v="31"/>
    <x v="0"/>
  </r>
  <r>
    <s v="08-0091"/>
    <x v="0"/>
    <x v="2"/>
    <x v="0"/>
    <s v="Manager"/>
    <x v="0"/>
    <x v="2"/>
    <n v="1963"/>
    <n v="27"/>
    <n v="24"/>
    <n v="1"/>
    <n v="74"/>
    <x v="0"/>
  </r>
  <r>
    <s v="08-0092"/>
    <x v="0"/>
    <x v="3"/>
    <x v="1"/>
    <s v="Coordinator"/>
    <x v="0"/>
    <x v="2"/>
    <n v="1062"/>
    <n v="229"/>
    <n v="31"/>
    <n v="2"/>
    <n v="56"/>
    <x v="0"/>
  </r>
  <r>
    <s v="08-0093"/>
    <x v="0"/>
    <x v="2"/>
    <x v="3"/>
    <s v="Coordinator"/>
    <x v="1"/>
    <x v="0"/>
    <n v="1289"/>
    <n v="191"/>
    <n v="32"/>
    <n v="4"/>
    <n v="63"/>
    <x v="0"/>
  </r>
  <r>
    <s v="08-0094"/>
    <x v="0"/>
    <x v="2"/>
    <x v="1"/>
    <s v="Analyst"/>
    <x v="1"/>
    <x v="2"/>
    <n v="2045"/>
    <n v="179"/>
    <n v="61"/>
    <n v="3"/>
    <n v="29"/>
    <x v="1"/>
  </r>
  <r>
    <s v="08-0095"/>
    <x v="0"/>
    <x v="3"/>
    <x v="2"/>
    <s v="Associate"/>
    <x v="1"/>
    <x v="1"/>
    <n v="1136"/>
    <n v="82"/>
    <n v="55"/>
    <n v="1"/>
    <n v="59"/>
    <x v="1"/>
  </r>
  <r>
    <s v="08-0096"/>
    <x v="0"/>
    <x v="3"/>
    <x v="3"/>
    <s v="Analyst"/>
    <x v="1"/>
    <x v="2"/>
    <n v="1696"/>
    <n v="233"/>
    <n v="60"/>
    <n v="4"/>
    <n v="48"/>
    <x v="1"/>
  </r>
  <r>
    <s v="08-0097"/>
    <x v="0"/>
    <x v="0"/>
    <x v="1"/>
    <s v="Analyst"/>
    <x v="0"/>
    <x v="1"/>
    <n v="1677"/>
    <n v="247"/>
    <n v="64"/>
    <n v="4"/>
    <n v="38"/>
    <x v="1"/>
  </r>
  <r>
    <s v="08-0098"/>
    <x v="0"/>
    <x v="2"/>
    <x v="4"/>
    <s v="Manager"/>
    <x v="0"/>
    <x v="1"/>
    <n v="1378"/>
    <n v="99"/>
    <n v="45"/>
    <n v="3"/>
    <n v="28"/>
    <x v="0"/>
  </r>
  <r>
    <s v="08-0099"/>
    <x v="0"/>
    <x v="2"/>
    <x v="4"/>
    <s v="Coordinator"/>
    <x v="1"/>
    <x v="1"/>
    <n v="1174"/>
    <n v="155"/>
    <n v="21"/>
    <n v="4"/>
    <n v="36"/>
    <x v="0"/>
  </r>
  <r>
    <s v="08-0100"/>
    <x v="0"/>
    <x v="2"/>
    <x v="1"/>
    <s v="Manager"/>
    <x v="0"/>
    <x v="0"/>
    <n v="1665"/>
    <n v="177"/>
    <n v="45"/>
    <n v="3"/>
    <n v="32"/>
    <x v="0"/>
  </r>
  <r>
    <s v="08-0101"/>
    <x v="0"/>
    <x v="0"/>
    <x v="3"/>
    <s v="Manager"/>
    <x v="1"/>
    <x v="1"/>
    <n v="905"/>
    <n v="144"/>
    <n v="37"/>
    <n v="3"/>
    <n v="4"/>
    <x v="1"/>
  </r>
  <r>
    <s v="08-0102"/>
    <x v="0"/>
    <x v="1"/>
    <x v="1"/>
    <s v="Analyst"/>
    <x v="0"/>
    <x v="2"/>
    <n v="2099"/>
    <n v="32"/>
    <n v="43"/>
    <n v="1"/>
    <n v="32"/>
    <x v="1"/>
  </r>
  <r>
    <s v="08-0103"/>
    <x v="0"/>
    <x v="0"/>
    <x v="0"/>
    <s v="Manager"/>
    <x v="1"/>
    <x v="0"/>
    <n v="1920"/>
    <n v="37"/>
    <n v="32"/>
    <n v="5"/>
    <n v="73"/>
    <x v="0"/>
  </r>
  <r>
    <s v="08-0104"/>
    <x v="0"/>
    <x v="2"/>
    <x v="1"/>
    <s v="Analyst"/>
    <x v="0"/>
    <x v="2"/>
    <n v="1137"/>
    <n v="86"/>
    <n v="34"/>
    <n v="5"/>
    <n v="51"/>
    <x v="0"/>
  </r>
  <r>
    <s v="08-0105"/>
    <x v="0"/>
    <x v="3"/>
    <x v="1"/>
    <s v="Associate"/>
    <x v="1"/>
    <x v="1"/>
    <n v="2099"/>
    <n v="200"/>
    <n v="60"/>
    <n v="1"/>
    <n v="9"/>
    <x v="1"/>
  </r>
  <r>
    <s v="08-0106"/>
    <x v="0"/>
    <x v="3"/>
    <x v="1"/>
    <s v="Associate"/>
    <x v="1"/>
    <x v="2"/>
    <n v="1088"/>
    <n v="163"/>
    <n v="24"/>
    <n v="3"/>
    <n v="25"/>
    <x v="0"/>
  </r>
  <r>
    <s v="08-0107"/>
    <x v="0"/>
    <x v="0"/>
    <x v="4"/>
    <s v="Coordinator"/>
    <x v="0"/>
    <x v="2"/>
    <n v="1469"/>
    <n v="47"/>
    <n v="55"/>
    <n v="5"/>
    <n v="41"/>
    <x v="0"/>
  </r>
  <r>
    <s v="08-0108"/>
    <x v="0"/>
    <x v="3"/>
    <x v="1"/>
    <s v="Coordinator"/>
    <x v="0"/>
    <x v="1"/>
    <n v="1473"/>
    <n v="188"/>
    <n v="22"/>
    <n v="4"/>
    <n v="36"/>
    <x v="0"/>
  </r>
  <r>
    <s v="08-0109"/>
    <x v="0"/>
    <x v="2"/>
    <x v="2"/>
    <s v="Manager"/>
    <x v="1"/>
    <x v="0"/>
    <n v="1322"/>
    <n v="236"/>
    <n v="55"/>
    <n v="5"/>
    <n v="22"/>
    <x v="1"/>
  </r>
  <r>
    <s v="08-0110"/>
    <x v="0"/>
    <x v="2"/>
    <x v="4"/>
    <s v="Coordinator"/>
    <x v="1"/>
    <x v="1"/>
    <n v="1585"/>
    <n v="75"/>
    <n v="50"/>
    <n v="1"/>
    <n v="16"/>
    <x v="0"/>
  </r>
  <r>
    <s v="08-0111"/>
    <x v="0"/>
    <x v="0"/>
    <x v="2"/>
    <s v="Analyst"/>
    <x v="1"/>
    <x v="2"/>
    <n v="1688"/>
    <n v="124"/>
    <n v="37"/>
    <n v="5"/>
    <n v="90"/>
    <x v="0"/>
  </r>
  <r>
    <s v="08-0112"/>
    <x v="0"/>
    <x v="0"/>
    <x v="1"/>
    <s v="Manager"/>
    <x v="1"/>
    <x v="0"/>
    <n v="1053"/>
    <n v="161"/>
    <n v="30"/>
    <n v="1"/>
    <n v="29"/>
    <x v="0"/>
  </r>
  <r>
    <s v="08-0113"/>
    <x v="0"/>
    <x v="3"/>
    <x v="3"/>
    <s v="Analyst"/>
    <x v="0"/>
    <x v="0"/>
    <n v="1399"/>
    <n v="44"/>
    <n v="61"/>
    <n v="5"/>
    <n v="85"/>
    <x v="0"/>
  </r>
  <r>
    <s v="08-0114"/>
    <x v="0"/>
    <x v="0"/>
    <x v="0"/>
    <s v="Manager"/>
    <x v="1"/>
    <x v="1"/>
    <n v="1534"/>
    <n v="214"/>
    <n v="19"/>
    <n v="5"/>
    <n v="29"/>
    <x v="0"/>
  </r>
  <r>
    <s v="08-0115"/>
    <x v="0"/>
    <x v="2"/>
    <x v="3"/>
    <s v="Coordinator"/>
    <x v="1"/>
    <x v="2"/>
    <n v="1810"/>
    <n v="10"/>
    <n v="43"/>
    <n v="1"/>
    <n v="89"/>
    <x v="0"/>
  </r>
  <r>
    <s v="08-0116"/>
    <x v="0"/>
    <x v="0"/>
    <x v="1"/>
    <s v="Manager"/>
    <x v="0"/>
    <x v="0"/>
    <n v="1659"/>
    <n v="93"/>
    <n v="61"/>
    <n v="1"/>
    <n v="87"/>
    <x v="1"/>
  </r>
  <r>
    <s v="08-0117"/>
    <x v="0"/>
    <x v="2"/>
    <x v="0"/>
    <s v="Analyst"/>
    <x v="0"/>
    <x v="2"/>
    <n v="1235"/>
    <n v="217"/>
    <n v="25"/>
    <n v="1"/>
    <n v="68"/>
    <x v="0"/>
  </r>
  <r>
    <s v="08-0118"/>
    <x v="0"/>
    <x v="2"/>
    <x v="4"/>
    <s v="Associate"/>
    <x v="0"/>
    <x v="2"/>
    <n v="1367"/>
    <n v="64"/>
    <n v="22"/>
    <n v="4"/>
    <n v="89"/>
    <x v="1"/>
  </r>
  <r>
    <s v="08-0119"/>
    <x v="0"/>
    <x v="0"/>
    <x v="2"/>
    <s v="Coordinator"/>
    <x v="0"/>
    <x v="1"/>
    <n v="985"/>
    <n v="55"/>
    <n v="19"/>
    <n v="5"/>
    <n v="75"/>
    <x v="0"/>
  </r>
  <r>
    <s v="08-0120"/>
    <x v="0"/>
    <x v="2"/>
    <x v="1"/>
    <s v="Analyst"/>
    <x v="0"/>
    <x v="1"/>
    <n v="1202"/>
    <n v="101"/>
    <n v="64"/>
    <n v="5"/>
    <n v="46"/>
    <x v="0"/>
  </r>
  <r>
    <s v="08-0121"/>
    <x v="0"/>
    <x v="3"/>
    <x v="2"/>
    <s v="Analyst"/>
    <x v="0"/>
    <x v="0"/>
    <n v="902"/>
    <n v="230"/>
    <n v="62"/>
    <n v="1"/>
    <n v="11"/>
    <x v="0"/>
  </r>
  <r>
    <s v="08-0122"/>
    <x v="0"/>
    <x v="2"/>
    <x v="1"/>
    <s v="Analyst"/>
    <x v="0"/>
    <x v="1"/>
    <n v="1738"/>
    <n v="9"/>
    <n v="19"/>
    <n v="3"/>
    <n v="1"/>
    <x v="1"/>
  </r>
  <r>
    <s v="08-0123"/>
    <x v="0"/>
    <x v="0"/>
    <x v="4"/>
    <s v="Manager"/>
    <x v="1"/>
    <x v="1"/>
    <n v="946"/>
    <n v="204"/>
    <n v="40"/>
    <n v="2"/>
    <n v="72"/>
    <x v="0"/>
  </r>
  <r>
    <s v="08-0124"/>
    <x v="0"/>
    <x v="1"/>
    <x v="1"/>
    <s v="Coordinator"/>
    <x v="0"/>
    <x v="1"/>
    <n v="1706"/>
    <n v="115"/>
    <n v="28"/>
    <n v="2"/>
    <n v="2"/>
    <x v="1"/>
  </r>
  <r>
    <s v="08-0125"/>
    <x v="0"/>
    <x v="2"/>
    <x v="4"/>
    <s v="Associate"/>
    <x v="0"/>
    <x v="0"/>
    <n v="1782"/>
    <n v="57"/>
    <n v="23"/>
    <n v="3"/>
    <n v="52"/>
    <x v="0"/>
  </r>
  <r>
    <s v="08-0126"/>
    <x v="0"/>
    <x v="1"/>
    <x v="0"/>
    <s v="Coordinator"/>
    <x v="1"/>
    <x v="2"/>
    <n v="1665"/>
    <n v="166"/>
    <n v="48"/>
    <n v="1"/>
    <n v="85"/>
    <x v="0"/>
  </r>
  <r>
    <s v="08-0127"/>
    <x v="0"/>
    <x v="3"/>
    <x v="2"/>
    <s v="Coordinator"/>
    <x v="1"/>
    <x v="0"/>
    <n v="1461"/>
    <n v="84"/>
    <n v="62"/>
    <n v="5"/>
    <n v="18"/>
    <x v="0"/>
  </r>
  <r>
    <s v="08-0128"/>
    <x v="0"/>
    <x v="0"/>
    <x v="3"/>
    <s v="Analyst"/>
    <x v="0"/>
    <x v="0"/>
    <n v="1716"/>
    <n v="142"/>
    <n v="62"/>
    <n v="4"/>
    <n v="12"/>
    <x v="0"/>
  </r>
  <r>
    <s v="08-0129"/>
    <x v="0"/>
    <x v="0"/>
    <x v="3"/>
    <s v="Analyst"/>
    <x v="1"/>
    <x v="0"/>
    <n v="1794"/>
    <n v="74"/>
    <n v="46"/>
    <n v="1"/>
    <n v="65"/>
    <x v="0"/>
  </r>
  <r>
    <s v="08-0130"/>
    <x v="0"/>
    <x v="1"/>
    <x v="1"/>
    <s v="Manager"/>
    <x v="0"/>
    <x v="0"/>
    <n v="1815"/>
    <n v="29"/>
    <n v="51"/>
    <n v="3"/>
    <n v="78"/>
    <x v="0"/>
  </r>
  <r>
    <s v="08-0131"/>
    <x v="0"/>
    <x v="3"/>
    <x v="2"/>
    <s v="Analyst"/>
    <x v="1"/>
    <x v="2"/>
    <n v="1940"/>
    <n v="138"/>
    <n v="27"/>
    <n v="2"/>
    <n v="21"/>
    <x v="1"/>
  </r>
  <r>
    <s v="08-0132"/>
    <x v="0"/>
    <x v="3"/>
    <x v="0"/>
    <s v="Analyst"/>
    <x v="1"/>
    <x v="1"/>
    <n v="1449"/>
    <n v="133"/>
    <n v="34"/>
    <n v="5"/>
    <n v="86"/>
    <x v="0"/>
  </r>
  <r>
    <s v="08-0133"/>
    <x v="0"/>
    <x v="3"/>
    <x v="4"/>
    <s v="Analyst"/>
    <x v="1"/>
    <x v="0"/>
    <n v="1628"/>
    <n v="154"/>
    <n v="32"/>
    <n v="5"/>
    <n v="37"/>
    <x v="1"/>
  </r>
  <r>
    <s v="08-0134"/>
    <x v="0"/>
    <x v="2"/>
    <x v="2"/>
    <s v="Coordinator"/>
    <x v="0"/>
    <x v="0"/>
    <n v="1187"/>
    <n v="102"/>
    <n v="47"/>
    <n v="2"/>
    <n v="63"/>
    <x v="1"/>
  </r>
  <r>
    <s v="08-0135"/>
    <x v="0"/>
    <x v="2"/>
    <x v="2"/>
    <s v="Coordinator"/>
    <x v="1"/>
    <x v="1"/>
    <n v="1272"/>
    <n v="66"/>
    <n v="60"/>
    <n v="3"/>
    <n v="84"/>
    <x v="1"/>
  </r>
  <r>
    <s v="08-0136"/>
    <x v="0"/>
    <x v="0"/>
    <x v="2"/>
    <s v="Manager"/>
    <x v="1"/>
    <x v="2"/>
    <n v="1269"/>
    <n v="163"/>
    <n v="50"/>
    <n v="5"/>
    <n v="36"/>
    <x v="0"/>
  </r>
  <r>
    <s v="08-0137"/>
    <x v="0"/>
    <x v="0"/>
    <x v="4"/>
    <s v="Manager"/>
    <x v="1"/>
    <x v="2"/>
    <n v="997"/>
    <n v="99"/>
    <n v="55"/>
    <n v="5"/>
    <n v="2"/>
    <x v="0"/>
  </r>
  <r>
    <s v="08-0138"/>
    <x v="0"/>
    <x v="1"/>
    <x v="4"/>
    <s v="Analyst"/>
    <x v="1"/>
    <x v="1"/>
    <n v="930"/>
    <n v="221"/>
    <n v="24"/>
    <n v="5"/>
    <n v="23"/>
    <x v="0"/>
  </r>
  <r>
    <s v="08-0139"/>
    <x v="0"/>
    <x v="0"/>
    <x v="4"/>
    <s v="Manager"/>
    <x v="1"/>
    <x v="1"/>
    <n v="1453"/>
    <n v="182"/>
    <n v="37"/>
    <n v="2"/>
    <n v="30"/>
    <x v="0"/>
  </r>
  <r>
    <s v="08-0140"/>
    <x v="0"/>
    <x v="1"/>
    <x v="0"/>
    <s v="Analyst"/>
    <x v="1"/>
    <x v="1"/>
    <n v="1980"/>
    <n v="148"/>
    <n v="18"/>
    <n v="3"/>
    <n v="10"/>
    <x v="0"/>
  </r>
  <r>
    <s v="08-0141"/>
    <x v="0"/>
    <x v="2"/>
    <x v="2"/>
    <s v="Associate"/>
    <x v="0"/>
    <x v="1"/>
    <n v="1432"/>
    <n v="171"/>
    <n v="34"/>
    <n v="5"/>
    <n v="61"/>
    <x v="1"/>
  </r>
  <r>
    <s v="08-0142"/>
    <x v="0"/>
    <x v="3"/>
    <x v="1"/>
    <s v="Associate"/>
    <x v="1"/>
    <x v="1"/>
    <n v="1737"/>
    <n v="120"/>
    <n v="45"/>
    <n v="5"/>
    <n v="32"/>
    <x v="1"/>
  </r>
  <r>
    <s v="08-0143"/>
    <x v="0"/>
    <x v="2"/>
    <x v="2"/>
    <s v="Manager"/>
    <x v="1"/>
    <x v="2"/>
    <n v="1671"/>
    <n v="40"/>
    <n v="27"/>
    <n v="3"/>
    <n v="76"/>
    <x v="0"/>
  </r>
  <r>
    <s v="08-0144"/>
    <x v="0"/>
    <x v="0"/>
    <x v="3"/>
    <s v="Coordinator"/>
    <x v="0"/>
    <x v="0"/>
    <n v="1332"/>
    <n v="198"/>
    <n v="30"/>
    <n v="3"/>
    <n v="58"/>
    <x v="1"/>
  </r>
  <r>
    <s v="08-0145"/>
    <x v="0"/>
    <x v="2"/>
    <x v="3"/>
    <s v="Analyst"/>
    <x v="0"/>
    <x v="1"/>
    <n v="1230"/>
    <n v="4"/>
    <n v="25"/>
    <n v="3"/>
    <n v="67"/>
    <x v="0"/>
  </r>
  <r>
    <s v="08-0146"/>
    <x v="0"/>
    <x v="2"/>
    <x v="4"/>
    <s v="Analyst"/>
    <x v="1"/>
    <x v="0"/>
    <n v="1957"/>
    <n v="76"/>
    <n v="18"/>
    <n v="3"/>
    <n v="88"/>
    <x v="0"/>
  </r>
  <r>
    <s v="08-0147"/>
    <x v="0"/>
    <x v="2"/>
    <x v="0"/>
    <s v="Analyst"/>
    <x v="1"/>
    <x v="2"/>
    <n v="1028"/>
    <n v="89"/>
    <n v="23"/>
    <n v="4"/>
    <n v="20"/>
    <x v="0"/>
  </r>
  <r>
    <s v="08-0148"/>
    <x v="0"/>
    <x v="3"/>
    <x v="1"/>
    <s v="Associate"/>
    <x v="1"/>
    <x v="2"/>
    <n v="1840"/>
    <n v="209"/>
    <n v="36"/>
    <n v="5"/>
    <n v="60"/>
    <x v="1"/>
  </r>
  <r>
    <s v="08-0149"/>
    <x v="0"/>
    <x v="0"/>
    <x v="2"/>
    <s v="Manager"/>
    <x v="0"/>
    <x v="0"/>
    <n v="2089"/>
    <n v="21"/>
    <n v="64"/>
    <n v="2"/>
    <n v="24"/>
    <x v="0"/>
  </r>
  <r>
    <s v="08-0150"/>
    <x v="0"/>
    <x v="1"/>
    <x v="2"/>
    <s v="Analyst"/>
    <x v="1"/>
    <x v="0"/>
    <n v="1489"/>
    <n v="47"/>
    <n v="56"/>
    <n v="4"/>
    <n v="0"/>
    <x v="0"/>
  </r>
  <r>
    <s v="08-0151"/>
    <x v="0"/>
    <x v="1"/>
    <x v="4"/>
    <s v="Manager"/>
    <x v="0"/>
    <x v="2"/>
    <n v="1961"/>
    <n v="72"/>
    <n v="41"/>
    <n v="3"/>
    <n v="1"/>
    <x v="0"/>
  </r>
  <r>
    <s v="08-0152"/>
    <x v="0"/>
    <x v="3"/>
    <x v="3"/>
    <s v="Manager"/>
    <x v="0"/>
    <x v="2"/>
    <n v="2096"/>
    <n v="149"/>
    <n v="26"/>
    <n v="4"/>
    <n v="33"/>
    <x v="0"/>
  </r>
  <r>
    <s v="08-0153"/>
    <x v="0"/>
    <x v="0"/>
    <x v="4"/>
    <s v="Manager"/>
    <x v="1"/>
    <x v="2"/>
    <n v="1628"/>
    <n v="32"/>
    <n v="33"/>
    <n v="2"/>
    <n v="80"/>
    <x v="0"/>
  </r>
  <r>
    <s v="08-0154"/>
    <x v="0"/>
    <x v="2"/>
    <x v="1"/>
    <s v="Coordinator"/>
    <x v="0"/>
    <x v="0"/>
    <n v="1176"/>
    <n v="32"/>
    <n v="36"/>
    <n v="5"/>
    <n v="26"/>
    <x v="0"/>
  </r>
  <r>
    <s v="08-0155"/>
    <x v="0"/>
    <x v="2"/>
    <x v="0"/>
    <s v="Analyst"/>
    <x v="1"/>
    <x v="0"/>
    <n v="1927"/>
    <n v="42"/>
    <n v="62"/>
    <n v="4"/>
    <n v="80"/>
    <x v="1"/>
  </r>
  <r>
    <s v="08-0156"/>
    <x v="0"/>
    <x v="2"/>
    <x v="2"/>
    <s v="Analyst"/>
    <x v="0"/>
    <x v="1"/>
    <n v="1679"/>
    <n v="38"/>
    <n v="45"/>
    <n v="5"/>
    <n v="27"/>
    <x v="1"/>
  </r>
  <r>
    <s v="08-0157"/>
    <x v="0"/>
    <x v="2"/>
    <x v="0"/>
    <s v="Manager"/>
    <x v="0"/>
    <x v="1"/>
    <n v="1537"/>
    <n v="242"/>
    <n v="35"/>
    <n v="5"/>
    <n v="25"/>
    <x v="0"/>
  </r>
  <r>
    <s v="08-0158"/>
    <x v="0"/>
    <x v="2"/>
    <x v="4"/>
    <s v="Coordinator"/>
    <x v="1"/>
    <x v="1"/>
    <n v="952"/>
    <n v="171"/>
    <n v="26"/>
    <n v="4"/>
    <n v="78"/>
    <x v="0"/>
  </r>
  <r>
    <s v="08-0159"/>
    <x v="0"/>
    <x v="2"/>
    <x v="2"/>
    <s v="Coordinator"/>
    <x v="0"/>
    <x v="1"/>
    <n v="2030"/>
    <n v="121"/>
    <n v="40"/>
    <n v="2"/>
    <n v="47"/>
    <x v="0"/>
  </r>
  <r>
    <s v="08-0160"/>
    <x v="0"/>
    <x v="1"/>
    <x v="3"/>
    <s v="Coordinator"/>
    <x v="1"/>
    <x v="0"/>
    <n v="2064"/>
    <n v="195"/>
    <n v="65"/>
    <n v="5"/>
    <n v="26"/>
    <x v="0"/>
  </r>
  <r>
    <s v="08-0161"/>
    <x v="0"/>
    <x v="3"/>
    <x v="2"/>
    <s v="Coordinator"/>
    <x v="0"/>
    <x v="2"/>
    <n v="1346"/>
    <n v="229"/>
    <n v="18"/>
    <n v="4"/>
    <n v="58"/>
    <x v="0"/>
  </r>
  <r>
    <s v="08-0162"/>
    <x v="0"/>
    <x v="3"/>
    <x v="0"/>
    <s v="Analyst"/>
    <x v="1"/>
    <x v="1"/>
    <n v="1489"/>
    <n v="205"/>
    <n v="51"/>
    <n v="3"/>
    <n v="57"/>
    <x v="0"/>
  </r>
  <r>
    <s v="08-0163"/>
    <x v="0"/>
    <x v="2"/>
    <x v="0"/>
    <s v="Coordinator"/>
    <x v="1"/>
    <x v="0"/>
    <n v="1553"/>
    <n v="208"/>
    <n v="60"/>
    <n v="2"/>
    <n v="12"/>
    <x v="0"/>
  </r>
  <r>
    <s v="08-0164"/>
    <x v="0"/>
    <x v="3"/>
    <x v="0"/>
    <s v="Analyst"/>
    <x v="0"/>
    <x v="1"/>
    <n v="1792"/>
    <n v="109"/>
    <n v="48"/>
    <n v="4"/>
    <n v="14"/>
    <x v="0"/>
  </r>
  <r>
    <s v="08-0165"/>
    <x v="0"/>
    <x v="2"/>
    <x v="4"/>
    <s v="Associate"/>
    <x v="0"/>
    <x v="0"/>
    <n v="957"/>
    <n v="5"/>
    <n v="19"/>
    <n v="4"/>
    <n v="33"/>
    <x v="0"/>
  </r>
  <r>
    <s v="08-0166"/>
    <x v="0"/>
    <x v="0"/>
    <x v="3"/>
    <s v="Analyst"/>
    <x v="0"/>
    <x v="2"/>
    <n v="1192"/>
    <n v="190"/>
    <n v="61"/>
    <n v="2"/>
    <n v="86"/>
    <x v="0"/>
  </r>
  <r>
    <s v="08-0167"/>
    <x v="0"/>
    <x v="2"/>
    <x v="4"/>
    <s v="Analyst"/>
    <x v="0"/>
    <x v="1"/>
    <n v="1662"/>
    <n v="164"/>
    <n v="55"/>
    <n v="2"/>
    <n v="28"/>
    <x v="1"/>
  </r>
  <r>
    <s v="08-0168"/>
    <x v="0"/>
    <x v="1"/>
    <x v="1"/>
    <s v="Manager"/>
    <x v="1"/>
    <x v="0"/>
    <n v="1337"/>
    <n v="164"/>
    <n v="34"/>
    <n v="5"/>
    <n v="45"/>
    <x v="0"/>
  </r>
  <r>
    <s v="08-0169"/>
    <x v="0"/>
    <x v="1"/>
    <x v="4"/>
    <s v="Coordinator"/>
    <x v="1"/>
    <x v="1"/>
    <n v="1743"/>
    <n v="83"/>
    <n v="60"/>
    <n v="3"/>
    <n v="85"/>
    <x v="1"/>
  </r>
  <r>
    <s v="08-0170"/>
    <x v="0"/>
    <x v="1"/>
    <x v="4"/>
    <s v="Analyst"/>
    <x v="0"/>
    <x v="0"/>
    <n v="1069"/>
    <n v="194"/>
    <n v="63"/>
    <n v="5"/>
    <n v="70"/>
    <x v="1"/>
  </r>
  <r>
    <s v="08-0171"/>
    <x v="0"/>
    <x v="1"/>
    <x v="3"/>
    <s v="Associate"/>
    <x v="1"/>
    <x v="1"/>
    <n v="1053"/>
    <n v="55"/>
    <n v="38"/>
    <n v="5"/>
    <n v="9"/>
    <x v="0"/>
  </r>
  <r>
    <s v="08-0172"/>
    <x v="0"/>
    <x v="1"/>
    <x v="0"/>
    <s v="Coordinator"/>
    <x v="0"/>
    <x v="0"/>
    <n v="931"/>
    <n v="177"/>
    <n v="36"/>
    <n v="1"/>
    <n v="60"/>
    <x v="0"/>
  </r>
  <r>
    <s v="08-0173"/>
    <x v="0"/>
    <x v="1"/>
    <x v="4"/>
    <s v="Associate"/>
    <x v="0"/>
    <x v="2"/>
    <n v="1133"/>
    <n v="29"/>
    <n v="53"/>
    <n v="3"/>
    <n v="1"/>
    <x v="0"/>
  </r>
  <r>
    <s v="08-0174"/>
    <x v="0"/>
    <x v="1"/>
    <x v="2"/>
    <s v="Manager"/>
    <x v="1"/>
    <x v="1"/>
    <n v="1541"/>
    <n v="8"/>
    <n v="35"/>
    <n v="3"/>
    <n v="30"/>
    <x v="0"/>
  </r>
  <r>
    <s v="08-0175"/>
    <x v="0"/>
    <x v="1"/>
    <x v="2"/>
    <s v="Manager"/>
    <x v="1"/>
    <x v="0"/>
    <n v="1419"/>
    <n v="88"/>
    <n v="28"/>
    <n v="5"/>
    <n v="47"/>
    <x v="0"/>
  </r>
  <r>
    <s v="08-0176"/>
    <x v="0"/>
    <x v="3"/>
    <x v="0"/>
    <s v="Manager"/>
    <x v="1"/>
    <x v="2"/>
    <n v="1355"/>
    <n v="103"/>
    <n v="55"/>
    <n v="2"/>
    <n v="57"/>
    <x v="0"/>
  </r>
  <r>
    <s v="08-0177"/>
    <x v="0"/>
    <x v="2"/>
    <x v="2"/>
    <s v="Coordinator"/>
    <x v="1"/>
    <x v="2"/>
    <n v="1123"/>
    <n v="73"/>
    <n v="36"/>
    <n v="5"/>
    <n v="76"/>
    <x v="1"/>
  </r>
  <r>
    <s v="08-0178"/>
    <x v="0"/>
    <x v="3"/>
    <x v="2"/>
    <s v="Associate"/>
    <x v="0"/>
    <x v="2"/>
    <n v="1914"/>
    <n v="226"/>
    <n v="54"/>
    <n v="5"/>
    <n v="55"/>
    <x v="0"/>
  </r>
  <r>
    <s v="08-0179"/>
    <x v="0"/>
    <x v="1"/>
    <x v="2"/>
    <s v="Analyst"/>
    <x v="0"/>
    <x v="0"/>
    <n v="1283"/>
    <n v="205"/>
    <n v="58"/>
    <n v="1"/>
    <n v="71"/>
    <x v="1"/>
  </r>
  <r>
    <s v="08-0180"/>
    <x v="0"/>
    <x v="3"/>
    <x v="2"/>
    <s v="Associate"/>
    <x v="1"/>
    <x v="0"/>
    <n v="1192"/>
    <n v="13"/>
    <n v="42"/>
    <n v="3"/>
    <n v="51"/>
    <x v="1"/>
  </r>
  <r>
    <s v="08-0181"/>
    <x v="0"/>
    <x v="2"/>
    <x v="0"/>
    <s v="Manager"/>
    <x v="0"/>
    <x v="2"/>
    <n v="990"/>
    <n v="117"/>
    <n v="60"/>
    <n v="3"/>
    <n v="58"/>
    <x v="0"/>
  </r>
  <r>
    <s v="08-0182"/>
    <x v="0"/>
    <x v="2"/>
    <x v="2"/>
    <s v="Manager"/>
    <x v="1"/>
    <x v="1"/>
    <n v="1577"/>
    <n v="93"/>
    <n v="21"/>
    <n v="1"/>
    <n v="85"/>
    <x v="0"/>
  </r>
  <r>
    <s v="08-0183"/>
    <x v="0"/>
    <x v="2"/>
    <x v="0"/>
    <s v="Associate"/>
    <x v="0"/>
    <x v="2"/>
    <n v="1498"/>
    <n v="103"/>
    <n v="22"/>
    <n v="5"/>
    <n v="0"/>
    <x v="1"/>
  </r>
  <r>
    <s v="08-0184"/>
    <x v="0"/>
    <x v="1"/>
    <x v="2"/>
    <s v="Coordinator"/>
    <x v="1"/>
    <x v="2"/>
    <n v="1124"/>
    <n v="50"/>
    <n v="62"/>
    <n v="2"/>
    <n v="12"/>
    <x v="0"/>
  </r>
  <r>
    <s v="08-0185"/>
    <x v="0"/>
    <x v="0"/>
    <x v="1"/>
    <s v="Associate"/>
    <x v="0"/>
    <x v="2"/>
    <n v="1273"/>
    <n v="86"/>
    <n v="18"/>
    <n v="4"/>
    <n v="68"/>
    <x v="1"/>
  </r>
  <r>
    <s v="08-0186"/>
    <x v="0"/>
    <x v="3"/>
    <x v="2"/>
    <s v="Coordinator"/>
    <x v="1"/>
    <x v="1"/>
    <n v="1058"/>
    <n v="113"/>
    <n v="46"/>
    <n v="1"/>
    <n v="48"/>
    <x v="0"/>
  </r>
  <r>
    <s v="08-0187"/>
    <x v="0"/>
    <x v="3"/>
    <x v="0"/>
    <s v="Coordinator"/>
    <x v="0"/>
    <x v="2"/>
    <n v="1553"/>
    <n v="21"/>
    <n v="51"/>
    <n v="5"/>
    <n v="10"/>
    <x v="0"/>
  </r>
  <r>
    <s v="08-0188"/>
    <x v="0"/>
    <x v="0"/>
    <x v="2"/>
    <s v="Coordinator"/>
    <x v="1"/>
    <x v="0"/>
    <n v="978"/>
    <n v="100"/>
    <n v="32"/>
    <n v="2"/>
    <n v="86"/>
    <x v="0"/>
  </r>
  <r>
    <s v="08-0189"/>
    <x v="0"/>
    <x v="2"/>
    <x v="4"/>
    <s v="Coordinator"/>
    <x v="1"/>
    <x v="2"/>
    <n v="1911"/>
    <n v="96"/>
    <n v="26"/>
    <n v="2"/>
    <n v="37"/>
    <x v="0"/>
  </r>
  <r>
    <s v="08-0190"/>
    <x v="0"/>
    <x v="3"/>
    <x v="0"/>
    <s v="Analyst"/>
    <x v="1"/>
    <x v="2"/>
    <n v="1382"/>
    <n v="171"/>
    <n v="48"/>
    <n v="1"/>
    <n v="83"/>
    <x v="0"/>
  </r>
  <r>
    <s v="08-0191"/>
    <x v="0"/>
    <x v="1"/>
    <x v="3"/>
    <s v="Manager"/>
    <x v="0"/>
    <x v="2"/>
    <n v="967"/>
    <n v="162"/>
    <n v="32"/>
    <n v="2"/>
    <n v="27"/>
    <x v="1"/>
  </r>
  <r>
    <s v="08-0192"/>
    <x v="0"/>
    <x v="1"/>
    <x v="4"/>
    <s v="Coordinator"/>
    <x v="0"/>
    <x v="1"/>
    <n v="1914"/>
    <n v="15"/>
    <n v="28"/>
    <n v="5"/>
    <n v="55"/>
    <x v="1"/>
  </r>
  <r>
    <s v="08-0193"/>
    <x v="0"/>
    <x v="0"/>
    <x v="4"/>
    <s v="Analyst"/>
    <x v="1"/>
    <x v="1"/>
    <n v="1761"/>
    <n v="245"/>
    <n v="64"/>
    <n v="5"/>
    <n v="46"/>
    <x v="0"/>
  </r>
  <r>
    <s v="08-0194"/>
    <x v="0"/>
    <x v="2"/>
    <x v="2"/>
    <s v="Coordinator"/>
    <x v="1"/>
    <x v="1"/>
    <n v="1674"/>
    <n v="51"/>
    <n v="17"/>
    <n v="2"/>
    <n v="26"/>
    <x v="1"/>
  </r>
  <r>
    <s v="08-0195"/>
    <x v="0"/>
    <x v="2"/>
    <x v="1"/>
    <s v="Manager"/>
    <x v="1"/>
    <x v="0"/>
    <n v="1151"/>
    <n v="241"/>
    <n v="22"/>
    <n v="2"/>
    <n v="19"/>
    <x v="0"/>
  </r>
  <r>
    <s v="08-0196"/>
    <x v="0"/>
    <x v="2"/>
    <x v="3"/>
    <s v="Analyst"/>
    <x v="1"/>
    <x v="0"/>
    <n v="1234"/>
    <n v="9"/>
    <n v="24"/>
    <n v="3"/>
    <n v="31"/>
    <x v="0"/>
  </r>
  <r>
    <s v="08-0197"/>
    <x v="0"/>
    <x v="2"/>
    <x v="1"/>
    <s v="Associate"/>
    <x v="0"/>
    <x v="1"/>
    <n v="1026"/>
    <n v="144"/>
    <n v="51"/>
    <n v="5"/>
    <n v="87"/>
    <x v="0"/>
  </r>
  <r>
    <s v="08-0198"/>
    <x v="0"/>
    <x v="1"/>
    <x v="4"/>
    <s v="Coordinator"/>
    <x v="0"/>
    <x v="2"/>
    <n v="1267"/>
    <n v="241"/>
    <n v="52"/>
    <n v="2"/>
    <n v="50"/>
    <x v="1"/>
  </r>
  <r>
    <s v="08-0199"/>
    <x v="0"/>
    <x v="0"/>
    <x v="1"/>
    <s v="Analyst"/>
    <x v="0"/>
    <x v="2"/>
    <n v="974"/>
    <n v="151"/>
    <n v="25"/>
    <n v="5"/>
    <n v="67"/>
    <x v="0"/>
  </r>
  <r>
    <s v="08-0200"/>
    <x v="0"/>
    <x v="0"/>
    <x v="0"/>
    <s v="Coordinator"/>
    <x v="1"/>
    <x v="1"/>
    <n v="1234"/>
    <n v="157"/>
    <n v="40"/>
    <n v="1"/>
    <n v="14"/>
    <x v="0"/>
  </r>
  <r>
    <s v="08-0201"/>
    <x v="1"/>
    <x v="3"/>
    <x v="0"/>
    <s v="Manager"/>
    <x v="0"/>
    <x v="1"/>
    <n v="1207"/>
    <n v="111"/>
    <n v="62"/>
    <n v="4"/>
    <n v="16"/>
    <x v="1"/>
  </r>
  <r>
    <s v="08-0202"/>
    <x v="1"/>
    <x v="0"/>
    <x v="3"/>
    <s v="Manager"/>
    <x v="0"/>
    <x v="0"/>
    <n v="2029"/>
    <n v="241"/>
    <n v="65"/>
    <n v="2"/>
    <n v="40"/>
    <x v="0"/>
  </r>
  <r>
    <s v="08-0203"/>
    <x v="1"/>
    <x v="1"/>
    <x v="4"/>
    <s v="Associate"/>
    <x v="0"/>
    <x v="0"/>
    <n v="1242"/>
    <n v="102"/>
    <n v="52"/>
    <n v="1"/>
    <n v="2"/>
    <x v="1"/>
  </r>
  <r>
    <s v="08-0204"/>
    <x v="1"/>
    <x v="0"/>
    <x v="2"/>
    <s v="Manager"/>
    <x v="1"/>
    <x v="0"/>
    <n v="958"/>
    <n v="11"/>
    <n v="28"/>
    <n v="3"/>
    <n v="82"/>
    <x v="0"/>
  </r>
  <r>
    <s v="08-0205"/>
    <x v="1"/>
    <x v="1"/>
    <x v="4"/>
    <s v="Manager"/>
    <x v="1"/>
    <x v="1"/>
    <n v="1081"/>
    <n v="7"/>
    <n v="22"/>
    <n v="5"/>
    <n v="85"/>
    <x v="1"/>
  </r>
  <r>
    <s v="08-0206"/>
    <x v="1"/>
    <x v="0"/>
    <x v="2"/>
    <s v="Coordinator"/>
    <x v="1"/>
    <x v="2"/>
    <n v="981"/>
    <n v="182"/>
    <n v="30"/>
    <n v="2"/>
    <n v="74"/>
    <x v="0"/>
  </r>
  <r>
    <s v="08-0207"/>
    <x v="1"/>
    <x v="3"/>
    <x v="0"/>
    <s v="Manager"/>
    <x v="0"/>
    <x v="1"/>
    <n v="1127"/>
    <n v="99"/>
    <n v="21"/>
    <n v="5"/>
    <n v="6"/>
    <x v="0"/>
  </r>
  <r>
    <s v="08-0208"/>
    <x v="1"/>
    <x v="2"/>
    <x v="0"/>
    <s v="Associate"/>
    <x v="0"/>
    <x v="2"/>
    <n v="1281"/>
    <n v="165"/>
    <n v="45"/>
    <n v="2"/>
    <n v="79"/>
    <x v="0"/>
  </r>
  <r>
    <s v="08-0209"/>
    <x v="1"/>
    <x v="3"/>
    <x v="1"/>
    <s v="Coordinator"/>
    <x v="0"/>
    <x v="1"/>
    <n v="1951"/>
    <n v="38"/>
    <n v="36"/>
    <n v="1"/>
    <n v="66"/>
    <x v="1"/>
  </r>
  <r>
    <s v="08-0210"/>
    <x v="1"/>
    <x v="1"/>
    <x v="1"/>
    <s v="Associate"/>
    <x v="0"/>
    <x v="2"/>
    <n v="1936"/>
    <n v="84"/>
    <n v="31"/>
    <n v="2"/>
    <n v="38"/>
    <x v="0"/>
  </r>
  <r>
    <s v="08-0211"/>
    <x v="1"/>
    <x v="3"/>
    <x v="0"/>
    <s v="Manager"/>
    <x v="1"/>
    <x v="2"/>
    <n v="1132"/>
    <n v="0"/>
    <n v="46"/>
    <n v="5"/>
    <n v="21"/>
    <x v="1"/>
  </r>
  <r>
    <s v="08-0212"/>
    <x v="1"/>
    <x v="1"/>
    <x v="0"/>
    <s v="Manager"/>
    <x v="0"/>
    <x v="2"/>
    <n v="1189"/>
    <n v="108"/>
    <n v="25"/>
    <n v="1"/>
    <n v="56"/>
    <x v="0"/>
  </r>
  <r>
    <s v="08-0213"/>
    <x v="1"/>
    <x v="0"/>
    <x v="0"/>
    <s v="Analyst"/>
    <x v="1"/>
    <x v="2"/>
    <n v="2071"/>
    <n v="106"/>
    <n v="30"/>
    <n v="4"/>
    <n v="20"/>
    <x v="0"/>
  </r>
  <r>
    <s v="08-0214"/>
    <x v="1"/>
    <x v="1"/>
    <x v="3"/>
    <s v="Analyst"/>
    <x v="1"/>
    <x v="0"/>
    <n v="1995"/>
    <n v="172"/>
    <n v="47"/>
    <n v="4"/>
    <n v="33"/>
    <x v="0"/>
  </r>
  <r>
    <s v="08-0215"/>
    <x v="1"/>
    <x v="1"/>
    <x v="3"/>
    <s v="Manager"/>
    <x v="1"/>
    <x v="2"/>
    <n v="1055"/>
    <n v="144"/>
    <n v="24"/>
    <n v="4"/>
    <n v="19"/>
    <x v="0"/>
  </r>
  <r>
    <s v="08-0216"/>
    <x v="1"/>
    <x v="3"/>
    <x v="0"/>
    <s v="Manager"/>
    <x v="0"/>
    <x v="0"/>
    <n v="1867"/>
    <n v="100"/>
    <n v="24"/>
    <n v="4"/>
    <n v="27"/>
    <x v="0"/>
  </r>
  <r>
    <s v="08-0217"/>
    <x v="1"/>
    <x v="2"/>
    <x v="3"/>
    <s v="Coordinator"/>
    <x v="1"/>
    <x v="0"/>
    <n v="1262"/>
    <n v="164"/>
    <n v="21"/>
    <n v="2"/>
    <n v="44"/>
    <x v="0"/>
  </r>
  <r>
    <s v="08-0218"/>
    <x v="1"/>
    <x v="0"/>
    <x v="3"/>
    <s v="Associate"/>
    <x v="1"/>
    <x v="0"/>
    <n v="1470"/>
    <n v="217"/>
    <n v="65"/>
    <n v="1"/>
    <n v="12"/>
    <x v="0"/>
  </r>
  <r>
    <s v="08-0219"/>
    <x v="1"/>
    <x v="2"/>
    <x v="3"/>
    <s v="Coordinator"/>
    <x v="0"/>
    <x v="0"/>
    <n v="920"/>
    <n v="151"/>
    <n v="59"/>
    <n v="1"/>
    <n v="45"/>
    <x v="0"/>
  </r>
  <r>
    <s v="08-0220"/>
    <x v="1"/>
    <x v="2"/>
    <x v="0"/>
    <s v="Associate"/>
    <x v="1"/>
    <x v="2"/>
    <n v="1871"/>
    <n v="44"/>
    <n v="64"/>
    <n v="3"/>
    <n v="55"/>
    <x v="0"/>
  </r>
  <r>
    <s v="08-0221"/>
    <x v="1"/>
    <x v="1"/>
    <x v="3"/>
    <s v="Coordinator"/>
    <x v="0"/>
    <x v="0"/>
    <n v="1056"/>
    <n v="36"/>
    <n v="27"/>
    <n v="2"/>
    <n v="12"/>
    <x v="0"/>
  </r>
  <r>
    <s v="08-0222"/>
    <x v="1"/>
    <x v="0"/>
    <x v="3"/>
    <s v="Analyst"/>
    <x v="0"/>
    <x v="2"/>
    <n v="2048"/>
    <n v="196"/>
    <n v="53"/>
    <n v="4"/>
    <n v="15"/>
    <x v="0"/>
  </r>
  <r>
    <s v="08-0223"/>
    <x v="1"/>
    <x v="1"/>
    <x v="0"/>
    <s v="Associate"/>
    <x v="0"/>
    <x v="0"/>
    <n v="1144"/>
    <n v="23"/>
    <n v="33"/>
    <n v="4"/>
    <n v="36"/>
    <x v="0"/>
  </r>
  <r>
    <s v="08-0224"/>
    <x v="1"/>
    <x v="1"/>
    <x v="0"/>
    <s v="Analyst"/>
    <x v="1"/>
    <x v="2"/>
    <n v="1810"/>
    <n v="185"/>
    <n v="43"/>
    <n v="2"/>
    <n v="7"/>
    <x v="0"/>
  </r>
  <r>
    <s v="08-0225"/>
    <x v="1"/>
    <x v="1"/>
    <x v="2"/>
    <s v="Manager"/>
    <x v="1"/>
    <x v="1"/>
    <n v="1556"/>
    <n v="36"/>
    <n v="60"/>
    <n v="3"/>
    <n v="42"/>
    <x v="0"/>
  </r>
  <r>
    <s v="08-0226"/>
    <x v="1"/>
    <x v="1"/>
    <x v="2"/>
    <s v="Manager"/>
    <x v="0"/>
    <x v="1"/>
    <n v="1559"/>
    <n v="110"/>
    <n v="59"/>
    <n v="3"/>
    <n v="2"/>
    <x v="1"/>
  </r>
  <r>
    <s v="08-0227"/>
    <x v="1"/>
    <x v="2"/>
    <x v="1"/>
    <s v="Associate"/>
    <x v="1"/>
    <x v="0"/>
    <n v="915"/>
    <n v="22"/>
    <n v="25"/>
    <n v="1"/>
    <n v="0"/>
    <x v="0"/>
  </r>
  <r>
    <s v="08-0228"/>
    <x v="1"/>
    <x v="3"/>
    <x v="4"/>
    <s v="Analyst"/>
    <x v="0"/>
    <x v="1"/>
    <n v="1184"/>
    <n v="7"/>
    <n v="43"/>
    <n v="1"/>
    <n v="45"/>
    <x v="1"/>
  </r>
  <r>
    <s v="08-0229"/>
    <x v="1"/>
    <x v="3"/>
    <x v="4"/>
    <s v="Analyst"/>
    <x v="1"/>
    <x v="0"/>
    <n v="1361"/>
    <n v="207"/>
    <n v="34"/>
    <n v="5"/>
    <n v="31"/>
    <x v="0"/>
  </r>
  <r>
    <s v="08-0230"/>
    <x v="1"/>
    <x v="2"/>
    <x v="1"/>
    <s v="Analyst"/>
    <x v="1"/>
    <x v="1"/>
    <n v="1185"/>
    <n v="126"/>
    <n v="41"/>
    <n v="2"/>
    <n v="66"/>
    <x v="0"/>
  </r>
  <r>
    <s v="08-0231"/>
    <x v="1"/>
    <x v="2"/>
    <x v="3"/>
    <s v="Analyst"/>
    <x v="1"/>
    <x v="2"/>
    <n v="1240"/>
    <n v="73"/>
    <n v="54"/>
    <n v="5"/>
    <n v="64"/>
    <x v="0"/>
  </r>
  <r>
    <s v="08-0232"/>
    <x v="1"/>
    <x v="3"/>
    <x v="3"/>
    <s v="Manager"/>
    <x v="0"/>
    <x v="0"/>
    <n v="1620"/>
    <n v="38"/>
    <n v="40"/>
    <n v="5"/>
    <n v="46"/>
    <x v="1"/>
  </r>
  <r>
    <s v="08-0233"/>
    <x v="1"/>
    <x v="3"/>
    <x v="4"/>
    <s v="Manager"/>
    <x v="0"/>
    <x v="2"/>
    <n v="1162"/>
    <n v="143"/>
    <n v="58"/>
    <n v="4"/>
    <n v="36"/>
    <x v="0"/>
  </r>
  <r>
    <s v="08-0234"/>
    <x v="1"/>
    <x v="2"/>
    <x v="0"/>
    <s v="Analyst"/>
    <x v="1"/>
    <x v="2"/>
    <n v="1655"/>
    <n v="7"/>
    <n v="19"/>
    <n v="4"/>
    <n v="81"/>
    <x v="1"/>
  </r>
  <r>
    <s v="08-0235"/>
    <x v="1"/>
    <x v="3"/>
    <x v="0"/>
    <s v="Coordinator"/>
    <x v="0"/>
    <x v="1"/>
    <n v="1436"/>
    <n v="37"/>
    <n v="63"/>
    <n v="4"/>
    <n v="29"/>
    <x v="0"/>
  </r>
  <r>
    <s v="08-0236"/>
    <x v="1"/>
    <x v="0"/>
    <x v="3"/>
    <s v="Analyst"/>
    <x v="0"/>
    <x v="0"/>
    <n v="961"/>
    <n v="31"/>
    <n v="18"/>
    <n v="2"/>
    <n v="71"/>
    <x v="0"/>
  </r>
  <r>
    <s v="08-0237"/>
    <x v="1"/>
    <x v="0"/>
    <x v="3"/>
    <s v="Coordinator"/>
    <x v="0"/>
    <x v="0"/>
    <n v="1124"/>
    <n v="118"/>
    <n v="18"/>
    <n v="4"/>
    <n v="57"/>
    <x v="0"/>
  </r>
  <r>
    <s v="08-0238"/>
    <x v="1"/>
    <x v="2"/>
    <x v="0"/>
    <s v="Manager"/>
    <x v="1"/>
    <x v="2"/>
    <n v="1263"/>
    <n v="134"/>
    <n v="18"/>
    <n v="2"/>
    <n v="70"/>
    <x v="1"/>
  </r>
  <r>
    <s v="08-0239"/>
    <x v="1"/>
    <x v="1"/>
    <x v="0"/>
    <s v="Associate"/>
    <x v="1"/>
    <x v="0"/>
    <n v="937"/>
    <n v="0"/>
    <n v="40"/>
    <n v="2"/>
    <n v="65"/>
    <x v="1"/>
  </r>
  <r>
    <s v="08-0240"/>
    <x v="1"/>
    <x v="3"/>
    <x v="1"/>
    <s v="Associate"/>
    <x v="0"/>
    <x v="2"/>
    <n v="1438"/>
    <n v="130"/>
    <n v="25"/>
    <n v="1"/>
    <n v="24"/>
    <x v="0"/>
  </r>
  <r>
    <s v="08-0241"/>
    <x v="1"/>
    <x v="1"/>
    <x v="3"/>
    <s v="Coordinator"/>
    <x v="0"/>
    <x v="0"/>
    <n v="1681"/>
    <n v="65"/>
    <n v="53"/>
    <n v="4"/>
    <n v="64"/>
    <x v="0"/>
  </r>
  <r>
    <s v="08-0242"/>
    <x v="1"/>
    <x v="0"/>
    <x v="1"/>
    <s v="Manager"/>
    <x v="0"/>
    <x v="2"/>
    <n v="1673"/>
    <n v="187"/>
    <n v="47"/>
    <n v="5"/>
    <n v="10"/>
    <x v="0"/>
  </r>
  <r>
    <s v="08-0243"/>
    <x v="1"/>
    <x v="2"/>
    <x v="3"/>
    <s v="Analyst"/>
    <x v="0"/>
    <x v="1"/>
    <n v="1780"/>
    <n v="29"/>
    <n v="46"/>
    <n v="2"/>
    <n v="52"/>
    <x v="1"/>
  </r>
  <r>
    <s v="08-0244"/>
    <x v="1"/>
    <x v="3"/>
    <x v="0"/>
    <s v="Manager"/>
    <x v="1"/>
    <x v="2"/>
    <n v="1374"/>
    <n v="112"/>
    <n v="33"/>
    <n v="5"/>
    <n v="34"/>
    <x v="0"/>
  </r>
  <r>
    <s v="08-0245"/>
    <x v="1"/>
    <x v="2"/>
    <x v="3"/>
    <s v="Analyst"/>
    <x v="1"/>
    <x v="1"/>
    <n v="2051"/>
    <n v="34"/>
    <n v="36"/>
    <n v="5"/>
    <n v="39"/>
    <x v="0"/>
  </r>
  <r>
    <s v="08-0246"/>
    <x v="1"/>
    <x v="2"/>
    <x v="3"/>
    <s v="Associate"/>
    <x v="0"/>
    <x v="0"/>
    <n v="1325"/>
    <n v="180"/>
    <n v="24"/>
    <n v="1"/>
    <n v="56"/>
    <x v="0"/>
  </r>
  <r>
    <s v="08-0247"/>
    <x v="1"/>
    <x v="2"/>
    <x v="2"/>
    <s v="Manager"/>
    <x v="0"/>
    <x v="0"/>
    <n v="1435"/>
    <n v="163"/>
    <n v="34"/>
    <n v="3"/>
    <n v="63"/>
    <x v="0"/>
  </r>
  <r>
    <s v="08-0248"/>
    <x v="1"/>
    <x v="1"/>
    <x v="2"/>
    <s v="Coordinator"/>
    <x v="0"/>
    <x v="2"/>
    <n v="1466"/>
    <n v="176"/>
    <n v="24"/>
    <n v="4"/>
    <n v="18"/>
    <x v="1"/>
  </r>
  <r>
    <s v="08-0249"/>
    <x v="1"/>
    <x v="3"/>
    <x v="4"/>
    <s v="Analyst"/>
    <x v="0"/>
    <x v="2"/>
    <n v="1910"/>
    <n v="40"/>
    <n v="58"/>
    <n v="2"/>
    <n v="15"/>
    <x v="0"/>
  </r>
  <r>
    <s v="08-0250"/>
    <x v="1"/>
    <x v="0"/>
    <x v="3"/>
    <s v="Manager"/>
    <x v="1"/>
    <x v="1"/>
    <n v="1013"/>
    <n v="47"/>
    <n v="34"/>
    <n v="5"/>
    <n v="42"/>
    <x v="0"/>
  </r>
  <r>
    <s v="08-0251"/>
    <x v="1"/>
    <x v="3"/>
    <x v="1"/>
    <s v="Analyst"/>
    <x v="1"/>
    <x v="1"/>
    <n v="1968"/>
    <n v="228"/>
    <n v="30"/>
    <n v="3"/>
    <n v="87"/>
    <x v="0"/>
  </r>
  <r>
    <s v="08-0252"/>
    <x v="1"/>
    <x v="3"/>
    <x v="2"/>
    <s v="Manager"/>
    <x v="0"/>
    <x v="0"/>
    <n v="1691"/>
    <n v="14"/>
    <n v="42"/>
    <n v="4"/>
    <n v="7"/>
    <x v="1"/>
  </r>
  <r>
    <s v="08-0253"/>
    <x v="1"/>
    <x v="2"/>
    <x v="4"/>
    <s v="Coordinator"/>
    <x v="0"/>
    <x v="0"/>
    <n v="1120"/>
    <n v="47"/>
    <n v="43"/>
    <n v="5"/>
    <n v="20"/>
    <x v="0"/>
  </r>
  <r>
    <s v="08-0254"/>
    <x v="1"/>
    <x v="0"/>
    <x v="3"/>
    <s v="Manager"/>
    <x v="1"/>
    <x v="2"/>
    <n v="2062"/>
    <n v="77"/>
    <n v="59"/>
    <n v="3"/>
    <n v="89"/>
    <x v="0"/>
  </r>
  <r>
    <s v="08-0255"/>
    <x v="1"/>
    <x v="3"/>
    <x v="1"/>
    <s v="Associate"/>
    <x v="0"/>
    <x v="0"/>
    <n v="1772"/>
    <n v="119"/>
    <n v="43"/>
    <n v="1"/>
    <n v="83"/>
    <x v="0"/>
  </r>
  <r>
    <s v="08-0256"/>
    <x v="1"/>
    <x v="3"/>
    <x v="3"/>
    <s v="Manager"/>
    <x v="0"/>
    <x v="2"/>
    <n v="1263"/>
    <n v="240"/>
    <n v="45"/>
    <n v="4"/>
    <n v="8"/>
    <x v="1"/>
  </r>
  <r>
    <s v="08-0257"/>
    <x v="1"/>
    <x v="2"/>
    <x v="2"/>
    <s v="Analyst"/>
    <x v="0"/>
    <x v="0"/>
    <n v="1147"/>
    <n v="146"/>
    <n v="63"/>
    <n v="5"/>
    <n v="43"/>
    <x v="0"/>
  </r>
  <r>
    <s v="08-0258"/>
    <x v="1"/>
    <x v="3"/>
    <x v="2"/>
    <s v="Manager"/>
    <x v="0"/>
    <x v="0"/>
    <n v="1852"/>
    <n v="34"/>
    <n v="38"/>
    <n v="4"/>
    <n v="51"/>
    <x v="0"/>
  </r>
  <r>
    <s v="08-0259"/>
    <x v="1"/>
    <x v="0"/>
    <x v="1"/>
    <s v="Associate"/>
    <x v="0"/>
    <x v="2"/>
    <n v="1269"/>
    <n v="0"/>
    <n v="51"/>
    <n v="4"/>
    <n v="45"/>
    <x v="0"/>
  </r>
  <r>
    <s v="08-0260"/>
    <x v="1"/>
    <x v="0"/>
    <x v="2"/>
    <s v="Coordinator"/>
    <x v="0"/>
    <x v="1"/>
    <n v="1118"/>
    <n v="45"/>
    <n v="44"/>
    <n v="5"/>
    <n v="23"/>
    <x v="0"/>
  </r>
  <r>
    <s v="08-0261"/>
    <x v="1"/>
    <x v="1"/>
    <x v="4"/>
    <s v="Analyst"/>
    <x v="0"/>
    <x v="0"/>
    <n v="1279"/>
    <n v="20"/>
    <n v="17"/>
    <n v="4"/>
    <n v="67"/>
    <x v="0"/>
  </r>
  <r>
    <s v="08-0262"/>
    <x v="1"/>
    <x v="3"/>
    <x v="3"/>
    <s v="Coordinator"/>
    <x v="1"/>
    <x v="2"/>
    <n v="1340"/>
    <n v="141"/>
    <n v="59"/>
    <n v="3"/>
    <n v="39"/>
    <x v="0"/>
  </r>
  <r>
    <s v="08-0263"/>
    <x v="1"/>
    <x v="0"/>
    <x v="4"/>
    <s v="Coordinator"/>
    <x v="0"/>
    <x v="1"/>
    <n v="1432"/>
    <n v="197"/>
    <n v="61"/>
    <n v="5"/>
    <n v="36"/>
    <x v="1"/>
  </r>
  <r>
    <s v="08-0264"/>
    <x v="1"/>
    <x v="0"/>
    <x v="3"/>
    <s v="Associate"/>
    <x v="0"/>
    <x v="2"/>
    <n v="1524"/>
    <n v="39"/>
    <n v="64"/>
    <n v="4"/>
    <n v="55"/>
    <x v="1"/>
  </r>
  <r>
    <s v="08-0265"/>
    <x v="1"/>
    <x v="0"/>
    <x v="3"/>
    <s v="Coordinator"/>
    <x v="1"/>
    <x v="0"/>
    <n v="1067"/>
    <n v="144"/>
    <n v="54"/>
    <n v="3"/>
    <n v="55"/>
    <x v="0"/>
  </r>
  <r>
    <s v="08-0266"/>
    <x v="1"/>
    <x v="3"/>
    <x v="2"/>
    <s v="Manager"/>
    <x v="1"/>
    <x v="0"/>
    <n v="1109"/>
    <n v="129"/>
    <n v="33"/>
    <n v="3"/>
    <n v="73"/>
    <x v="0"/>
  </r>
  <r>
    <s v="08-0267"/>
    <x v="1"/>
    <x v="1"/>
    <x v="4"/>
    <s v="Associate"/>
    <x v="0"/>
    <x v="0"/>
    <n v="1896"/>
    <n v="113"/>
    <n v="50"/>
    <n v="2"/>
    <n v="14"/>
    <x v="0"/>
  </r>
  <r>
    <s v="08-0268"/>
    <x v="1"/>
    <x v="1"/>
    <x v="4"/>
    <s v="Associate"/>
    <x v="1"/>
    <x v="0"/>
    <n v="910"/>
    <n v="14"/>
    <n v="56"/>
    <n v="3"/>
    <n v="38"/>
    <x v="0"/>
  </r>
  <r>
    <s v="08-0269"/>
    <x v="1"/>
    <x v="2"/>
    <x v="4"/>
    <s v="Manager"/>
    <x v="1"/>
    <x v="1"/>
    <n v="1506"/>
    <n v="190"/>
    <n v="46"/>
    <n v="2"/>
    <n v="83"/>
    <x v="1"/>
  </r>
  <r>
    <s v="08-0270"/>
    <x v="1"/>
    <x v="1"/>
    <x v="2"/>
    <s v="Analyst"/>
    <x v="1"/>
    <x v="0"/>
    <n v="1205"/>
    <n v="157"/>
    <n v="23"/>
    <n v="4"/>
    <n v="39"/>
    <x v="0"/>
  </r>
  <r>
    <s v="08-0271"/>
    <x v="1"/>
    <x v="3"/>
    <x v="2"/>
    <s v="Manager"/>
    <x v="0"/>
    <x v="1"/>
    <n v="933"/>
    <n v="68"/>
    <n v="27"/>
    <n v="4"/>
    <n v="82"/>
    <x v="1"/>
  </r>
  <r>
    <s v="08-0272"/>
    <x v="1"/>
    <x v="1"/>
    <x v="4"/>
    <s v="Associate"/>
    <x v="0"/>
    <x v="2"/>
    <n v="1121"/>
    <n v="204"/>
    <n v="58"/>
    <n v="3"/>
    <n v="16"/>
    <x v="1"/>
  </r>
  <r>
    <s v="08-0273"/>
    <x v="1"/>
    <x v="3"/>
    <x v="4"/>
    <s v="Analyst"/>
    <x v="0"/>
    <x v="1"/>
    <n v="1373"/>
    <n v="199"/>
    <n v="50"/>
    <n v="2"/>
    <n v="83"/>
    <x v="0"/>
  </r>
  <r>
    <s v="08-0274"/>
    <x v="1"/>
    <x v="1"/>
    <x v="2"/>
    <s v="Associate"/>
    <x v="0"/>
    <x v="1"/>
    <n v="1091"/>
    <n v="179"/>
    <n v="44"/>
    <n v="1"/>
    <n v="81"/>
    <x v="0"/>
  </r>
  <r>
    <s v="08-0275"/>
    <x v="1"/>
    <x v="3"/>
    <x v="3"/>
    <s v="Analyst"/>
    <x v="1"/>
    <x v="0"/>
    <n v="1070"/>
    <n v="5"/>
    <n v="36"/>
    <n v="4"/>
    <n v="27"/>
    <x v="1"/>
  </r>
  <r>
    <s v="08-0276"/>
    <x v="1"/>
    <x v="3"/>
    <x v="3"/>
    <s v="Associate"/>
    <x v="1"/>
    <x v="1"/>
    <n v="1757"/>
    <n v="166"/>
    <n v="64"/>
    <n v="3"/>
    <n v="4"/>
    <x v="0"/>
  </r>
  <r>
    <s v="08-0277"/>
    <x v="1"/>
    <x v="2"/>
    <x v="0"/>
    <s v="Associate"/>
    <x v="0"/>
    <x v="0"/>
    <n v="1047"/>
    <n v="138"/>
    <n v="42"/>
    <n v="2"/>
    <n v="71"/>
    <x v="1"/>
  </r>
  <r>
    <s v="08-0278"/>
    <x v="1"/>
    <x v="2"/>
    <x v="4"/>
    <s v="Manager"/>
    <x v="0"/>
    <x v="1"/>
    <n v="1169"/>
    <n v="188"/>
    <n v="47"/>
    <n v="4"/>
    <n v="74"/>
    <x v="0"/>
  </r>
  <r>
    <s v="08-0279"/>
    <x v="1"/>
    <x v="2"/>
    <x v="1"/>
    <s v="Associate"/>
    <x v="0"/>
    <x v="1"/>
    <n v="1582"/>
    <n v="99"/>
    <n v="22"/>
    <n v="5"/>
    <n v="26"/>
    <x v="0"/>
  </r>
  <r>
    <s v="08-0280"/>
    <x v="1"/>
    <x v="3"/>
    <x v="2"/>
    <s v="Analyst"/>
    <x v="1"/>
    <x v="2"/>
    <n v="1436"/>
    <n v="236"/>
    <n v="41"/>
    <n v="5"/>
    <n v="6"/>
    <x v="0"/>
  </r>
  <r>
    <s v="08-0281"/>
    <x v="1"/>
    <x v="0"/>
    <x v="0"/>
    <s v="Analyst"/>
    <x v="0"/>
    <x v="2"/>
    <n v="1224"/>
    <n v="246"/>
    <n v="53"/>
    <n v="1"/>
    <n v="17"/>
    <x v="0"/>
  </r>
  <r>
    <s v="08-0282"/>
    <x v="1"/>
    <x v="3"/>
    <x v="0"/>
    <s v="Analyst"/>
    <x v="0"/>
    <x v="2"/>
    <n v="1612"/>
    <n v="46"/>
    <n v="56"/>
    <n v="1"/>
    <n v="86"/>
    <x v="1"/>
  </r>
  <r>
    <s v="08-0283"/>
    <x v="1"/>
    <x v="1"/>
    <x v="3"/>
    <s v="Coordinator"/>
    <x v="0"/>
    <x v="0"/>
    <n v="1477"/>
    <n v="85"/>
    <n v="47"/>
    <n v="3"/>
    <n v="38"/>
    <x v="0"/>
  </r>
  <r>
    <s v="08-0284"/>
    <x v="1"/>
    <x v="0"/>
    <x v="0"/>
    <s v="Analyst"/>
    <x v="0"/>
    <x v="2"/>
    <n v="1241"/>
    <n v="45"/>
    <n v="41"/>
    <n v="4"/>
    <n v="26"/>
    <x v="0"/>
  </r>
  <r>
    <s v="08-0285"/>
    <x v="1"/>
    <x v="1"/>
    <x v="2"/>
    <s v="Manager"/>
    <x v="0"/>
    <x v="0"/>
    <n v="1040"/>
    <n v="178"/>
    <n v="50"/>
    <n v="2"/>
    <n v="1"/>
    <x v="0"/>
  </r>
  <r>
    <s v="08-0286"/>
    <x v="1"/>
    <x v="1"/>
    <x v="2"/>
    <s v="Associate"/>
    <x v="1"/>
    <x v="1"/>
    <n v="1756"/>
    <n v="196"/>
    <n v="19"/>
    <n v="2"/>
    <n v="87"/>
    <x v="0"/>
  </r>
  <r>
    <s v="08-0287"/>
    <x v="1"/>
    <x v="0"/>
    <x v="2"/>
    <s v="Manager"/>
    <x v="1"/>
    <x v="2"/>
    <n v="2007"/>
    <n v="213"/>
    <n v="64"/>
    <n v="5"/>
    <n v="12"/>
    <x v="1"/>
  </r>
  <r>
    <s v="08-0288"/>
    <x v="1"/>
    <x v="2"/>
    <x v="2"/>
    <s v="Analyst"/>
    <x v="0"/>
    <x v="0"/>
    <n v="1155"/>
    <n v="177"/>
    <n v="53"/>
    <n v="2"/>
    <n v="38"/>
    <x v="0"/>
  </r>
  <r>
    <s v="08-0289"/>
    <x v="1"/>
    <x v="0"/>
    <x v="0"/>
    <s v="Associate"/>
    <x v="1"/>
    <x v="0"/>
    <n v="1642"/>
    <n v="246"/>
    <n v="65"/>
    <n v="1"/>
    <n v="32"/>
    <x v="0"/>
  </r>
  <r>
    <s v="08-0290"/>
    <x v="1"/>
    <x v="2"/>
    <x v="0"/>
    <s v="Analyst"/>
    <x v="1"/>
    <x v="0"/>
    <n v="1181"/>
    <n v="90"/>
    <n v="56"/>
    <n v="1"/>
    <n v="10"/>
    <x v="0"/>
  </r>
  <r>
    <s v="08-0291"/>
    <x v="1"/>
    <x v="2"/>
    <x v="2"/>
    <s v="Manager"/>
    <x v="1"/>
    <x v="2"/>
    <n v="1682"/>
    <n v="30"/>
    <n v="51"/>
    <n v="2"/>
    <n v="13"/>
    <x v="0"/>
  </r>
  <r>
    <s v="08-0292"/>
    <x v="1"/>
    <x v="1"/>
    <x v="1"/>
    <s v="Manager"/>
    <x v="1"/>
    <x v="1"/>
    <n v="982"/>
    <n v="84"/>
    <n v="60"/>
    <n v="1"/>
    <n v="81"/>
    <x v="1"/>
  </r>
  <r>
    <s v="08-0293"/>
    <x v="1"/>
    <x v="2"/>
    <x v="2"/>
    <s v="Manager"/>
    <x v="0"/>
    <x v="1"/>
    <n v="1095"/>
    <n v="106"/>
    <n v="46"/>
    <n v="5"/>
    <n v="38"/>
    <x v="0"/>
  </r>
  <r>
    <s v="08-0294"/>
    <x v="1"/>
    <x v="3"/>
    <x v="0"/>
    <s v="Analyst"/>
    <x v="1"/>
    <x v="2"/>
    <n v="1541"/>
    <n v="8"/>
    <n v="44"/>
    <n v="2"/>
    <n v="39"/>
    <x v="0"/>
  </r>
  <r>
    <s v="08-0295"/>
    <x v="1"/>
    <x v="2"/>
    <x v="2"/>
    <s v="Coordinator"/>
    <x v="1"/>
    <x v="2"/>
    <n v="1068"/>
    <n v="11"/>
    <n v="40"/>
    <n v="2"/>
    <n v="65"/>
    <x v="0"/>
  </r>
  <r>
    <s v="08-0296"/>
    <x v="1"/>
    <x v="0"/>
    <x v="1"/>
    <s v="Coordinator"/>
    <x v="1"/>
    <x v="0"/>
    <n v="1944"/>
    <n v="222"/>
    <n v="62"/>
    <n v="3"/>
    <n v="34"/>
    <x v="0"/>
  </r>
  <r>
    <s v="08-0297"/>
    <x v="1"/>
    <x v="1"/>
    <x v="4"/>
    <s v="Coordinator"/>
    <x v="1"/>
    <x v="2"/>
    <n v="1680"/>
    <n v="85"/>
    <n v="19"/>
    <n v="1"/>
    <n v="9"/>
    <x v="0"/>
  </r>
  <r>
    <s v="08-0298"/>
    <x v="1"/>
    <x v="0"/>
    <x v="0"/>
    <s v="Analyst"/>
    <x v="1"/>
    <x v="1"/>
    <n v="1275"/>
    <n v="230"/>
    <n v="38"/>
    <n v="4"/>
    <n v="74"/>
    <x v="0"/>
  </r>
  <r>
    <s v="08-0299"/>
    <x v="1"/>
    <x v="3"/>
    <x v="2"/>
    <s v="Associate"/>
    <x v="1"/>
    <x v="0"/>
    <n v="1324"/>
    <n v="116"/>
    <n v="29"/>
    <n v="3"/>
    <n v="60"/>
    <x v="1"/>
  </r>
  <r>
    <s v="08-0300"/>
    <x v="1"/>
    <x v="2"/>
    <x v="1"/>
    <s v="Analyst"/>
    <x v="1"/>
    <x v="1"/>
    <n v="1844"/>
    <n v="130"/>
    <n v="22"/>
    <n v="1"/>
    <n v="6"/>
    <x v="0"/>
  </r>
  <r>
    <s v="08-0301"/>
    <x v="1"/>
    <x v="1"/>
    <x v="4"/>
    <s v="Manager"/>
    <x v="0"/>
    <x v="2"/>
    <n v="1662"/>
    <n v="118"/>
    <n v="32"/>
    <n v="3"/>
    <n v="14"/>
    <x v="0"/>
  </r>
  <r>
    <s v="08-0302"/>
    <x v="1"/>
    <x v="3"/>
    <x v="1"/>
    <s v="Analyst"/>
    <x v="0"/>
    <x v="1"/>
    <n v="2051"/>
    <n v="96"/>
    <n v="48"/>
    <n v="2"/>
    <n v="27"/>
    <x v="0"/>
  </r>
  <r>
    <s v="08-0303"/>
    <x v="1"/>
    <x v="2"/>
    <x v="2"/>
    <s v="Associate"/>
    <x v="1"/>
    <x v="1"/>
    <n v="1144"/>
    <n v="175"/>
    <n v="22"/>
    <n v="2"/>
    <n v="22"/>
    <x v="0"/>
  </r>
  <r>
    <s v="08-0304"/>
    <x v="1"/>
    <x v="2"/>
    <x v="1"/>
    <s v="Associate"/>
    <x v="1"/>
    <x v="1"/>
    <n v="996"/>
    <n v="45"/>
    <n v="48"/>
    <n v="2"/>
    <n v="28"/>
    <x v="0"/>
  </r>
  <r>
    <s v="08-0305"/>
    <x v="1"/>
    <x v="3"/>
    <x v="3"/>
    <s v="Coordinator"/>
    <x v="0"/>
    <x v="2"/>
    <n v="1582"/>
    <n v="113"/>
    <n v="26"/>
    <n v="1"/>
    <n v="29"/>
    <x v="0"/>
  </r>
  <r>
    <s v="08-0306"/>
    <x v="1"/>
    <x v="2"/>
    <x v="3"/>
    <s v="Associate"/>
    <x v="0"/>
    <x v="0"/>
    <n v="1680"/>
    <n v="73"/>
    <n v="61"/>
    <n v="1"/>
    <n v="45"/>
    <x v="1"/>
  </r>
  <r>
    <s v="08-0307"/>
    <x v="1"/>
    <x v="3"/>
    <x v="1"/>
    <s v="Associate"/>
    <x v="0"/>
    <x v="0"/>
    <n v="1895"/>
    <n v="53"/>
    <n v="60"/>
    <n v="4"/>
    <n v="29"/>
    <x v="0"/>
  </r>
  <r>
    <s v="08-0308"/>
    <x v="1"/>
    <x v="1"/>
    <x v="1"/>
    <s v="Coordinator"/>
    <x v="1"/>
    <x v="1"/>
    <n v="1618"/>
    <n v="178"/>
    <n v="18"/>
    <n v="2"/>
    <n v="43"/>
    <x v="0"/>
  </r>
  <r>
    <s v="08-0309"/>
    <x v="1"/>
    <x v="2"/>
    <x v="1"/>
    <s v="Analyst"/>
    <x v="0"/>
    <x v="0"/>
    <n v="1371"/>
    <n v="95"/>
    <n v="56"/>
    <n v="4"/>
    <n v="78"/>
    <x v="0"/>
  </r>
  <r>
    <s v="08-0310"/>
    <x v="1"/>
    <x v="1"/>
    <x v="4"/>
    <s v="Associate"/>
    <x v="0"/>
    <x v="2"/>
    <n v="1347"/>
    <n v="194"/>
    <n v="21"/>
    <n v="4"/>
    <n v="76"/>
    <x v="0"/>
  </r>
  <r>
    <s v="08-0311"/>
    <x v="1"/>
    <x v="2"/>
    <x v="2"/>
    <s v="Associate"/>
    <x v="1"/>
    <x v="1"/>
    <n v="985"/>
    <n v="118"/>
    <n v="33"/>
    <n v="3"/>
    <n v="41"/>
    <x v="0"/>
  </r>
  <r>
    <s v="08-0312"/>
    <x v="1"/>
    <x v="2"/>
    <x v="4"/>
    <s v="Coordinator"/>
    <x v="0"/>
    <x v="2"/>
    <n v="1660"/>
    <n v="70"/>
    <n v="64"/>
    <n v="2"/>
    <n v="4"/>
    <x v="0"/>
  </r>
  <r>
    <s v="08-0313"/>
    <x v="1"/>
    <x v="0"/>
    <x v="4"/>
    <s v="Manager"/>
    <x v="0"/>
    <x v="2"/>
    <n v="909"/>
    <n v="64"/>
    <n v="42"/>
    <n v="2"/>
    <n v="26"/>
    <x v="0"/>
  </r>
  <r>
    <s v="08-0314"/>
    <x v="1"/>
    <x v="2"/>
    <x v="2"/>
    <s v="Coordinator"/>
    <x v="1"/>
    <x v="1"/>
    <n v="1307"/>
    <n v="142"/>
    <n v="60"/>
    <n v="1"/>
    <n v="0"/>
    <x v="0"/>
  </r>
  <r>
    <s v="08-0315"/>
    <x v="1"/>
    <x v="0"/>
    <x v="3"/>
    <s v="Analyst"/>
    <x v="0"/>
    <x v="2"/>
    <n v="1875"/>
    <n v="88"/>
    <n v="39"/>
    <n v="4"/>
    <n v="64"/>
    <x v="0"/>
  </r>
  <r>
    <s v="08-0316"/>
    <x v="1"/>
    <x v="3"/>
    <x v="4"/>
    <s v="Manager"/>
    <x v="1"/>
    <x v="1"/>
    <n v="1195"/>
    <n v="66"/>
    <n v="65"/>
    <n v="2"/>
    <n v="28"/>
    <x v="0"/>
  </r>
  <r>
    <s v="08-0317"/>
    <x v="1"/>
    <x v="3"/>
    <x v="1"/>
    <s v="Associate"/>
    <x v="1"/>
    <x v="2"/>
    <n v="1352"/>
    <n v="44"/>
    <n v="49"/>
    <n v="4"/>
    <n v="38"/>
    <x v="0"/>
  </r>
  <r>
    <s v="08-0318"/>
    <x v="1"/>
    <x v="2"/>
    <x v="2"/>
    <s v="Analyst"/>
    <x v="1"/>
    <x v="0"/>
    <n v="1480"/>
    <n v="235"/>
    <n v="62"/>
    <n v="1"/>
    <n v="89"/>
    <x v="0"/>
  </r>
  <r>
    <s v="08-0319"/>
    <x v="1"/>
    <x v="3"/>
    <x v="0"/>
    <s v="Coordinator"/>
    <x v="1"/>
    <x v="1"/>
    <n v="949"/>
    <n v="163"/>
    <n v="55"/>
    <n v="4"/>
    <n v="48"/>
    <x v="0"/>
  </r>
  <r>
    <s v="08-0320"/>
    <x v="1"/>
    <x v="1"/>
    <x v="4"/>
    <s v="Manager"/>
    <x v="0"/>
    <x v="1"/>
    <n v="1335"/>
    <n v="196"/>
    <n v="29"/>
    <n v="4"/>
    <n v="21"/>
    <x v="0"/>
  </r>
  <r>
    <s v="08-0321"/>
    <x v="1"/>
    <x v="0"/>
    <x v="0"/>
    <s v="Associate"/>
    <x v="1"/>
    <x v="1"/>
    <n v="1240"/>
    <n v="135"/>
    <n v="45"/>
    <n v="5"/>
    <n v="64"/>
    <x v="1"/>
  </r>
  <r>
    <s v="08-0322"/>
    <x v="1"/>
    <x v="2"/>
    <x v="0"/>
    <s v="Manager"/>
    <x v="0"/>
    <x v="2"/>
    <n v="2092"/>
    <n v="158"/>
    <n v="59"/>
    <n v="2"/>
    <n v="39"/>
    <x v="0"/>
  </r>
  <r>
    <s v="08-0323"/>
    <x v="1"/>
    <x v="0"/>
    <x v="0"/>
    <s v="Coordinator"/>
    <x v="0"/>
    <x v="1"/>
    <n v="1864"/>
    <n v="128"/>
    <n v="39"/>
    <n v="3"/>
    <n v="78"/>
    <x v="0"/>
  </r>
  <r>
    <s v="08-0324"/>
    <x v="1"/>
    <x v="2"/>
    <x v="4"/>
    <s v="Manager"/>
    <x v="0"/>
    <x v="0"/>
    <n v="1191"/>
    <n v="107"/>
    <n v="30"/>
    <n v="1"/>
    <n v="30"/>
    <x v="0"/>
  </r>
  <r>
    <s v="08-0325"/>
    <x v="1"/>
    <x v="0"/>
    <x v="2"/>
    <s v="Associate"/>
    <x v="1"/>
    <x v="0"/>
    <n v="914"/>
    <n v="175"/>
    <n v="20"/>
    <n v="4"/>
    <n v="70"/>
    <x v="1"/>
  </r>
  <r>
    <s v="08-0326"/>
    <x v="1"/>
    <x v="0"/>
    <x v="2"/>
    <s v="Analyst"/>
    <x v="0"/>
    <x v="2"/>
    <n v="1018"/>
    <n v="126"/>
    <n v="38"/>
    <n v="3"/>
    <n v="20"/>
    <x v="0"/>
  </r>
  <r>
    <s v="08-0327"/>
    <x v="1"/>
    <x v="2"/>
    <x v="4"/>
    <s v="Associate"/>
    <x v="1"/>
    <x v="2"/>
    <n v="1410"/>
    <n v="230"/>
    <n v="64"/>
    <n v="1"/>
    <n v="23"/>
    <x v="0"/>
  </r>
  <r>
    <s v="08-0328"/>
    <x v="1"/>
    <x v="0"/>
    <x v="4"/>
    <s v="Analyst"/>
    <x v="1"/>
    <x v="1"/>
    <n v="1047"/>
    <n v="231"/>
    <n v="42"/>
    <n v="4"/>
    <n v="60"/>
    <x v="0"/>
  </r>
  <r>
    <s v="08-0329"/>
    <x v="1"/>
    <x v="2"/>
    <x v="2"/>
    <s v="Analyst"/>
    <x v="1"/>
    <x v="2"/>
    <n v="1449"/>
    <n v="190"/>
    <n v="28"/>
    <n v="3"/>
    <n v="49"/>
    <x v="0"/>
  </r>
  <r>
    <s v="08-0330"/>
    <x v="1"/>
    <x v="3"/>
    <x v="1"/>
    <s v="Analyst"/>
    <x v="0"/>
    <x v="0"/>
    <n v="1552"/>
    <n v="168"/>
    <n v="32"/>
    <n v="2"/>
    <n v="56"/>
    <x v="0"/>
  </r>
  <r>
    <s v="08-0331"/>
    <x v="1"/>
    <x v="0"/>
    <x v="4"/>
    <s v="Analyst"/>
    <x v="0"/>
    <x v="0"/>
    <n v="1671"/>
    <n v="119"/>
    <n v="60"/>
    <n v="1"/>
    <n v="82"/>
    <x v="0"/>
  </r>
  <r>
    <s v="08-0332"/>
    <x v="1"/>
    <x v="1"/>
    <x v="1"/>
    <s v="Coordinator"/>
    <x v="1"/>
    <x v="1"/>
    <n v="1065"/>
    <n v="192"/>
    <n v="17"/>
    <n v="4"/>
    <n v="9"/>
    <x v="1"/>
  </r>
  <r>
    <s v="08-0333"/>
    <x v="1"/>
    <x v="0"/>
    <x v="1"/>
    <s v="Coordinator"/>
    <x v="1"/>
    <x v="2"/>
    <n v="1422"/>
    <n v="116"/>
    <n v="23"/>
    <n v="5"/>
    <n v="29"/>
    <x v="0"/>
  </r>
  <r>
    <s v="08-0334"/>
    <x v="1"/>
    <x v="3"/>
    <x v="1"/>
    <s v="Associate"/>
    <x v="1"/>
    <x v="1"/>
    <n v="1458"/>
    <n v="97"/>
    <n v="32"/>
    <n v="5"/>
    <n v="10"/>
    <x v="0"/>
  </r>
  <r>
    <s v="08-0335"/>
    <x v="1"/>
    <x v="1"/>
    <x v="2"/>
    <s v="Manager"/>
    <x v="0"/>
    <x v="1"/>
    <n v="1542"/>
    <n v="43"/>
    <n v="22"/>
    <n v="4"/>
    <n v="53"/>
    <x v="0"/>
  </r>
  <r>
    <s v="08-0336"/>
    <x v="1"/>
    <x v="1"/>
    <x v="4"/>
    <s v="Associate"/>
    <x v="1"/>
    <x v="0"/>
    <n v="1898"/>
    <n v="24"/>
    <n v="37"/>
    <n v="5"/>
    <n v="70"/>
    <x v="0"/>
  </r>
  <r>
    <s v="08-0337"/>
    <x v="1"/>
    <x v="3"/>
    <x v="3"/>
    <s v="Manager"/>
    <x v="0"/>
    <x v="2"/>
    <n v="1156"/>
    <n v="109"/>
    <n v="61"/>
    <n v="2"/>
    <n v="65"/>
    <x v="0"/>
  </r>
  <r>
    <s v="08-0338"/>
    <x v="1"/>
    <x v="1"/>
    <x v="3"/>
    <s v="Associate"/>
    <x v="1"/>
    <x v="2"/>
    <n v="1642"/>
    <n v="243"/>
    <n v="29"/>
    <n v="3"/>
    <n v="16"/>
    <x v="0"/>
  </r>
  <r>
    <s v="08-0339"/>
    <x v="1"/>
    <x v="1"/>
    <x v="1"/>
    <s v="Coordinator"/>
    <x v="0"/>
    <x v="0"/>
    <n v="1386"/>
    <n v="207"/>
    <n v="30"/>
    <n v="2"/>
    <n v="2"/>
    <x v="0"/>
  </r>
  <r>
    <s v="08-0340"/>
    <x v="1"/>
    <x v="1"/>
    <x v="2"/>
    <s v="Manager"/>
    <x v="0"/>
    <x v="0"/>
    <n v="1907"/>
    <n v="79"/>
    <n v="43"/>
    <n v="2"/>
    <n v="14"/>
    <x v="1"/>
  </r>
  <r>
    <s v="08-0341"/>
    <x v="1"/>
    <x v="1"/>
    <x v="1"/>
    <s v="Manager"/>
    <x v="0"/>
    <x v="1"/>
    <n v="1525"/>
    <n v="24"/>
    <n v="36"/>
    <n v="1"/>
    <n v="28"/>
    <x v="1"/>
  </r>
  <r>
    <s v="08-0342"/>
    <x v="1"/>
    <x v="2"/>
    <x v="1"/>
    <s v="Associate"/>
    <x v="0"/>
    <x v="2"/>
    <n v="1098"/>
    <n v="121"/>
    <n v="54"/>
    <n v="1"/>
    <n v="28"/>
    <x v="0"/>
  </r>
  <r>
    <s v="08-0343"/>
    <x v="1"/>
    <x v="1"/>
    <x v="1"/>
    <s v="Manager"/>
    <x v="1"/>
    <x v="1"/>
    <n v="2079"/>
    <n v="105"/>
    <n v="45"/>
    <n v="1"/>
    <n v="38"/>
    <x v="0"/>
  </r>
  <r>
    <s v="08-0344"/>
    <x v="1"/>
    <x v="3"/>
    <x v="2"/>
    <s v="Manager"/>
    <x v="1"/>
    <x v="1"/>
    <n v="1589"/>
    <n v="52"/>
    <n v="48"/>
    <n v="2"/>
    <n v="14"/>
    <x v="0"/>
  </r>
  <r>
    <s v="08-0345"/>
    <x v="1"/>
    <x v="2"/>
    <x v="3"/>
    <s v="Analyst"/>
    <x v="0"/>
    <x v="2"/>
    <n v="1561"/>
    <n v="33"/>
    <n v="19"/>
    <n v="3"/>
    <n v="49"/>
    <x v="0"/>
  </r>
  <r>
    <s v="08-0346"/>
    <x v="1"/>
    <x v="3"/>
    <x v="4"/>
    <s v="Manager"/>
    <x v="1"/>
    <x v="0"/>
    <n v="1460"/>
    <n v="3"/>
    <n v="43"/>
    <n v="5"/>
    <n v="7"/>
    <x v="0"/>
  </r>
  <r>
    <s v="08-0347"/>
    <x v="1"/>
    <x v="3"/>
    <x v="3"/>
    <s v="Associate"/>
    <x v="1"/>
    <x v="2"/>
    <n v="1630"/>
    <n v="142"/>
    <n v="22"/>
    <n v="3"/>
    <n v="58"/>
    <x v="1"/>
  </r>
  <r>
    <s v="08-0348"/>
    <x v="1"/>
    <x v="1"/>
    <x v="2"/>
    <s v="Coordinator"/>
    <x v="1"/>
    <x v="2"/>
    <n v="2093"/>
    <n v="151"/>
    <n v="42"/>
    <n v="3"/>
    <n v="31"/>
    <x v="0"/>
  </r>
  <r>
    <s v="08-0349"/>
    <x v="1"/>
    <x v="1"/>
    <x v="4"/>
    <s v="Coordinator"/>
    <x v="0"/>
    <x v="2"/>
    <n v="1781"/>
    <n v="79"/>
    <n v="60"/>
    <n v="4"/>
    <n v="85"/>
    <x v="1"/>
  </r>
  <r>
    <s v="08-0350"/>
    <x v="1"/>
    <x v="2"/>
    <x v="4"/>
    <s v="Analyst"/>
    <x v="0"/>
    <x v="1"/>
    <n v="1602"/>
    <n v="175"/>
    <n v="57"/>
    <n v="2"/>
    <n v="18"/>
    <x v="0"/>
  </r>
  <r>
    <s v="08-0351"/>
    <x v="1"/>
    <x v="2"/>
    <x v="2"/>
    <s v="Coordinator"/>
    <x v="0"/>
    <x v="2"/>
    <n v="1243"/>
    <n v="177"/>
    <n v="27"/>
    <n v="1"/>
    <n v="72"/>
    <x v="0"/>
  </r>
  <r>
    <s v="08-0352"/>
    <x v="1"/>
    <x v="3"/>
    <x v="2"/>
    <s v="Manager"/>
    <x v="0"/>
    <x v="1"/>
    <n v="1822"/>
    <n v="208"/>
    <n v="18"/>
    <n v="1"/>
    <n v="6"/>
    <x v="0"/>
  </r>
  <r>
    <s v="08-0353"/>
    <x v="1"/>
    <x v="3"/>
    <x v="0"/>
    <s v="Analyst"/>
    <x v="1"/>
    <x v="0"/>
    <n v="1238"/>
    <n v="244"/>
    <n v="65"/>
    <n v="4"/>
    <n v="0"/>
    <x v="0"/>
  </r>
  <r>
    <s v="08-0354"/>
    <x v="1"/>
    <x v="0"/>
    <x v="1"/>
    <s v="Manager"/>
    <x v="0"/>
    <x v="2"/>
    <n v="1449"/>
    <n v="231"/>
    <n v="40"/>
    <n v="4"/>
    <n v="69"/>
    <x v="1"/>
  </r>
  <r>
    <s v="08-0355"/>
    <x v="1"/>
    <x v="2"/>
    <x v="1"/>
    <s v="Manager"/>
    <x v="0"/>
    <x v="2"/>
    <n v="1772"/>
    <n v="221"/>
    <n v="45"/>
    <n v="5"/>
    <n v="89"/>
    <x v="1"/>
  </r>
  <r>
    <s v="08-0356"/>
    <x v="1"/>
    <x v="2"/>
    <x v="1"/>
    <s v="Analyst"/>
    <x v="0"/>
    <x v="2"/>
    <n v="1427"/>
    <n v="115"/>
    <n v="40"/>
    <n v="4"/>
    <n v="12"/>
    <x v="1"/>
  </r>
  <r>
    <s v="08-0357"/>
    <x v="1"/>
    <x v="2"/>
    <x v="2"/>
    <s v="Analyst"/>
    <x v="1"/>
    <x v="0"/>
    <n v="1840"/>
    <n v="129"/>
    <n v="31"/>
    <n v="4"/>
    <n v="21"/>
    <x v="1"/>
  </r>
  <r>
    <s v="08-0358"/>
    <x v="1"/>
    <x v="0"/>
    <x v="2"/>
    <s v="Analyst"/>
    <x v="1"/>
    <x v="1"/>
    <n v="2021"/>
    <n v="68"/>
    <n v="44"/>
    <n v="4"/>
    <n v="7"/>
    <x v="0"/>
  </r>
  <r>
    <s v="08-0359"/>
    <x v="1"/>
    <x v="3"/>
    <x v="0"/>
    <s v="Coordinator"/>
    <x v="0"/>
    <x v="1"/>
    <n v="1861"/>
    <n v="35"/>
    <n v="38"/>
    <n v="5"/>
    <n v="30"/>
    <x v="0"/>
  </r>
  <r>
    <s v="08-0360"/>
    <x v="1"/>
    <x v="0"/>
    <x v="2"/>
    <s v="Coordinator"/>
    <x v="0"/>
    <x v="0"/>
    <n v="1369"/>
    <n v="42"/>
    <n v="27"/>
    <n v="1"/>
    <n v="14"/>
    <x v="0"/>
  </r>
  <r>
    <s v="08-0361"/>
    <x v="1"/>
    <x v="1"/>
    <x v="1"/>
    <s v="Associate"/>
    <x v="0"/>
    <x v="0"/>
    <n v="1318"/>
    <n v="183"/>
    <n v="22"/>
    <n v="5"/>
    <n v="82"/>
    <x v="0"/>
  </r>
  <r>
    <s v="08-0362"/>
    <x v="1"/>
    <x v="0"/>
    <x v="4"/>
    <s v="Analyst"/>
    <x v="1"/>
    <x v="0"/>
    <n v="1061"/>
    <n v="46"/>
    <n v="35"/>
    <n v="4"/>
    <n v="83"/>
    <x v="1"/>
  </r>
  <r>
    <s v="08-0363"/>
    <x v="1"/>
    <x v="3"/>
    <x v="4"/>
    <s v="Manager"/>
    <x v="1"/>
    <x v="2"/>
    <n v="925"/>
    <n v="230"/>
    <n v="46"/>
    <n v="2"/>
    <n v="85"/>
    <x v="0"/>
  </r>
  <r>
    <s v="08-0364"/>
    <x v="1"/>
    <x v="3"/>
    <x v="4"/>
    <s v="Analyst"/>
    <x v="1"/>
    <x v="2"/>
    <n v="1753"/>
    <n v="160"/>
    <n v="18"/>
    <n v="5"/>
    <n v="6"/>
    <x v="0"/>
  </r>
  <r>
    <s v="08-0365"/>
    <x v="1"/>
    <x v="0"/>
    <x v="2"/>
    <s v="Analyst"/>
    <x v="0"/>
    <x v="1"/>
    <n v="1011"/>
    <n v="213"/>
    <n v="40"/>
    <n v="1"/>
    <n v="84"/>
    <x v="0"/>
  </r>
  <r>
    <s v="08-0366"/>
    <x v="1"/>
    <x v="0"/>
    <x v="1"/>
    <s v="Analyst"/>
    <x v="1"/>
    <x v="0"/>
    <n v="1904"/>
    <n v="104"/>
    <n v="41"/>
    <n v="5"/>
    <n v="84"/>
    <x v="0"/>
  </r>
  <r>
    <s v="08-0367"/>
    <x v="1"/>
    <x v="2"/>
    <x v="0"/>
    <s v="Coordinator"/>
    <x v="0"/>
    <x v="2"/>
    <n v="2042"/>
    <n v="241"/>
    <n v="28"/>
    <n v="4"/>
    <n v="87"/>
    <x v="0"/>
  </r>
  <r>
    <s v="08-0368"/>
    <x v="1"/>
    <x v="1"/>
    <x v="1"/>
    <s v="Coordinator"/>
    <x v="0"/>
    <x v="2"/>
    <n v="1228"/>
    <n v="215"/>
    <n v="53"/>
    <n v="5"/>
    <n v="7"/>
    <x v="0"/>
  </r>
  <r>
    <s v="08-0369"/>
    <x v="1"/>
    <x v="2"/>
    <x v="0"/>
    <s v="Associate"/>
    <x v="0"/>
    <x v="1"/>
    <n v="2039"/>
    <n v="118"/>
    <n v="27"/>
    <n v="3"/>
    <n v="65"/>
    <x v="0"/>
  </r>
  <r>
    <s v="08-0370"/>
    <x v="1"/>
    <x v="1"/>
    <x v="3"/>
    <s v="Manager"/>
    <x v="1"/>
    <x v="1"/>
    <n v="1902"/>
    <n v="175"/>
    <n v="24"/>
    <n v="1"/>
    <n v="64"/>
    <x v="0"/>
  </r>
  <r>
    <s v="08-0371"/>
    <x v="1"/>
    <x v="1"/>
    <x v="3"/>
    <s v="Analyst"/>
    <x v="0"/>
    <x v="0"/>
    <n v="1722"/>
    <n v="159"/>
    <n v="21"/>
    <n v="4"/>
    <n v="22"/>
    <x v="0"/>
  </r>
  <r>
    <s v="08-0372"/>
    <x v="1"/>
    <x v="3"/>
    <x v="3"/>
    <s v="Manager"/>
    <x v="1"/>
    <x v="2"/>
    <n v="1640"/>
    <n v="66"/>
    <n v="40"/>
    <n v="4"/>
    <n v="20"/>
    <x v="1"/>
  </r>
  <r>
    <s v="08-0373"/>
    <x v="1"/>
    <x v="0"/>
    <x v="3"/>
    <s v="Coordinator"/>
    <x v="0"/>
    <x v="2"/>
    <n v="1006"/>
    <n v="237"/>
    <n v="36"/>
    <n v="4"/>
    <n v="81"/>
    <x v="0"/>
  </r>
  <r>
    <s v="08-0374"/>
    <x v="1"/>
    <x v="2"/>
    <x v="0"/>
    <s v="Associate"/>
    <x v="0"/>
    <x v="2"/>
    <n v="1480"/>
    <n v="69"/>
    <n v="65"/>
    <n v="1"/>
    <n v="59"/>
    <x v="1"/>
  </r>
  <r>
    <s v="08-0375"/>
    <x v="1"/>
    <x v="0"/>
    <x v="3"/>
    <s v="Associate"/>
    <x v="1"/>
    <x v="1"/>
    <n v="1837"/>
    <n v="169"/>
    <n v="61"/>
    <n v="1"/>
    <n v="6"/>
    <x v="0"/>
  </r>
  <r>
    <s v="08-0376"/>
    <x v="1"/>
    <x v="3"/>
    <x v="0"/>
    <s v="Coordinator"/>
    <x v="0"/>
    <x v="2"/>
    <n v="1442"/>
    <n v="137"/>
    <n v="59"/>
    <n v="3"/>
    <n v="27"/>
    <x v="1"/>
  </r>
  <r>
    <s v="08-0377"/>
    <x v="1"/>
    <x v="2"/>
    <x v="0"/>
    <s v="Manager"/>
    <x v="1"/>
    <x v="0"/>
    <n v="1470"/>
    <n v="195"/>
    <n v="38"/>
    <n v="2"/>
    <n v="28"/>
    <x v="0"/>
  </r>
  <r>
    <s v="08-0378"/>
    <x v="1"/>
    <x v="3"/>
    <x v="3"/>
    <s v="Manager"/>
    <x v="1"/>
    <x v="2"/>
    <n v="1948"/>
    <n v="37"/>
    <n v="19"/>
    <n v="3"/>
    <n v="56"/>
    <x v="0"/>
  </r>
  <r>
    <s v="08-0379"/>
    <x v="1"/>
    <x v="3"/>
    <x v="1"/>
    <s v="Manager"/>
    <x v="0"/>
    <x v="1"/>
    <n v="1256"/>
    <n v="181"/>
    <n v="55"/>
    <n v="1"/>
    <n v="89"/>
    <x v="0"/>
  </r>
  <r>
    <s v="08-0380"/>
    <x v="1"/>
    <x v="1"/>
    <x v="0"/>
    <s v="Coordinator"/>
    <x v="1"/>
    <x v="0"/>
    <n v="1944"/>
    <n v="20"/>
    <n v="24"/>
    <n v="2"/>
    <n v="68"/>
    <x v="0"/>
  </r>
  <r>
    <s v="08-0381"/>
    <x v="1"/>
    <x v="0"/>
    <x v="0"/>
    <s v="Associate"/>
    <x v="1"/>
    <x v="2"/>
    <n v="1248"/>
    <n v="33"/>
    <n v="31"/>
    <n v="3"/>
    <n v="56"/>
    <x v="1"/>
  </r>
  <r>
    <s v="08-0382"/>
    <x v="1"/>
    <x v="3"/>
    <x v="2"/>
    <s v="Analyst"/>
    <x v="0"/>
    <x v="0"/>
    <n v="1309"/>
    <n v="52"/>
    <n v="49"/>
    <n v="3"/>
    <n v="2"/>
    <x v="0"/>
  </r>
  <r>
    <s v="08-0383"/>
    <x v="1"/>
    <x v="0"/>
    <x v="2"/>
    <s v="Manager"/>
    <x v="0"/>
    <x v="0"/>
    <n v="1876"/>
    <n v="60"/>
    <n v="43"/>
    <n v="5"/>
    <n v="75"/>
    <x v="1"/>
  </r>
  <r>
    <s v="08-0384"/>
    <x v="1"/>
    <x v="1"/>
    <x v="1"/>
    <s v="Coordinator"/>
    <x v="0"/>
    <x v="0"/>
    <n v="1601"/>
    <n v="77"/>
    <n v="57"/>
    <n v="5"/>
    <n v="82"/>
    <x v="0"/>
  </r>
  <r>
    <s v="08-0385"/>
    <x v="1"/>
    <x v="3"/>
    <x v="4"/>
    <s v="Coordinator"/>
    <x v="0"/>
    <x v="2"/>
    <n v="1225"/>
    <n v="131"/>
    <n v="26"/>
    <n v="3"/>
    <n v="48"/>
    <x v="1"/>
  </r>
  <r>
    <s v="08-0386"/>
    <x v="1"/>
    <x v="3"/>
    <x v="4"/>
    <s v="Associate"/>
    <x v="0"/>
    <x v="1"/>
    <n v="1236"/>
    <n v="165"/>
    <n v="35"/>
    <n v="1"/>
    <n v="80"/>
    <x v="1"/>
  </r>
  <r>
    <s v="08-0387"/>
    <x v="1"/>
    <x v="1"/>
    <x v="4"/>
    <s v="Analyst"/>
    <x v="1"/>
    <x v="2"/>
    <n v="1604"/>
    <n v="145"/>
    <n v="18"/>
    <n v="5"/>
    <n v="30"/>
    <x v="0"/>
  </r>
  <r>
    <s v="08-0388"/>
    <x v="1"/>
    <x v="1"/>
    <x v="0"/>
    <s v="Coordinator"/>
    <x v="0"/>
    <x v="1"/>
    <n v="1842"/>
    <n v="129"/>
    <n v="30"/>
    <n v="5"/>
    <n v="44"/>
    <x v="0"/>
  </r>
  <r>
    <s v="08-0389"/>
    <x v="1"/>
    <x v="0"/>
    <x v="3"/>
    <s v="Analyst"/>
    <x v="1"/>
    <x v="1"/>
    <n v="1163"/>
    <n v="61"/>
    <n v="20"/>
    <n v="3"/>
    <n v="32"/>
    <x v="0"/>
  </r>
  <r>
    <s v="08-0390"/>
    <x v="1"/>
    <x v="3"/>
    <x v="4"/>
    <s v="Manager"/>
    <x v="0"/>
    <x v="1"/>
    <n v="1414"/>
    <n v="83"/>
    <n v="21"/>
    <n v="4"/>
    <n v="4"/>
    <x v="0"/>
  </r>
  <r>
    <s v="08-0391"/>
    <x v="1"/>
    <x v="1"/>
    <x v="3"/>
    <s v="Coordinator"/>
    <x v="1"/>
    <x v="1"/>
    <n v="1170"/>
    <n v="88"/>
    <n v="41"/>
    <n v="2"/>
    <n v="85"/>
    <x v="0"/>
  </r>
  <r>
    <s v="08-0392"/>
    <x v="1"/>
    <x v="3"/>
    <x v="1"/>
    <s v="Coordinator"/>
    <x v="0"/>
    <x v="1"/>
    <n v="1413"/>
    <n v="215"/>
    <n v="52"/>
    <n v="2"/>
    <n v="44"/>
    <x v="0"/>
  </r>
  <r>
    <s v="08-0393"/>
    <x v="1"/>
    <x v="2"/>
    <x v="0"/>
    <s v="Coordinator"/>
    <x v="1"/>
    <x v="1"/>
    <n v="1125"/>
    <n v="48"/>
    <n v="45"/>
    <n v="5"/>
    <n v="45"/>
    <x v="0"/>
  </r>
  <r>
    <s v="08-0394"/>
    <x v="1"/>
    <x v="1"/>
    <x v="2"/>
    <s v="Analyst"/>
    <x v="0"/>
    <x v="1"/>
    <n v="1039"/>
    <n v="201"/>
    <n v="34"/>
    <n v="1"/>
    <n v="38"/>
    <x v="0"/>
  </r>
  <r>
    <s v="08-0395"/>
    <x v="1"/>
    <x v="2"/>
    <x v="1"/>
    <s v="Associate"/>
    <x v="0"/>
    <x v="2"/>
    <n v="1524"/>
    <n v="90"/>
    <n v="27"/>
    <n v="4"/>
    <n v="66"/>
    <x v="0"/>
  </r>
  <r>
    <s v="08-0396"/>
    <x v="1"/>
    <x v="2"/>
    <x v="4"/>
    <s v="Coordinator"/>
    <x v="0"/>
    <x v="0"/>
    <n v="950"/>
    <n v="139"/>
    <n v="31"/>
    <n v="3"/>
    <n v="57"/>
    <x v="0"/>
  </r>
  <r>
    <s v="08-0397"/>
    <x v="1"/>
    <x v="1"/>
    <x v="1"/>
    <s v="Coordinator"/>
    <x v="1"/>
    <x v="0"/>
    <n v="1047"/>
    <n v="1"/>
    <n v="27"/>
    <n v="3"/>
    <n v="7"/>
    <x v="0"/>
  </r>
  <r>
    <s v="08-0398"/>
    <x v="1"/>
    <x v="1"/>
    <x v="3"/>
    <s v="Manager"/>
    <x v="1"/>
    <x v="1"/>
    <n v="1087"/>
    <n v="114"/>
    <n v="28"/>
    <n v="3"/>
    <n v="2"/>
    <x v="0"/>
  </r>
  <r>
    <s v="08-0399"/>
    <x v="1"/>
    <x v="1"/>
    <x v="4"/>
    <s v="Analyst"/>
    <x v="0"/>
    <x v="1"/>
    <n v="1303"/>
    <n v="185"/>
    <n v="46"/>
    <n v="2"/>
    <n v="57"/>
    <x v="0"/>
  </r>
  <r>
    <s v="08-0400"/>
    <x v="1"/>
    <x v="0"/>
    <x v="4"/>
    <s v="Coordinator"/>
    <x v="0"/>
    <x v="0"/>
    <n v="1358"/>
    <n v="149"/>
    <n v="64"/>
    <n v="4"/>
    <n v="10"/>
    <x v="0"/>
  </r>
  <r>
    <s v="08-0401"/>
    <x v="2"/>
    <x v="3"/>
    <x v="0"/>
    <s v="Analyst"/>
    <x v="1"/>
    <x v="2"/>
    <n v="2063"/>
    <n v="202"/>
    <n v="26"/>
    <n v="2"/>
    <n v="70"/>
    <x v="1"/>
  </r>
  <r>
    <s v="08-0402"/>
    <x v="2"/>
    <x v="2"/>
    <x v="2"/>
    <s v="Associate"/>
    <x v="0"/>
    <x v="2"/>
    <n v="1304"/>
    <n v="221"/>
    <n v="18"/>
    <n v="1"/>
    <n v="31"/>
    <x v="0"/>
  </r>
  <r>
    <s v="08-0403"/>
    <x v="2"/>
    <x v="2"/>
    <x v="4"/>
    <s v="Coordinator"/>
    <x v="0"/>
    <x v="0"/>
    <n v="1725"/>
    <n v="16"/>
    <n v="26"/>
    <n v="1"/>
    <n v="24"/>
    <x v="0"/>
  </r>
  <r>
    <s v="08-0404"/>
    <x v="2"/>
    <x v="0"/>
    <x v="3"/>
    <s v="Analyst"/>
    <x v="1"/>
    <x v="2"/>
    <n v="1505"/>
    <n v="109"/>
    <n v="61"/>
    <n v="4"/>
    <n v="38"/>
    <x v="0"/>
  </r>
  <r>
    <s v="08-0405"/>
    <x v="2"/>
    <x v="2"/>
    <x v="4"/>
    <s v="Coordinator"/>
    <x v="1"/>
    <x v="1"/>
    <n v="1507"/>
    <n v="235"/>
    <n v="59"/>
    <n v="3"/>
    <n v="38"/>
    <x v="1"/>
  </r>
  <r>
    <s v="08-0406"/>
    <x v="2"/>
    <x v="1"/>
    <x v="3"/>
    <s v="Analyst"/>
    <x v="1"/>
    <x v="0"/>
    <n v="1770"/>
    <n v="63"/>
    <n v="27"/>
    <n v="1"/>
    <n v="3"/>
    <x v="0"/>
  </r>
  <r>
    <s v="08-0407"/>
    <x v="2"/>
    <x v="3"/>
    <x v="4"/>
    <s v="Associate"/>
    <x v="0"/>
    <x v="1"/>
    <n v="1383"/>
    <n v="141"/>
    <n v="65"/>
    <n v="3"/>
    <n v="2"/>
    <x v="0"/>
  </r>
  <r>
    <s v="08-0408"/>
    <x v="2"/>
    <x v="1"/>
    <x v="4"/>
    <s v="Manager"/>
    <x v="0"/>
    <x v="1"/>
    <n v="1008"/>
    <n v="111"/>
    <n v="29"/>
    <n v="5"/>
    <n v="25"/>
    <x v="1"/>
  </r>
  <r>
    <s v="08-0409"/>
    <x v="2"/>
    <x v="1"/>
    <x v="2"/>
    <s v="Manager"/>
    <x v="1"/>
    <x v="0"/>
    <n v="1421"/>
    <n v="95"/>
    <n v="17"/>
    <n v="5"/>
    <n v="31"/>
    <x v="1"/>
  </r>
  <r>
    <s v="08-0410"/>
    <x v="2"/>
    <x v="2"/>
    <x v="0"/>
    <s v="Coordinator"/>
    <x v="1"/>
    <x v="0"/>
    <n v="1168"/>
    <n v="137"/>
    <n v="22"/>
    <n v="2"/>
    <n v="9"/>
    <x v="1"/>
  </r>
  <r>
    <s v="08-0411"/>
    <x v="2"/>
    <x v="3"/>
    <x v="1"/>
    <s v="Associate"/>
    <x v="1"/>
    <x v="2"/>
    <n v="910"/>
    <n v="180"/>
    <n v="40"/>
    <n v="1"/>
    <n v="39"/>
    <x v="1"/>
  </r>
  <r>
    <s v="08-0412"/>
    <x v="2"/>
    <x v="2"/>
    <x v="3"/>
    <s v="Manager"/>
    <x v="0"/>
    <x v="2"/>
    <n v="1026"/>
    <n v="37"/>
    <n v="42"/>
    <n v="2"/>
    <n v="1"/>
    <x v="0"/>
  </r>
  <r>
    <s v="08-0413"/>
    <x v="2"/>
    <x v="0"/>
    <x v="1"/>
    <s v="Coordinator"/>
    <x v="0"/>
    <x v="2"/>
    <n v="1468"/>
    <n v="221"/>
    <n v="25"/>
    <n v="3"/>
    <n v="13"/>
    <x v="0"/>
  </r>
  <r>
    <s v="08-0414"/>
    <x v="2"/>
    <x v="1"/>
    <x v="0"/>
    <s v="Manager"/>
    <x v="0"/>
    <x v="1"/>
    <n v="1009"/>
    <n v="200"/>
    <n v="18"/>
    <n v="4"/>
    <n v="11"/>
    <x v="0"/>
  </r>
  <r>
    <s v="08-0415"/>
    <x v="2"/>
    <x v="2"/>
    <x v="4"/>
    <s v="Associate"/>
    <x v="0"/>
    <x v="1"/>
    <n v="1779"/>
    <n v="216"/>
    <n v="25"/>
    <n v="3"/>
    <n v="65"/>
    <x v="0"/>
  </r>
  <r>
    <s v="08-0416"/>
    <x v="2"/>
    <x v="3"/>
    <x v="2"/>
    <s v="Analyst"/>
    <x v="0"/>
    <x v="2"/>
    <n v="1029"/>
    <n v="128"/>
    <n v="22"/>
    <n v="1"/>
    <n v="4"/>
    <x v="0"/>
  </r>
  <r>
    <s v="08-0417"/>
    <x v="2"/>
    <x v="1"/>
    <x v="3"/>
    <s v="Coordinator"/>
    <x v="0"/>
    <x v="0"/>
    <n v="1482"/>
    <n v="232"/>
    <n v="57"/>
    <n v="5"/>
    <n v="36"/>
    <x v="0"/>
  </r>
  <r>
    <s v="08-0418"/>
    <x v="2"/>
    <x v="3"/>
    <x v="0"/>
    <s v="Coordinator"/>
    <x v="0"/>
    <x v="0"/>
    <n v="1355"/>
    <n v="181"/>
    <n v="24"/>
    <n v="5"/>
    <n v="7"/>
    <x v="0"/>
  </r>
  <r>
    <s v="08-0419"/>
    <x v="2"/>
    <x v="0"/>
    <x v="4"/>
    <s v="Manager"/>
    <x v="1"/>
    <x v="1"/>
    <n v="1805"/>
    <n v="149"/>
    <n v="20"/>
    <n v="3"/>
    <n v="15"/>
    <x v="1"/>
  </r>
  <r>
    <s v="08-0420"/>
    <x v="2"/>
    <x v="0"/>
    <x v="3"/>
    <s v="Coordinator"/>
    <x v="1"/>
    <x v="1"/>
    <n v="1857"/>
    <n v="189"/>
    <n v="38"/>
    <n v="5"/>
    <n v="21"/>
    <x v="0"/>
  </r>
  <r>
    <s v="08-0421"/>
    <x v="2"/>
    <x v="2"/>
    <x v="1"/>
    <s v="Associate"/>
    <x v="1"/>
    <x v="2"/>
    <n v="1974"/>
    <n v="8"/>
    <n v="25"/>
    <n v="4"/>
    <n v="65"/>
    <x v="1"/>
  </r>
  <r>
    <s v="08-0422"/>
    <x v="2"/>
    <x v="1"/>
    <x v="2"/>
    <s v="Manager"/>
    <x v="1"/>
    <x v="2"/>
    <n v="1486"/>
    <n v="98"/>
    <n v="31"/>
    <n v="4"/>
    <n v="85"/>
    <x v="0"/>
  </r>
  <r>
    <s v="08-0423"/>
    <x v="2"/>
    <x v="2"/>
    <x v="4"/>
    <s v="Associate"/>
    <x v="0"/>
    <x v="1"/>
    <n v="1030"/>
    <n v="16"/>
    <n v="36"/>
    <n v="5"/>
    <n v="71"/>
    <x v="0"/>
  </r>
  <r>
    <s v="08-0424"/>
    <x v="2"/>
    <x v="2"/>
    <x v="1"/>
    <s v="Associate"/>
    <x v="0"/>
    <x v="0"/>
    <n v="1654"/>
    <n v="138"/>
    <n v="19"/>
    <n v="5"/>
    <n v="13"/>
    <x v="0"/>
  </r>
  <r>
    <s v="08-0425"/>
    <x v="2"/>
    <x v="1"/>
    <x v="1"/>
    <s v="Analyst"/>
    <x v="1"/>
    <x v="2"/>
    <n v="2002"/>
    <n v="18"/>
    <n v="57"/>
    <n v="3"/>
    <n v="85"/>
    <x v="0"/>
  </r>
  <r>
    <s v="08-0426"/>
    <x v="2"/>
    <x v="1"/>
    <x v="1"/>
    <s v="Manager"/>
    <x v="1"/>
    <x v="1"/>
    <n v="1244"/>
    <n v="209"/>
    <n v="36"/>
    <n v="5"/>
    <n v="77"/>
    <x v="1"/>
  </r>
  <r>
    <s v="08-0427"/>
    <x v="2"/>
    <x v="3"/>
    <x v="0"/>
    <s v="Coordinator"/>
    <x v="1"/>
    <x v="2"/>
    <n v="1947"/>
    <n v="127"/>
    <n v="36"/>
    <n v="5"/>
    <n v="19"/>
    <x v="0"/>
  </r>
  <r>
    <s v="08-0428"/>
    <x v="2"/>
    <x v="0"/>
    <x v="0"/>
    <s v="Analyst"/>
    <x v="1"/>
    <x v="2"/>
    <n v="1569"/>
    <n v="126"/>
    <n v="36"/>
    <n v="1"/>
    <n v="54"/>
    <x v="1"/>
  </r>
  <r>
    <s v="08-0429"/>
    <x v="2"/>
    <x v="1"/>
    <x v="3"/>
    <s v="Analyst"/>
    <x v="0"/>
    <x v="1"/>
    <n v="1342"/>
    <n v="144"/>
    <n v="50"/>
    <n v="5"/>
    <n v="44"/>
    <x v="0"/>
  </r>
  <r>
    <s v="08-0430"/>
    <x v="2"/>
    <x v="2"/>
    <x v="4"/>
    <s v="Manager"/>
    <x v="0"/>
    <x v="0"/>
    <n v="1523"/>
    <n v="176"/>
    <n v="24"/>
    <n v="1"/>
    <n v="88"/>
    <x v="0"/>
  </r>
  <r>
    <s v="08-0431"/>
    <x v="2"/>
    <x v="3"/>
    <x v="1"/>
    <s v="Analyst"/>
    <x v="0"/>
    <x v="1"/>
    <n v="1530"/>
    <n v="138"/>
    <n v="32"/>
    <n v="2"/>
    <n v="3"/>
    <x v="0"/>
  </r>
  <r>
    <s v="08-0432"/>
    <x v="2"/>
    <x v="0"/>
    <x v="1"/>
    <s v="Coordinator"/>
    <x v="1"/>
    <x v="1"/>
    <n v="1229"/>
    <n v="66"/>
    <n v="27"/>
    <n v="1"/>
    <n v="13"/>
    <x v="0"/>
  </r>
  <r>
    <s v="08-0433"/>
    <x v="2"/>
    <x v="2"/>
    <x v="4"/>
    <s v="Associate"/>
    <x v="1"/>
    <x v="2"/>
    <n v="959"/>
    <n v="48"/>
    <n v="45"/>
    <n v="2"/>
    <n v="14"/>
    <x v="0"/>
  </r>
  <r>
    <s v="08-0434"/>
    <x v="2"/>
    <x v="3"/>
    <x v="0"/>
    <s v="Manager"/>
    <x v="0"/>
    <x v="2"/>
    <n v="1409"/>
    <n v="94"/>
    <n v="25"/>
    <n v="3"/>
    <n v="81"/>
    <x v="0"/>
  </r>
  <r>
    <s v="08-0435"/>
    <x v="2"/>
    <x v="2"/>
    <x v="1"/>
    <s v="Associate"/>
    <x v="0"/>
    <x v="2"/>
    <n v="1658"/>
    <n v="41"/>
    <n v="57"/>
    <n v="3"/>
    <n v="74"/>
    <x v="0"/>
  </r>
  <r>
    <s v="08-0436"/>
    <x v="2"/>
    <x v="2"/>
    <x v="3"/>
    <s v="Associate"/>
    <x v="1"/>
    <x v="0"/>
    <n v="1456"/>
    <n v="194"/>
    <n v="58"/>
    <n v="4"/>
    <n v="16"/>
    <x v="0"/>
  </r>
  <r>
    <s v="08-0437"/>
    <x v="2"/>
    <x v="3"/>
    <x v="4"/>
    <s v="Manager"/>
    <x v="0"/>
    <x v="1"/>
    <n v="910"/>
    <n v="212"/>
    <n v="54"/>
    <n v="3"/>
    <n v="70"/>
    <x v="1"/>
  </r>
  <r>
    <s v="08-0438"/>
    <x v="2"/>
    <x v="2"/>
    <x v="2"/>
    <s v="Manager"/>
    <x v="1"/>
    <x v="2"/>
    <n v="1863"/>
    <n v="53"/>
    <n v="22"/>
    <n v="4"/>
    <n v="36"/>
    <x v="1"/>
  </r>
  <r>
    <s v="08-0439"/>
    <x v="2"/>
    <x v="3"/>
    <x v="1"/>
    <s v="Manager"/>
    <x v="1"/>
    <x v="2"/>
    <n v="1179"/>
    <n v="75"/>
    <n v="22"/>
    <n v="5"/>
    <n v="53"/>
    <x v="0"/>
  </r>
  <r>
    <s v="08-0440"/>
    <x v="2"/>
    <x v="2"/>
    <x v="2"/>
    <s v="Associate"/>
    <x v="0"/>
    <x v="2"/>
    <n v="2046"/>
    <n v="94"/>
    <n v="49"/>
    <n v="2"/>
    <n v="72"/>
    <x v="0"/>
  </r>
  <r>
    <s v="08-0441"/>
    <x v="2"/>
    <x v="0"/>
    <x v="0"/>
    <s v="Associate"/>
    <x v="0"/>
    <x v="0"/>
    <n v="1091"/>
    <n v="32"/>
    <n v="29"/>
    <n v="1"/>
    <n v="60"/>
    <x v="0"/>
  </r>
  <r>
    <s v="08-0442"/>
    <x v="2"/>
    <x v="2"/>
    <x v="1"/>
    <s v="Manager"/>
    <x v="0"/>
    <x v="0"/>
    <n v="2039"/>
    <n v="187"/>
    <n v="59"/>
    <n v="5"/>
    <n v="1"/>
    <x v="0"/>
  </r>
  <r>
    <s v="08-0443"/>
    <x v="2"/>
    <x v="0"/>
    <x v="2"/>
    <s v="Manager"/>
    <x v="1"/>
    <x v="2"/>
    <n v="1594"/>
    <n v="145"/>
    <n v="18"/>
    <n v="2"/>
    <n v="59"/>
    <x v="1"/>
  </r>
  <r>
    <s v="08-0444"/>
    <x v="2"/>
    <x v="3"/>
    <x v="3"/>
    <s v="Associate"/>
    <x v="1"/>
    <x v="0"/>
    <n v="1890"/>
    <n v="210"/>
    <n v="52"/>
    <n v="5"/>
    <n v="70"/>
    <x v="0"/>
  </r>
  <r>
    <s v="08-0445"/>
    <x v="2"/>
    <x v="3"/>
    <x v="1"/>
    <s v="Associate"/>
    <x v="0"/>
    <x v="2"/>
    <n v="949"/>
    <n v="23"/>
    <n v="35"/>
    <n v="3"/>
    <n v="65"/>
    <x v="0"/>
  </r>
  <r>
    <s v="08-0446"/>
    <x v="2"/>
    <x v="0"/>
    <x v="0"/>
    <s v="Coordinator"/>
    <x v="1"/>
    <x v="0"/>
    <n v="1126"/>
    <n v="3"/>
    <n v="24"/>
    <n v="2"/>
    <n v="41"/>
    <x v="0"/>
  </r>
  <r>
    <s v="08-0447"/>
    <x v="2"/>
    <x v="1"/>
    <x v="3"/>
    <s v="Manager"/>
    <x v="0"/>
    <x v="0"/>
    <n v="1027"/>
    <n v="144"/>
    <n v="43"/>
    <n v="3"/>
    <n v="69"/>
    <x v="0"/>
  </r>
  <r>
    <s v="08-0448"/>
    <x v="2"/>
    <x v="2"/>
    <x v="2"/>
    <s v="Analyst"/>
    <x v="1"/>
    <x v="1"/>
    <n v="1832"/>
    <n v="139"/>
    <n v="23"/>
    <n v="1"/>
    <n v="22"/>
    <x v="0"/>
  </r>
  <r>
    <s v="08-0449"/>
    <x v="2"/>
    <x v="3"/>
    <x v="4"/>
    <s v="Associate"/>
    <x v="0"/>
    <x v="1"/>
    <n v="1787"/>
    <n v="114"/>
    <n v="31"/>
    <n v="1"/>
    <n v="50"/>
    <x v="0"/>
  </r>
  <r>
    <s v="08-0450"/>
    <x v="2"/>
    <x v="1"/>
    <x v="2"/>
    <s v="Manager"/>
    <x v="1"/>
    <x v="1"/>
    <n v="2029"/>
    <n v="111"/>
    <n v="32"/>
    <n v="1"/>
    <n v="14"/>
    <x v="0"/>
  </r>
  <r>
    <s v="08-0451"/>
    <x v="2"/>
    <x v="1"/>
    <x v="2"/>
    <s v="Manager"/>
    <x v="0"/>
    <x v="2"/>
    <n v="1861"/>
    <n v="138"/>
    <n v="34"/>
    <n v="4"/>
    <n v="18"/>
    <x v="1"/>
  </r>
  <r>
    <s v="08-0452"/>
    <x v="2"/>
    <x v="1"/>
    <x v="0"/>
    <s v="Associate"/>
    <x v="0"/>
    <x v="2"/>
    <n v="1362"/>
    <n v="105"/>
    <n v="54"/>
    <n v="4"/>
    <n v="79"/>
    <x v="0"/>
  </r>
  <r>
    <s v="08-0453"/>
    <x v="2"/>
    <x v="1"/>
    <x v="1"/>
    <s v="Analyst"/>
    <x v="0"/>
    <x v="0"/>
    <n v="1152"/>
    <n v="197"/>
    <n v="33"/>
    <n v="3"/>
    <n v="2"/>
    <x v="1"/>
  </r>
  <r>
    <s v="08-0454"/>
    <x v="2"/>
    <x v="1"/>
    <x v="3"/>
    <s v="Manager"/>
    <x v="0"/>
    <x v="2"/>
    <n v="1540"/>
    <n v="213"/>
    <n v="49"/>
    <n v="5"/>
    <n v="27"/>
    <x v="0"/>
  </r>
  <r>
    <s v="08-0455"/>
    <x v="2"/>
    <x v="3"/>
    <x v="1"/>
    <s v="Analyst"/>
    <x v="1"/>
    <x v="1"/>
    <n v="1278"/>
    <n v="175"/>
    <n v="61"/>
    <n v="3"/>
    <n v="26"/>
    <x v="1"/>
  </r>
  <r>
    <s v="08-0456"/>
    <x v="2"/>
    <x v="2"/>
    <x v="0"/>
    <s v="Analyst"/>
    <x v="0"/>
    <x v="1"/>
    <n v="931"/>
    <n v="34"/>
    <n v="37"/>
    <n v="2"/>
    <n v="46"/>
    <x v="0"/>
  </r>
  <r>
    <s v="08-0457"/>
    <x v="2"/>
    <x v="0"/>
    <x v="1"/>
    <s v="Manager"/>
    <x v="1"/>
    <x v="2"/>
    <n v="1571"/>
    <n v="84"/>
    <n v="27"/>
    <n v="5"/>
    <n v="18"/>
    <x v="0"/>
  </r>
  <r>
    <s v="08-0458"/>
    <x v="2"/>
    <x v="3"/>
    <x v="2"/>
    <s v="Manager"/>
    <x v="0"/>
    <x v="2"/>
    <n v="1151"/>
    <n v="135"/>
    <n v="20"/>
    <n v="3"/>
    <n v="87"/>
    <x v="0"/>
  </r>
  <r>
    <s v="08-0459"/>
    <x v="2"/>
    <x v="0"/>
    <x v="4"/>
    <s v="Analyst"/>
    <x v="1"/>
    <x v="1"/>
    <n v="1515"/>
    <n v="55"/>
    <n v="51"/>
    <n v="5"/>
    <n v="27"/>
    <x v="0"/>
  </r>
  <r>
    <s v="08-0460"/>
    <x v="2"/>
    <x v="1"/>
    <x v="0"/>
    <s v="Coordinator"/>
    <x v="1"/>
    <x v="2"/>
    <n v="1592"/>
    <n v="13"/>
    <n v="38"/>
    <n v="3"/>
    <n v="84"/>
    <x v="1"/>
  </r>
  <r>
    <s v="08-0461"/>
    <x v="2"/>
    <x v="3"/>
    <x v="1"/>
    <s v="Coordinator"/>
    <x v="0"/>
    <x v="1"/>
    <n v="2099"/>
    <n v="118"/>
    <n v="48"/>
    <n v="2"/>
    <n v="37"/>
    <x v="0"/>
  </r>
  <r>
    <s v="08-0462"/>
    <x v="2"/>
    <x v="1"/>
    <x v="4"/>
    <s v="Analyst"/>
    <x v="1"/>
    <x v="2"/>
    <n v="944"/>
    <n v="135"/>
    <n v="43"/>
    <n v="3"/>
    <n v="52"/>
    <x v="0"/>
  </r>
  <r>
    <s v="08-0463"/>
    <x v="2"/>
    <x v="0"/>
    <x v="1"/>
    <s v="Manager"/>
    <x v="0"/>
    <x v="1"/>
    <n v="1268"/>
    <n v="214"/>
    <n v="50"/>
    <n v="4"/>
    <n v="75"/>
    <x v="0"/>
  </r>
  <r>
    <s v="08-0464"/>
    <x v="2"/>
    <x v="2"/>
    <x v="1"/>
    <s v="Coordinator"/>
    <x v="0"/>
    <x v="1"/>
    <n v="1149"/>
    <n v="162"/>
    <n v="34"/>
    <n v="2"/>
    <n v="79"/>
    <x v="1"/>
  </r>
  <r>
    <s v="08-0465"/>
    <x v="2"/>
    <x v="2"/>
    <x v="3"/>
    <s v="Associate"/>
    <x v="0"/>
    <x v="2"/>
    <n v="1552"/>
    <n v="227"/>
    <n v="59"/>
    <n v="2"/>
    <n v="88"/>
    <x v="1"/>
  </r>
  <r>
    <s v="08-0466"/>
    <x v="2"/>
    <x v="1"/>
    <x v="2"/>
    <s v="Manager"/>
    <x v="1"/>
    <x v="1"/>
    <n v="1698"/>
    <n v="122"/>
    <n v="56"/>
    <n v="2"/>
    <n v="61"/>
    <x v="0"/>
  </r>
  <r>
    <s v="08-0467"/>
    <x v="2"/>
    <x v="2"/>
    <x v="3"/>
    <s v="Associate"/>
    <x v="0"/>
    <x v="0"/>
    <n v="2032"/>
    <n v="160"/>
    <n v="39"/>
    <n v="4"/>
    <n v="8"/>
    <x v="0"/>
  </r>
  <r>
    <s v="08-0468"/>
    <x v="2"/>
    <x v="1"/>
    <x v="2"/>
    <s v="Associate"/>
    <x v="0"/>
    <x v="1"/>
    <n v="1917"/>
    <n v="77"/>
    <n v="34"/>
    <n v="3"/>
    <n v="50"/>
    <x v="0"/>
  </r>
  <r>
    <s v="08-0469"/>
    <x v="2"/>
    <x v="0"/>
    <x v="4"/>
    <s v="Manager"/>
    <x v="0"/>
    <x v="2"/>
    <n v="1697"/>
    <n v="51"/>
    <n v="20"/>
    <n v="3"/>
    <n v="85"/>
    <x v="0"/>
  </r>
  <r>
    <s v="08-0470"/>
    <x v="2"/>
    <x v="2"/>
    <x v="1"/>
    <s v="Associate"/>
    <x v="0"/>
    <x v="1"/>
    <n v="1071"/>
    <n v="167"/>
    <n v="37"/>
    <n v="3"/>
    <n v="40"/>
    <x v="0"/>
  </r>
  <r>
    <s v="08-0471"/>
    <x v="2"/>
    <x v="1"/>
    <x v="4"/>
    <s v="Associate"/>
    <x v="0"/>
    <x v="2"/>
    <n v="1034"/>
    <n v="249"/>
    <n v="20"/>
    <n v="5"/>
    <n v="71"/>
    <x v="0"/>
  </r>
  <r>
    <s v="08-0472"/>
    <x v="2"/>
    <x v="2"/>
    <x v="1"/>
    <s v="Associate"/>
    <x v="1"/>
    <x v="0"/>
    <n v="1079"/>
    <n v="36"/>
    <n v="28"/>
    <n v="5"/>
    <n v="39"/>
    <x v="0"/>
  </r>
  <r>
    <s v="08-0473"/>
    <x v="2"/>
    <x v="1"/>
    <x v="3"/>
    <s v="Manager"/>
    <x v="1"/>
    <x v="2"/>
    <n v="1452"/>
    <n v="60"/>
    <n v="61"/>
    <n v="3"/>
    <n v="59"/>
    <x v="0"/>
  </r>
  <r>
    <s v="08-0474"/>
    <x v="2"/>
    <x v="0"/>
    <x v="3"/>
    <s v="Associate"/>
    <x v="0"/>
    <x v="0"/>
    <n v="1193"/>
    <n v="56"/>
    <n v="54"/>
    <n v="1"/>
    <n v="77"/>
    <x v="0"/>
  </r>
  <r>
    <s v="08-0475"/>
    <x v="2"/>
    <x v="1"/>
    <x v="4"/>
    <s v="Manager"/>
    <x v="0"/>
    <x v="1"/>
    <n v="1551"/>
    <n v="120"/>
    <n v="22"/>
    <n v="4"/>
    <n v="24"/>
    <x v="0"/>
  </r>
  <r>
    <s v="08-0476"/>
    <x v="2"/>
    <x v="0"/>
    <x v="1"/>
    <s v="Manager"/>
    <x v="1"/>
    <x v="2"/>
    <n v="947"/>
    <n v="191"/>
    <n v="34"/>
    <n v="5"/>
    <n v="72"/>
    <x v="0"/>
  </r>
  <r>
    <s v="08-0477"/>
    <x v="2"/>
    <x v="0"/>
    <x v="0"/>
    <s v="Coordinator"/>
    <x v="0"/>
    <x v="2"/>
    <n v="995"/>
    <n v="141"/>
    <n v="23"/>
    <n v="5"/>
    <n v="14"/>
    <x v="0"/>
  </r>
  <r>
    <s v="08-0478"/>
    <x v="2"/>
    <x v="2"/>
    <x v="2"/>
    <s v="Associate"/>
    <x v="0"/>
    <x v="1"/>
    <n v="903"/>
    <n v="149"/>
    <n v="60"/>
    <n v="5"/>
    <n v="19"/>
    <x v="0"/>
  </r>
  <r>
    <s v="08-0479"/>
    <x v="2"/>
    <x v="3"/>
    <x v="2"/>
    <s v="Manager"/>
    <x v="0"/>
    <x v="1"/>
    <n v="2042"/>
    <n v="193"/>
    <n v="26"/>
    <n v="4"/>
    <n v="43"/>
    <x v="0"/>
  </r>
  <r>
    <s v="08-0480"/>
    <x v="2"/>
    <x v="1"/>
    <x v="3"/>
    <s v="Analyst"/>
    <x v="1"/>
    <x v="1"/>
    <n v="1101"/>
    <n v="99"/>
    <n v="61"/>
    <n v="1"/>
    <n v="55"/>
    <x v="0"/>
  </r>
  <r>
    <s v="08-0481"/>
    <x v="2"/>
    <x v="0"/>
    <x v="2"/>
    <s v="Coordinator"/>
    <x v="1"/>
    <x v="1"/>
    <n v="1408"/>
    <n v="223"/>
    <n v="49"/>
    <n v="3"/>
    <n v="67"/>
    <x v="0"/>
  </r>
  <r>
    <s v="08-0482"/>
    <x v="2"/>
    <x v="3"/>
    <x v="3"/>
    <s v="Manager"/>
    <x v="0"/>
    <x v="0"/>
    <n v="1395"/>
    <n v="151"/>
    <n v="30"/>
    <n v="2"/>
    <n v="40"/>
    <x v="1"/>
  </r>
  <r>
    <s v="08-0483"/>
    <x v="2"/>
    <x v="1"/>
    <x v="2"/>
    <s v="Analyst"/>
    <x v="0"/>
    <x v="1"/>
    <n v="1502"/>
    <n v="181"/>
    <n v="55"/>
    <n v="5"/>
    <n v="55"/>
    <x v="0"/>
  </r>
  <r>
    <s v="08-0484"/>
    <x v="2"/>
    <x v="0"/>
    <x v="0"/>
    <s v="Analyst"/>
    <x v="1"/>
    <x v="1"/>
    <n v="1915"/>
    <n v="206"/>
    <n v="20"/>
    <n v="1"/>
    <n v="44"/>
    <x v="0"/>
  </r>
  <r>
    <s v="08-0485"/>
    <x v="2"/>
    <x v="2"/>
    <x v="4"/>
    <s v="Associate"/>
    <x v="1"/>
    <x v="1"/>
    <n v="1376"/>
    <n v="44"/>
    <n v="28"/>
    <n v="1"/>
    <n v="3"/>
    <x v="0"/>
  </r>
  <r>
    <s v="08-0486"/>
    <x v="2"/>
    <x v="1"/>
    <x v="0"/>
    <s v="Coordinator"/>
    <x v="0"/>
    <x v="1"/>
    <n v="1500"/>
    <n v="205"/>
    <n v="53"/>
    <n v="3"/>
    <n v="43"/>
    <x v="1"/>
  </r>
  <r>
    <s v="08-0487"/>
    <x v="2"/>
    <x v="0"/>
    <x v="0"/>
    <s v="Manager"/>
    <x v="0"/>
    <x v="0"/>
    <n v="1091"/>
    <n v="137"/>
    <n v="35"/>
    <n v="5"/>
    <n v="51"/>
    <x v="0"/>
  </r>
  <r>
    <s v="08-0488"/>
    <x v="2"/>
    <x v="1"/>
    <x v="3"/>
    <s v="Manager"/>
    <x v="0"/>
    <x v="0"/>
    <n v="1257"/>
    <n v="210"/>
    <n v="35"/>
    <n v="5"/>
    <n v="79"/>
    <x v="0"/>
  </r>
  <r>
    <s v="08-0489"/>
    <x v="2"/>
    <x v="0"/>
    <x v="1"/>
    <s v="Analyst"/>
    <x v="0"/>
    <x v="1"/>
    <n v="1151"/>
    <n v="238"/>
    <n v="32"/>
    <n v="2"/>
    <n v="51"/>
    <x v="0"/>
  </r>
  <r>
    <s v="08-0490"/>
    <x v="2"/>
    <x v="3"/>
    <x v="2"/>
    <s v="Associate"/>
    <x v="1"/>
    <x v="1"/>
    <n v="1155"/>
    <n v="30"/>
    <n v="30"/>
    <n v="4"/>
    <n v="45"/>
    <x v="0"/>
  </r>
  <r>
    <s v="08-0491"/>
    <x v="2"/>
    <x v="1"/>
    <x v="3"/>
    <s v="Coordinator"/>
    <x v="1"/>
    <x v="1"/>
    <n v="1596"/>
    <n v="120"/>
    <n v="37"/>
    <n v="5"/>
    <n v="74"/>
    <x v="0"/>
  </r>
  <r>
    <s v="08-0492"/>
    <x v="2"/>
    <x v="2"/>
    <x v="0"/>
    <s v="Manager"/>
    <x v="0"/>
    <x v="0"/>
    <n v="1269"/>
    <n v="90"/>
    <n v="19"/>
    <n v="4"/>
    <n v="65"/>
    <x v="0"/>
  </r>
  <r>
    <s v="08-0493"/>
    <x v="2"/>
    <x v="2"/>
    <x v="0"/>
    <s v="Manager"/>
    <x v="0"/>
    <x v="2"/>
    <n v="1518"/>
    <n v="218"/>
    <n v="33"/>
    <n v="5"/>
    <n v="62"/>
    <x v="1"/>
  </r>
  <r>
    <s v="08-0494"/>
    <x v="2"/>
    <x v="1"/>
    <x v="3"/>
    <s v="Manager"/>
    <x v="0"/>
    <x v="0"/>
    <n v="1906"/>
    <n v="143"/>
    <n v="33"/>
    <n v="4"/>
    <n v="85"/>
    <x v="0"/>
  </r>
  <r>
    <s v="08-0495"/>
    <x v="2"/>
    <x v="2"/>
    <x v="1"/>
    <s v="Analyst"/>
    <x v="0"/>
    <x v="0"/>
    <n v="1409"/>
    <n v="121"/>
    <n v="17"/>
    <n v="2"/>
    <n v="77"/>
    <x v="1"/>
  </r>
  <r>
    <s v="08-0496"/>
    <x v="2"/>
    <x v="0"/>
    <x v="3"/>
    <s v="Coordinator"/>
    <x v="1"/>
    <x v="1"/>
    <n v="1596"/>
    <n v="89"/>
    <n v="19"/>
    <n v="5"/>
    <n v="32"/>
    <x v="0"/>
  </r>
  <r>
    <s v="08-0497"/>
    <x v="2"/>
    <x v="0"/>
    <x v="3"/>
    <s v="Coordinator"/>
    <x v="1"/>
    <x v="2"/>
    <n v="1356"/>
    <n v="183"/>
    <n v="28"/>
    <n v="4"/>
    <n v="14"/>
    <x v="1"/>
  </r>
  <r>
    <s v="08-0498"/>
    <x v="2"/>
    <x v="2"/>
    <x v="3"/>
    <s v="Analyst"/>
    <x v="1"/>
    <x v="1"/>
    <n v="1969"/>
    <n v="245"/>
    <n v="17"/>
    <n v="4"/>
    <n v="45"/>
    <x v="0"/>
  </r>
  <r>
    <s v="08-0499"/>
    <x v="2"/>
    <x v="1"/>
    <x v="2"/>
    <s v="Manager"/>
    <x v="1"/>
    <x v="1"/>
    <n v="1197"/>
    <n v="207"/>
    <n v="63"/>
    <n v="2"/>
    <n v="67"/>
    <x v="0"/>
  </r>
  <r>
    <s v="08-0500"/>
    <x v="2"/>
    <x v="1"/>
    <x v="1"/>
    <s v="Associate"/>
    <x v="1"/>
    <x v="2"/>
    <n v="1379"/>
    <n v="37"/>
    <n v="42"/>
    <n v="5"/>
    <n v="2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94E12C-8DE7-4260-990C-88C4C1A37BEF}"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F10" firstHeaderRow="1" firstDataRow="2" firstDataCol="1"/>
  <pivotFields count="13">
    <pivotField dataField="1" showAll="0"/>
    <pivotField showAll="0"/>
    <pivotField axis="axisCol" showAll="0">
      <items count="5">
        <item x="2"/>
        <item x="1"/>
        <item x="3"/>
        <item x="0"/>
        <item t="default"/>
      </items>
    </pivotField>
    <pivotField axis="axisRow" showAll="0" sortType="descending">
      <items count="6">
        <item x="0"/>
        <item x="4"/>
        <item x="2"/>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s>
  <rowFields count="1">
    <field x="3"/>
  </rowFields>
  <rowItems count="6">
    <i>
      <x v="2"/>
    </i>
    <i>
      <x/>
    </i>
    <i>
      <x v="4"/>
    </i>
    <i>
      <x v="1"/>
    </i>
    <i>
      <x v="3"/>
    </i>
    <i t="grand">
      <x/>
    </i>
  </rowItems>
  <colFields count="1">
    <field x="2"/>
  </colFields>
  <colItems count="5">
    <i>
      <x/>
    </i>
    <i>
      <x v="1"/>
    </i>
    <i>
      <x v="2"/>
    </i>
    <i>
      <x v="3"/>
    </i>
    <i t="grand">
      <x/>
    </i>
  </colItems>
  <dataFields count="1">
    <dataField name="Count of   Employee ID" fld="0" subtotal="count" baseField="0" baseItem="0"/>
  </dataFields>
  <chartFormats count="8">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7" format="8" series="1">
      <pivotArea type="data" outline="0" fieldPosition="0">
        <references count="2">
          <reference field="4294967294" count="1" selected="0">
            <x v="0"/>
          </reference>
          <reference field="2" count="1" selected="0">
            <x v="0"/>
          </reference>
        </references>
      </pivotArea>
    </chartFormat>
    <chartFormat chart="7" format="9" series="1">
      <pivotArea type="data" outline="0" fieldPosition="0">
        <references count="2">
          <reference field="4294967294" count="1" selected="0">
            <x v="0"/>
          </reference>
          <reference field="2" count="1" selected="0">
            <x v="1"/>
          </reference>
        </references>
      </pivotArea>
    </chartFormat>
    <chartFormat chart="7" format="10" series="1">
      <pivotArea type="data" outline="0" fieldPosition="0">
        <references count="2">
          <reference field="4294967294" count="1" selected="0">
            <x v="0"/>
          </reference>
          <reference field="2" count="1" selected="0">
            <x v="2"/>
          </reference>
        </references>
      </pivotArea>
    </chartFormat>
    <chartFormat chart="7" format="11"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CF1771-A28B-4C50-A543-9B2EAF0CB241}"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E10" firstHeaderRow="1" firstDataRow="2" firstDataCol="1" rowPageCount="1" colPageCount="1"/>
  <pivotFields count="13">
    <pivotField showAll="0"/>
    <pivotField showAll="0"/>
    <pivotField showAll="0"/>
    <pivotField axis="axisRow" showAll="0" sortType="descending">
      <items count="6">
        <item x="0"/>
        <item x="4"/>
        <item x="2"/>
        <item x="3"/>
        <item x="1"/>
        <item t="default"/>
      </items>
      <autoSortScope>
        <pivotArea dataOnly="0" outline="0" fieldPosition="0">
          <references count="1">
            <reference field="4294967294" count="1" selected="0">
              <x v="0"/>
            </reference>
          </references>
        </pivotArea>
      </autoSortScope>
    </pivotField>
    <pivotField showAll="0"/>
    <pivotField axis="axisPage" multipleItemSelectionAllowed="1" showAll="0">
      <items count="3">
        <item x="1"/>
        <item h="1" x="0"/>
        <item t="default"/>
      </items>
    </pivotField>
    <pivotField axis="axisCol" showAll="0">
      <items count="4">
        <item x="2"/>
        <item x="1"/>
        <item x="0"/>
        <item t="default"/>
      </items>
    </pivotField>
    <pivotField showAll="0"/>
    <pivotField dataField="1" showAll="0"/>
    <pivotField showAll="0"/>
    <pivotField showAll="0"/>
    <pivotField showAll="0"/>
    <pivotField showAll="0"/>
  </pivotFields>
  <rowFields count="1">
    <field x="3"/>
  </rowFields>
  <rowItems count="6">
    <i>
      <x v="3"/>
    </i>
    <i>
      <x/>
    </i>
    <i>
      <x v="2"/>
    </i>
    <i>
      <x v="1"/>
    </i>
    <i>
      <x v="4"/>
    </i>
    <i t="grand">
      <x/>
    </i>
  </rowItems>
  <colFields count="1">
    <field x="6"/>
  </colFields>
  <colItems count="4">
    <i>
      <x/>
    </i>
    <i>
      <x v="1"/>
    </i>
    <i>
      <x v="2"/>
    </i>
    <i t="grand">
      <x/>
    </i>
  </colItems>
  <pageFields count="1">
    <pageField fld="5" hier="-1"/>
  </pageFields>
  <dataFields count="1">
    <dataField name="Sum of Overtime Hours" fld="8" baseField="0" baseItem="0"/>
  </dataFields>
  <chartFormats count="6">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9" format="6" series="1">
      <pivotArea type="data" outline="0" fieldPosition="0">
        <references count="2">
          <reference field="4294967294" count="1" selected="0">
            <x v="0"/>
          </reference>
          <reference field="6" count="1" selected="0">
            <x v="0"/>
          </reference>
        </references>
      </pivotArea>
    </chartFormat>
    <chartFormat chart="9" format="7" series="1">
      <pivotArea type="data" outline="0" fieldPosition="0">
        <references count="2">
          <reference field="4294967294" count="1" selected="0">
            <x v="0"/>
          </reference>
          <reference field="6" count="1" selected="0">
            <x v="1"/>
          </reference>
        </references>
      </pivotArea>
    </chartFormat>
    <chartFormat chart="9" format="8"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0E0610-C699-4D73-96CA-B8AAFF87DC5D}"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G8" firstHeaderRow="1" firstDataRow="2" firstDataCol="1"/>
  <pivotFields count="13">
    <pivotField showAll="0"/>
    <pivotField axis="axisRow" showAll="0">
      <items count="4">
        <item x="0"/>
        <item x="1"/>
        <item x="2"/>
        <item t="default"/>
      </items>
    </pivotField>
    <pivotField showAll="0"/>
    <pivotField axis="axisCol" showAll="0">
      <items count="6">
        <item x="0"/>
        <item x="4"/>
        <item x="2"/>
        <item x="3"/>
        <item x="1"/>
        <item t="default"/>
      </items>
    </pivotField>
    <pivotField showAll="0"/>
    <pivotField showAll="0"/>
    <pivotField showAll="0"/>
    <pivotField showAll="0"/>
    <pivotField showAll="0"/>
    <pivotField showAll="0"/>
    <pivotField dataField="1" showAll="0"/>
    <pivotField showAll="0"/>
    <pivotField showAll="0"/>
  </pivotFields>
  <rowFields count="1">
    <field x="1"/>
  </rowFields>
  <rowItems count="4">
    <i>
      <x/>
    </i>
    <i>
      <x v="1"/>
    </i>
    <i>
      <x v="2"/>
    </i>
    <i t="grand">
      <x/>
    </i>
  </rowItems>
  <colFields count="1">
    <field x="3"/>
  </colFields>
  <colItems count="6">
    <i>
      <x/>
    </i>
    <i>
      <x v="1"/>
    </i>
    <i>
      <x v="2"/>
    </i>
    <i>
      <x v="3"/>
    </i>
    <i>
      <x v="4"/>
    </i>
    <i t="grand">
      <x/>
    </i>
  </colItems>
  <dataFields count="1">
    <dataField name="Average of Performance Rating (1-5)" fld="10" subtotal="average" baseField="0" baseItem="0" numFmtId="2"/>
  </dataFields>
  <chartFormats count="10">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9" format="10" series="1">
      <pivotArea type="data" outline="0" fieldPosition="0">
        <references count="2">
          <reference field="4294967294" count="1" selected="0">
            <x v="0"/>
          </reference>
          <reference field="3" count="1" selected="0">
            <x v="0"/>
          </reference>
        </references>
      </pivotArea>
    </chartFormat>
    <chartFormat chart="9" format="11" series="1">
      <pivotArea type="data" outline="0" fieldPosition="0">
        <references count="2">
          <reference field="4294967294" count="1" selected="0">
            <x v="0"/>
          </reference>
          <reference field="3" count="1" selected="0">
            <x v="1"/>
          </reference>
        </references>
      </pivotArea>
    </chartFormat>
    <chartFormat chart="9" format="12" series="1">
      <pivotArea type="data" outline="0" fieldPosition="0">
        <references count="2">
          <reference field="4294967294" count="1" selected="0">
            <x v="0"/>
          </reference>
          <reference field="3" count="1" selected="0">
            <x v="2"/>
          </reference>
        </references>
      </pivotArea>
    </chartFormat>
    <chartFormat chart="9" format="13" series="1">
      <pivotArea type="data" outline="0" fieldPosition="0">
        <references count="2">
          <reference field="4294967294" count="1" selected="0">
            <x v="0"/>
          </reference>
          <reference field="3" count="1" selected="0">
            <x v="3"/>
          </reference>
        </references>
      </pivotArea>
    </chartFormat>
    <chartFormat chart="9" format="1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2E403E-1EE9-4A32-9525-AF7A86148F0F}"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9" firstHeaderRow="0" firstDataRow="1" firstDataCol="1"/>
  <pivotFields count="13">
    <pivotField showAll="0"/>
    <pivotField showAll="0"/>
    <pivotField showAll="0"/>
    <pivotField axis="axisRow" showAll="0">
      <items count="6">
        <item x="0"/>
        <item x="4"/>
        <item x="2"/>
        <item x="3"/>
        <item x="1"/>
        <item t="default"/>
      </items>
    </pivotField>
    <pivotField showAll="0"/>
    <pivotField showAll="0"/>
    <pivotField showAll="0"/>
    <pivotField dataField="1" showAll="0"/>
    <pivotField dataField="1" showAll="0"/>
    <pivotField showAll="0"/>
    <pivotField showAll="0"/>
    <pivotField showAll="0"/>
    <pivotField showAll="0"/>
  </pivotFields>
  <rowFields count="1">
    <field x="3"/>
  </rowFields>
  <rowItems count="6">
    <i>
      <x/>
    </i>
    <i>
      <x v="1"/>
    </i>
    <i>
      <x v="2"/>
    </i>
    <i>
      <x v="3"/>
    </i>
    <i>
      <x v="4"/>
    </i>
    <i t="grand">
      <x/>
    </i>
  </rowItems>
  <colFields count="1">
    <field x="-2"/>
  </colFields>
  <colItems count="2">
    <i>
      <x/>
    </i>
    <i i="1">
      <x v="1"/>
    </i>
  </colItems>
  <dataFields count="2">
    <dataField name="Total hours" fld="7" baseField="3" baseItem="0"/>
    <dataField name="Sum of Overtime Hours" fld="8"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77612C-5DF8-4668-B208-2332A8BD8895}"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9" firstHeaderRow="0" firstDataRow="1" firstDataCol="1"/>
  <pivotFields count="13">
    <pivotField dataField="1" showAll="0"/>
    <pivotField showAll="0"/>
    <pivotField showAll="0"/>
    <pivotField axis="axisRow" showAll="0">
      <items count="6">
        <item x="0"/>
        <item x="4"/>
        <item x="2"/>
        <item x="3"/>
        <item x="1"/>
        <item t="default"/>
      </items>
    </pivotField>
    <pivotField showAll="0"/>
    <pivotField showAll="0"/>
    <pivotField showAll="0"/>
    <pivotField showAll="0"/>
    <pivotField dataField="1" showAll="0"/>
    <pivotField showAll="0"/>
    <pivotField showAll="0"/>
    <pivotField showAll="0"/>
    <pivotField showAll="0"/>
  </pivotFields>
  <rowFields count="1">
    <field x="3"/>
  </rowFields>
  <rowItems count="6">
    <i>
      <x/>
    </i>
    <i>
      <x v="1"/>
    </i>
    <i>
      <x v="2"/>
    </i>
    <i>
      <x v="3"/>
    </i>
    <i>
      <x v="4"/>
    </i>
    <i t="grand">
      <x/>
    </i>
  </rowItems>
  <colFields count="1">
    <field x="-2"/>
  </colFields>
  <colItems count="2">
    <i>
      <x/>
    </i>
    <i i="1">
      <x v="1"/>
    </i>
  </colItems>
  <dataFields count="2">
    <dataField name="Count of   Employee ID" fld="0" subtotal="count" baseField="0" baseItem="0"/>
    <dataField name="Sum of Overtime Hours" fld="8" baseField="0" baseItem="0"/>
  </dataFields>
  <chartFormats count="3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3" count="1" selected="0">
            <x v="0"/>
          </reference>
        </references>
      </pivotArea>
    </chartFormat>
    <chartFormat chart="5" format="4">
      <pivotArea type="data" outline="0" fieldPosition="0">
        <references count="2">
          <reference field="4294967294" count="1" selected="0">
            <x v="0"/>
          </reference>
          <reference field="3" count="1" selected="0">
            <x v="1"/>
          </reference>
        </references>
      </pivotArea>
    </chartFormat>
    <chartFormat chart="5" format="5">
      <pivotArea type="data" outline="0" fieldPosition="0">
        <references count="2">
          <reference field="4294967294" count="1" selected="0">
            <x v="0"/>
          </reference>
          <reference field="3" count="1" selected="0">
            <x v="2"/>
          </reference>
        </references>
      </pivotArea>
    </chartFormat>
    <chartFormat chart="5" format="6">
      <pivotArea type="data" outline="0" fieldPosition="0">
        <references count="2">
          <reference field="4294967294" count="1" selected="0">
            <x v="0"/>
          </reference>
          <reference field="3" count="1" selected="0">
            <x v="3"/>
          </reference>
        </references>
      </pivotArea>
    </chartFormat>
    <chartFormat chart="5" format="7">
      <pivotArea type="data" outline="0" fieldPosition="0">
        <references count="2">
          <reference field="4294967294" count="1" selected="0">
            <x v="0"/>
          </reference>
          <reference field="3" count="1" selected="0">
            <x v="4"/>
          </reference>
        </references>
      </pivotArea>
    </chartFormat>
    <chartFormat chart="5" format="8" series="1">
      <pivotArea type="data" outline="0" fieldPosition="0">
        <references count="1">
          <reference field="4294967294" count="1" selected="0">
            <x v="1"/>
          </reference>
        </references>
      </pivotArea>
    </chartFormat>
    <chartFormat chart="5" format="9">
      <pivotArea type="data" outline="0" fieldPosition="0">
        <references count="2">
          <reference field="4294967294" count="1" selected="0">
            <x v="1"/>
          </reference>
          <reference field="3" count="1" selected="0">
            <x v="0"/>
          </reference>
        </references>
      </pivotArea>
    </chartFormat>
    <chartFormat chart="5" format="10">
      <pivotArea type="data" outline="0" fieldPosition="0">
        <references count="2">
          <reference field="4294967294" count="1" selected="0">
            <x v="1"/>
          </reference>
          <reference field="3" count="1" selected="0">
            <x v="1"/>
          </reference>
        </references>
      </pivotArea>
    </chartFormat>
    <chartFormat chart="5" format="11">
      <pivotArea type="data" outline="0" fieldPosition="0">
        <references count="2">
          <reference field="4294967294" count="1" selected="0">
            <x v="1"/>
          </reference>
          <reference field="3" count="1" selected="0">
            <x v="2"/>
          </reference>
        </references>
      </pivotArea>
    </chartFormat>
    <chartFormat chart="5" format="12">
      <pivotArea type="data" outline="0" fieldPosition="0">
        <references count="2">
          <reference field="4294967294" count="1" selected="0">
            <x v="1"/>
          </reference>
          <reference field="3" count="1" selected="0">
            <x v="3"/>
          </reference>
        </references>
      </pivotArea>
    </chartFormat>
    <chartFormat chart="5" format="13">
      <pivotArea type="data" outline="0" fieldPosition="0">
        <references count="2">
          <reference field="4294967294" count="1" selected="0">
            <x v="1"/>
          </reference>
          <reference field="3" count="1" selected="0">
            <x v="4"/>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 chart="0" format="4">
      <pivotArea type="data" outline="0" fieldPosition="0">
        <references count="2">
          <reference field="4294967294" count="1" selected="0">
            <x v="0"/>
          </reference>
          <reference field="3" count="1" selected="0">
            <x v="2"/>
          </reference>
        </references>
      </pivotArea>
    </chartFormat>
    <chartFormat chart="0" format="5">
      <pivotArea type="data" outline="0" fieldPosition="0">
        <references count="2">
          <reference field="4294967294" count="1" selected="0">
            <x v="0"/>
          </reference>
          <reference field="3" count="1" selected="0">
            <x v="3"/>
          </reference>
        </references>
      </pivotArea>
    </chartFormat>
    <chartFormat chart="0" format="6">
      <pivotArea type="data" outline="0" fieldPosition="0">
        <references count="2">
          <reference field="4294967294" count="1" selected="0">
            <x v="0"/>
          </reference>
          <reference field="3" count="1" selected="0">
            <x v="4"/>
          </reference>
        </references>
      </pivotArea>
    </chartFormat>
    <chartFormat chart="0" format="7">
      <pivotArea type="data" outline="0" fieldPosition="0">
        <references count="2">
          <reference field="4294967294" count="1" selected="0">
            <x v="1"/>
          </reference>
          <reference field="3" count="1" selected="0">
            <x v="0"/>
          </reference>
        </references>
      </pivotArea>
    </chartFormat>
    <chartFormat chart="0" format="8">
      <pivotArea type="data" outline="0" fieldPosition="0">
        <references count="2">
          <reference field="4294967294" count="1" selected="0">
            <x v="1"/>
          </reference>
          <reference field="3" count="1" selected="0">
            <x v="1"/>
          </reference>
        </references>
      </pivotArea>
    </chartFormat>
    <chartFormat chart="0" format="9">
      <pivotArea type="data" outline="0" fieldPosition="0">
        <references count="2">
          <reference field="4294967294" count="1" selected="0">
            <x v="1"/>
          </reference>
          <reference field="3" count="1" selected="0">
            <x v="2"/>
          </reference>
        </references>
      </pivotArea>
    </chartFormat>
    <chartFormat chart="0" format="10">
      <pivotArea type="data" outline="0" fieldPosition="0">
        <references count="2">
          <reference field="4294967294" count="1" selected="0">
            <x v="1"/>
          </reference>
          <reference field="3" count="1" selected="0">
            <x v="3"/>
          </reference>
        </references>
      </pivotArea>
    </chartFormat>
    <chartFormat chart="0" format="11">
      <pivotArea type="data" outline="0" fieldPosition="0">
        <references count="2">
          <reference field="4294967294" count="1" selected="0">
            <x v="1"/>
          </reference>
          <reference field="3" count="1" selected="0">
            <x v="4"/>
          </reference>
        </references>
      </pivotArea>
    </chartFormat>
    <chartFormat chart="10" format="24" series="1">
      <pivotArea type="data" outline="0" fieldPosition="0">
        <references count="1">
          <reference field="4294967294" count="1" selected="0">
            <x v="0"/>
          </reference>
        </references>
      </pivotArea>
    </chartFormat>
    <chartFormat chart="10" format="25">
      <pivotArea type="data" outline="0" fieldPosition="0">
        <references count="2">
          <reference field="4294967294" count="1" selected="0">
            <x v="0"/>
          </reference>
          <reference field="3" count="1" selected="0">
            <x v="0"/>
          </reference>
        </references>
      </pivotArea>
    </chartFormat>
    <chartFormat chart="10" format="26">
      <pivotArea type="data" outline="0" fieldPosition="0">
        <references count="2">
          <reference field="4294967294" count="1" selected="0">
            <x v="0"/>
          </reference>
          <reference field="3" count="1" selected="0">
            <x v="1"/>
          </reference>
        </references>
      </pivotArea>
    </chartFormat>
    <chartFormat chart="10" format="27">
      <pivotArea type="data" outline="0" fieldPosition="0">
        <references count="2">
          <reference field="4294967294" count="1" selected="0">
            <x v="0"/>
          </reference>
          <reference field="3" count="1" selected="0">
            <x v="2"/>
          </reference>
        </references>
      </pivotArea>
    </chartFormat>
    <chartFormat chart="10" format="28">
      <pivotArea type="data" outline="0" fieldPosition="0">
        <references count="2">
          <reference field="4294967294" count="1" selected="0">
            <x v="0"/>
          </reference>
          <reference field="3" count="1" selected="0">
            <x v="3"/>
          </reference>
        </references>
      </pivotArea>
    </chartFormat>
    <chartFormat chart="10" format="29">
      <pivotArea type="data" outline="0" fieldPosition="0">
        <references count="2">
          <reference field="4294967294" count="1" selected="0">
            <x v="0"/>
          </reference>
          <reference field="3" count="1" selected="0">
            <x v="4"/>
          </reference>
        </references>
      </pivotArea>
    </chartFormat>
    <chartFormat chart="10" format="30" series="1">
      <pivotArea type="data" outline="0" fieldPosition="0">
        <references count="1">
          <reference field="4294967294" count="1" selected="0">
            <x v="1"/>
          </reference>
        </references>
      </pivotArea>
    </chartFormat>
    <chartFormat chart="10" format="31">
      <pivotArea type="data" outline="0" fieldPosition="0">
        <references count="2">
          <reference field="4294967294" count="1" selected="0">
            <x v="1"/>
          </reference>
          <reference field="3" count="1" selected="0">
            <x v="0"/>
          </reference>
        </references>
      </pivotArea>
    </chartFormat>
    <chartFormat chart="10" format="32">
      <pivotArea type="data" outline="0" fieldPosition="0">
        <references count="2">
          <reference field="4294967294" count="1" selected="0">
            <x v="1"/>
          </reference>
          <reference field="3" count="1" selected="0">
            <x v="1"/>
          </reference>
        </references>
      </pivotArea>
    </chartFormat>
    <chartFormat chart="10" format="33">
      <pivotArea type="data" outline="0" fieldPosition="0">
        <references count="2">
          <reference field="4294967294" count="1" selected="0">
            <x v="1"/>
          </reference>
          <reference field="3" count="1" selected="0">
            <x v="2"/>
          </reference>
        </references>
      </pivotArea>
    </chartFormat>
    <chartFormat chart="10" format="34">
      <pivotArea type="data" outline="0" fieldPosition="0">
        <references count="2">
          <reference field="4294967294" count="1" selected="0">
            <x v="1"/>
          </reference>
          <reference field="3" count="1" selected="0">
            <x v="3"/>
          </reference>
        </references>
      </pivotArea>
    </chartFormat>
    <chartFormat chart="10" format="35">
      <pivotArea type="data" outline="0" fieldPosition="0">
        <references count="2">
          <reference field="4294967294" count="1" selected="0">
            <x v="1"/>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C52CAC7-F8EF-4A44-B15F-CB7B00B42DF0}"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13">
    <pivotField showAll="0"/>
    <pivotField showAll="0"/>
    <pivotField showAll="0"/>
    <pivotField axis="axisRow" showAll="0">
      <items count="6">
        <item x="0"/>
        <item x="4"/>
        <item x="2"/>
        <item x="3"/>
        <item x="1"/>
        <item t="default"/>
      </items>
    </pivotField>
    <pivotField showAll="0"/>
    <pivotField showAll="0"/>
    <pivotField showAll="0"/>
    <pivotField showAll="0"/>
    <pivotField showAll="0"/>
    <pivotField dataField="1" showAll="0"/>
    <pivotField showAll="0"/>
    <pivotField showAll="0"/>
    <pivotField showAll="0"/>
  </pivotFields>
  <rowFields count="1">
    <field x="3"/>
  </rowFields>
  <rowItems count="6">
    <i>
      <x/>
    </i>
    <i>
      <x v="1"/>
    </i>
    <i>
      <x v="2"/>
    </i>
    <i>
      <x v="3"/>
    </i>
    <i>
      <x v="4"/>
    </i>
    <i t="grand">
      <x/>
    </i>
  </rowItems>
  <colItems count="1">
    <i/>
  </colItems>
  <dataFields count="1">
    <dataField name="Average of Hourly Rate (USD)" fld="9" subtotal="average" baseField="3" baseItem="3"/>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78FB2DA-6A3F-44B2-B3C3-72E5CB908D49}" sourceName="Department">
  <pivotTables>
    <pivotTable tabId="10" name="PivotTable2"/>
    <pivotTable tabId="11" name="PivotTable3"/>
    <pivotTable tabId="15" name="PivotTable1"/>
    <pivotTable tabId="14" name="PivotTable2"/>
    <pivotTable tabId="12" name="PivotTable4"/>
    <pivotTable tabId="18" name="PivotTable1"/>
  </pivotTables>
  <data>
    <tabular pivotCacheId="1761634083">
      <items count="5">
        <i x="0" s="1"/>
        <i x="4"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E31BDF8-4E3D-4F70-A7F3-DEC06DB0CC78}" cache="Slicer_Department" caption="Departme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acticeData" displayName="PracticeData" ref="A1:M501" totalsRowShown="0">
  <tableColumns count="13">
    <tableColumn id="1" xr3:uid="{00000000-0010-0000-0000-000001000000}" name="  Employee ID"/>
    <tableColumn id="2" xr3:uid="{00000000-0010-0000-0000-000002000000}" name="Review Year"/>
    <tableColumn id="3" xr3:uid="{00000000-0010-0000-0000-000003000000}" name="State"/>
    <tableColumn id="4" xr3:uid="{00000000-0010-0000-0000-000004000000}" name="Department"/>
    <tableColumn id="5" xr3:uid="{00000000-0010-0000-0000-000005000000}" name="Role"/>
    <tableColumn id="6" xr3:uid="{00000000-0010-0000-0000-000006000000}" name="Employment Type"/>
    <tableColumn id="7" xr3:uid="{00000000-0010-0000-0000-000007000000}" name="Shift"/>
    <tableColumn id="8" xr3:uid="{00000000-0010-0000-0000-000008000000}" name="Hours Worked"/>
    <tableColumn id="9" xr3:uid="{00000000-0010-0000-0000-000009000000}" name="Overtime Hours"/>
    <tableColumn id="10" xr3:uid="{00000000-0010-0000-0000-00000A000000}" name="Hourly Rate (USD)"/>
    <tableColumn id="11" xr3:uid="{00000000-0010-0000-0000-00000B000000}" name="Performance Rating (1-5)"/>
    <tableColumn id="12" xr3:uid="{00000000-0010-0000-0000-00000C000000}" name="Training Hours"/>
    <tableColumn id="13" xr3:uid="{00000000-0010-0000-0000-00000D000000}" name="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4104C-8E7D-478B-97FD-B43273470B02}">
  <dimension ref="A3:F15"/>
  <sheetViews>
    <sheetView workbookViewId="0">
      <selection activeCell="K14" sqref="K14"/>
    </sheetView>
  </sheetViews>
  <sheetFormatPr defaultRowHeight="14.25"/>
  <cols>
    <col min="1" max="1" width="21.375" bestFit="1" customWidth="1"/>
    <col min="2" max="2" width="16.125" bestFit="1" customWidth="1"/>
    <col min="3" max="3" width="9.375" bestFit="1" customWidth="1"/>
    <col min="4" max="4" width="5.125" bestFit="1" customWidth="1"/>
    <col min="5" max="5" width="6.25" bestFit="1" customWidth="1"/>
    <col min="6" max="6" width="11.375" bestFit="1" customWidth="1"/>
  </cols>
  <sheetData>
    <row r="3" spans="1:6">
      <c r="A3" s="3" t="s">
        <v>541</v>
      </c>
      <c r="B3" s="3" t="s">
        <v>539</v>
      </c>
    </row>
    <row r="4" spans="1:6">
      <c r="A4" s="3" t="s">
        <v>537</v>
      </c>
      <c r="B4" t="s">
        <v>23</v>
      </c>
      <c r="C4" t="s">
        <v>20</v>
      </c>
      <c r="D4" t="s">
        <v>45</v>
      </c>
      <c r="E4" t="s">
        <v>13</v>
      </c>
      <c r="F4" t="s">
        <v>538</v>
      </c>
    </row>
    <row r="5" spans="1:6">
      <c r="A5" s="4" t="s">
        <v>28</v>
      </c>
      <c r="B5">
        <v>34</v>
      </c>
      <c r="C5">
        <v>29</v>
      </c>
      <c r="D5">
        <v>21</v>
      </c>
      <c r="E5">
        <v>21</v>
      </c>
      <c r="F5">
        <v>105</v>
      </c>
    </row>
    <row r="6" spans="1:6">
      <c r="A6" s="4" t="s">
        <v>14</v>
      </c>
      <c r="B6">
        <v>34</v>
      </c>
      <c r="C6">
        <v>18</v>
      </c>
      <c r="D6">
        <v>27</v>
      </c>
      <c r="E6">
        <v>25</v>
      </c>
      <c r="F6">
        <v>104</v>
      </c>
    </row>
    <row r="7" spans="1:6">
      <c r="A7" s="4" t="s">
        <v>24</v>
      </c>
      <c r="B7">
        <v>31</v>
      </c>
      <c r="C7">
        <v>24</v>
      </c>
      <c r="D7">
        <v>24</v>
      </c>
      <c r="E7">
        <v>21</v>
      </c>
      <c r="F7">
        <v>100</v>
      </c>
    </row>
    <row r="8" spans="1:6">
      <c r="A8" s="4" t="s">
        <v>37</v>
      </c>
      <c r="B8">
        <v>28</v>
      </c>
      <c r="C8">
        <v>28</v>
      </c>
      <c r="D8">
        <v>18</v>
      </c>
      <c r="E8">
        <v>22</v>
      </c>
      <c r="F8">
        <v>96</v>
      </c>
    </row>
    <row r="9" spans="1:6">
      <c r="A9" s="4" t="s">
        <v>35</v>
      </c>
      <c r="B9">
        <v>21</v>
      </c>
      <c r="C9">
        <v>30</v>
      </c>
      <c r="D9">
        <v>17</v>
      </c>
      <c r="E9">
        <v>27</v>
      </c>
      <c r="F9">
        <v>95</v>
      </c>
    </row>
    <row r="10" spans="1:6">
      <c r="A10" s="4" t="s">
        <v>538</v>
      </c>
      <c r="B10">
        <v>148</v>
      </c>
      <c r="C10">
        <v>129</v>
      </c>
      <c r="D10">
        <v>107</v>
      </c>
      <c r="E10">
        <v>116</v>
      </c>
      <c r="F10">
        <v>500</v>
      </c>
    </row>
    <row r="15" spans="1:6">
      <c r="A15" t="s">
        <v>542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EECDA-FFE8-4AC5-A7AB-DB088ECC4275}">
  <dimension ref="A1:E14"/>
  <sheetViews>
    <sheetView workbookViewId="0">
      <selection activeCell="G13" sqref="A2:G13"/>
    </sheetView>
  </sheetViews>
  <sheetFormatPr defaultRowHeight="14.25"/>
  <cols>
    <col min="1" max="1" width="22" bestFit="1" customWidth="1"/>
    <col min="2" max="2" width="16.125" bestFit="1" customWidth="1"/>
    <col min="3" max="3" width="8.25" bestFit="1" customWidth="1"/>
    <col min="4" max="4" width="5.625" bestFit="1" customWidth="1"/>
    <col min="5" max="5" width="11.375" bestFit="1" customWidth="1"/>
  </cols>
  <sheetData>
    <row r="1" spans="1:5">
      <c r="A1" s="3" t="s">
        <v>4</v>
      </c>
      <c r="B1" t="s">
        <v>21</v>
      </c>
    </row>
    <row r="3" spans="1:5">
      <c r="A3" s="3" t="s">
        <v>543</v>
      </c>
      <c r="B3" s="3" t="s">
        <v>539</v>
      </c>
    </row>
    <row r="4" spans="1:5">
      <c r="A4" s="3" t="s">
        <v>537</v>
      </c>
      <c r="B4" t="s">
        <v>38</v>
      </c>
      <c r="C4" t="s">
        <v>25</v>
      </c>
      <c r="D4" t="s">
        <v>17</v>
      </c>
      <c r="E4" t="s">
        <v>538</v>
      </c>
    </row>
    <row r="5" spans="1:5">
      <c r="A5" s="4" t="s">
        <v>35</v>
      </c>
      <c r="B5">
        <v>1786</v>
      </c>
      <c r="C5">
        <v>2846</v>
      </c>
      <c r="D5">
        <v>2323</v>
      </c>
      <c r="E5">
        <v>6955</v>
      </c>
    </row>
    <row r="6" spans="1:5">
      <c r="A6" s="4" t="s">
        <v>14</v>
      </c>
      <c r="B6">
        <v>1950</v>
      </c>
      <c r="C6">
        <v>2290</v>
      </c>
      <c r="D6">
        <v>2586</v>
      </c>
      <c r="E6">
        <v>6826</v>
      </c>
    </row>
    <row r="7" spans="1:5">
      <c r="A7" s="4" t="s">
        <v>28</v>
      </c>
      <c r="B7">
        <v>1897</v>
      </c>
      <c r="C7">
        <v>2254</v>
      </c>
      <c r="D7">
        <v>1654</v>
      </c>
      <c r="E7">
        <v>5805</v>
      </c>
    </row>
    <row r="8" spans="1:5">
      <c r="A8" s="4" t="s">
        <v>37</v>
      </c>
      <c r="B8">
        <v>1954</v>
      </c>
      <c r="C8">
        <v>2509</v>
      </c>
      <c r="D8">
        <v>836</v>
      </c>
      <c r="E8">
        <v>5299</v>
      </c>
    </row>
    <row r="9" spans="1:5">
      <c r="A9" s="4" t="s">
        <v>24</v>
      </c>
      <c r="B9">
        <v>1414</v>
      </c>
      <c r="C9">
        <v>2488</v>
      </c>
      <c r="D9">
        <v>951</v>
      </c>
      <c r="E9">
        <v>4853</v>
      </c>
    </row>
    <row r="10" spans="1:5">
      <c r="A10" s="4" t="s">
        <v>538</v>
      </c>
      <c r="B10">
        <v>9001</v>
      </c>
      <c r="C10">
        <v>12387</v>
      </c>
      <c r="D10">
        <v>8350</v>
      </c>
      <c r="E10">
        <v>29738</v>
      </c>
    </row>
    <row r="14" spans="1:5">
      <c r="A14" t="s">
        <v>544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C6754-DEB4-4BC4-BB74-252543508442}">
  <dimension ref="A3:G8"/>
  <sheetViews>
    <sheetView workbookViewId="0">
      <selection activeCell="M35" sqref="M35"/>
    </sheetView>
  </sheetViews>
  <sheetFormatPr defaultRowHeight="14.25"/>
  <cols>
    <col min="1" max="1" width="33.75" bestFit="1" customWidth="1"/>
    <col min="2" max="2" width="17.375" bestFit="1" customWidth="1"/>
    <col min="3" max="3" width="7.875" bestFit="1" customWidth="1"/>
    <col min="4" max="4" width="4.375" bestFit="1" customWidth="1"/>
    <col min="5" max="5" width="10.75" bestFit="1" customWidth="1"/>
    <col min="6" max="6" width="11.25" bestFit="1" customWidth="1"/>
    <col min="7" max="7" width="11.375" bestFit="1" customWidth="1"/>
  </cols>
  <sheetData>
    <row r="3" spans="1:7">
      <c r="A3" s="3" t="s">
        <v>545</v>
      </c>
      <c r="B3" s="3" t="s">
        <v>539</v>
      </c>
    </row>
    <row r="4" spans="1:7">
      <c r="A4" s="3" t="s">
        <v>537</v>
      </c>
      <c r="B4" t="s">
        <v>14</v>
      </c>
      <c r="C4" t="s">
        <v>37</v>
      </c>
      <c r="D4" t="s">
        <v>28</v>
      </c>
      <c r="E4" t="s">
        <v>35</v>
      </c>
      <c r="F4" t="s">
        <v>24</v>
      </c>
      <c r="G4" t="s">
        <v>538</v>
      </c>
    </row>
    <row r="5" spans="1:7">
      <c r="A5" s="4">
        <v>2022</v>
      </c>
      <c r="B5" s="5">
        <v>3.0625</v>
      </c>
      <c r="C5" s="5">
        <v>3.3846153846153846</v>
      </c>
      <c r="D5" s="5">
        <v>3.3720930232558142</v>
      </c>
      <c r="E5" s="5">
        <v>3.34375</v>
      </c>
      <c r="F5" s="5">
        <v>3.2105263157894739</v>
      </c>
      <c r="G5" s="5">
        <v>3.2650000000000001</v>
      </c>
    </row>
    <row r="6" spans="1:7">
      <c r="A6" s="4">
        <v>2023</v>
      </c>
      <c r="B6" s="5">
        <v>3.1052631578947367</v>
      </c>
      <c r="C6" s="5">
        <v>3.05</v>
      </c>
      <c r="D6" s="5">
        <v>2.9069767441860463</v>
      </c>
      <c r="E6" s="5">
        <v>2.975609756097561</v>
      </c>
      <c r="F6" s="5">
        <v>2.9473684210526314</v>
      </c>
      <c r="G6" s="5">
        <v>2.9950000000000001</v>
      </c>
    </row>
    <row r="7" spans="1:7">
      <c r="A7" s="4">
        <v>2024</v>
      </c>
      <c r="B7" s="5">
        <v>3.1666666666666665</v>
      </c>
      <c r="C7" s="5">
        <v>3</v>
      </c>
      <c r="D7" s="5">
        <v>2.9473684210526314</v>
      </c>
      <c r="E7" s="5">
        <v>3.5909090909090908</v>
      </c>
      <c r="F7" s="5">
        <v>3.375</v>
      </c>
      <c r="G7" s="5">
        <v>3.24</v>
      </c>
    </row>
    <row r="8" spans="1:7">
      <c r="A8" s="4" t="s">
        <v>538</v>
      </c>
      <c r="B8" s="5">
        <v>3.0961538461538463</v>
      </c>
      <c r="C8" s="5">
        <v>3.1770833333333335</v>
      </c>
      <c r="D8" s="5">
        <v>3.1047619047619048</v>
      </c>
      <c r="E8" s="5">
        <v>3.2421052631578946</v>
      </c>
      <c r="F8" s="5">
        <v>3.15</v>
      </c>
      <c r="G8" s="5">
        <v>3.1520000000000001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0B8AD-3342-44B2-8CAF-989292C40E65}">
  <dimension ref="A3:G38"/>
  <sheetViews>
    <sheetView workbookViewId="0">
      <selection activeCell="A38" sqref="A38"/>
    </sheetView>
  </sheetViews>
  <sheetFormatPr defaultRowHeight="14.25"/>
  <cols>
    <col min="1" max="1" width="16" bestFit="1" customWidth="1"/>
    <col min="2" max="2" width="11" bestFit="1" customWidth="1"/>
    <col min="3" max="3" width="22" bestFit="1" customWidth="1"/>
    <col min="4" max="4" width="27.625" bestFit="1" customWidth="1"/>
    <col min="5" max="5" width="27" customWidth="1"/>
    <col min="6" max="6" width="25.75" customWidth="1"/>
    <col min="7" max="7" width="24" customWidth="1"/>
  </cols>
  <sheetData>
    <row r="3" spans="1:7" ht="15">
      <c r="A3" s="3" t="s">
        <v>537</v>
      </c>
      <c r="B3" t="s">
        <v>546</v>
      </c>
      <c r="C3" t="s">
        <v>543</v>
      </c>
      <c r="E3" s="6" t="s">
        <v>547</v>
      </c>
      <c r="F3" s="6" t="s">
        <v>549</v>
      </c>
      <c r="G3" s="6" t="s">
        <v>550</v>
      </c>
    </row>
    <row r="4" spans="1:7">
      <c r="A4" s="4" t="s">
        <v>14</v>
      </c>
      <c r="B4">
        <v>153192</v>
      </c>
      <c r="C4">
        <v>12447</v>
      </c>
      <c r="E4" s="8">
        <f>B4*D4</f>
        <v>0</v>
      </c>
      <c r="F4" s="7">
        <v>708222</v>
      </c>
      <c r="G4" s="7">
        <f t="shared" ref="G4:G9" si="0">E4+F4</f>
        <v>708222</v>
      </c>
    </row>
    <row r="5" spans="1:7">
      <c r="A5" s="4" t="s">
        <v>37</v>
      </c>
      <c r="B5">
        <v>135665</v>
      </c>
      <c r="C5">
        <v>11812</v>
      </c>
      <c r="E5" s="8">
        <f>B5*D5</f>
        <v>0</v>
      </c>
      <c r="F5" s="7">
        <f>C5*D5*1.5</f>
        <v>0</v>
      </c>
      <c r="G5" s="7">
        <f t="shared" si="0"/>
        <v>0</v>
      </c>
    </row>
    <row r="6" spans="1:7">
      <c r="A6" s="4" t="s">
        <v>28</v>
      </c>
      <c r="B6">
        <v>150195</v>
      </c>
      <c r="C6">
        <v>12593</v>
      </c>
      <c r="E6" s="8">
        <f>B6*D6</f>
        <v>0</v>
      </c>
      <c r="F6" s="7">
        <f>C6*D6*1.5</f>
        <v>0</v>
      </c>
      <c r="G6" s="7">
        <f t="shared" si="0"/>
        <v>0</v>
      </c>
    </row>
    <row r="7" spans="1:7">
      <c r="A7" s="4" t="s">
        <v>35</v>
      </c>
      <c r="B7">
        <v>141101</v>
      </c>
      <c r="C7">
        <v>12670</v>
      </c>
      <c r="E7" s="8">
        <f>B7*D7</f>
        <v>0</v>
      </c>
      <c r="F7" s="7">
        <f>C7*D7*1.5</f>
        <v>0</v>
      </c>
      <c r="G7" s="7">
        <f t="shared" si="0"/>
        <v>0</v>
      </c>
    </row>
    <row r="8" spans="1:7">
      <c r="A8" s="4" t="s">
        <v>24</v>
      </c>
      <c r="B8">
        <v>146842</v>
      </c>
      <c r="C8">
        <v>12526</v>
      </c>
      <c r="E8" s="8">
        <f t="shared" ref="E8" si="1">B8*D8</f>
        <v>0</v>
      </c>
      <c r="F8" s="7">
        <f>C8*D8*1.5</f>
        <v>0</v>
      </c>
      <c r="G8" s="7">
        <f t="shared" si="0"/>
        <v>0</v>
      </c>
    </row>
    <row r="9" spans="1:7">
      <c r="A9" s="4" t="s">
        <v>538</v>
      </c>
      <c r="B9">
        <v>726995</v>
      </c>
      <c r="C9">
        <v>62048</v>
      </c>
      <c r="E9" s="8">
        <f>B9*D9</f>
        <v>0</v>
      </c>
      <c r="F9" s="7">
        <f>F4+F5+F6+F7+F8</f>
        <v>708222</v>
      </c>
      <c r="G9" s="7">
        <f t="shared" si="0"/>
        <v>708222</v>
      </c>
    </row>
    <row r="38" spans="1:1">
      <c r="A38" t="s">
        <v>552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E7F6B-E5D2-402D-A1C4-C2D433E7B8CE}">
  <dimension ref="A3:D9"/>
  <sheetViews>
    <sheetView workbookViewId="0">
      <selection activeCell="G14" sqref="G14"/>
    </sheetView>
  </sheetViews>
  <sheetFormatPr defaultRowHeight="14.25"/>
  <cols>
    <col min="1" max="1" width="16" bestFit="1" customWidth="1"/>
    <col min="2" max="2" width="21.375" bestFit="1" customWidth="1"/>
    <col min="3" max="3" width="22" bestFit="1" customWidth="1"/>
    <col min="4" max="4" width="27.625" customWidth="1"/>
    <col min="5" max="5" width="18.75" customWidth="1"/>
  </cols>
  <sheetData>
    <row r="3" spans="1:4" ht="15">
      <c r="A3" s="3" t="s">
        <v>537</v>
      </c>
      <c r="B3" t="s">
        <v>541</v>
      </c>
      <c r="C3" t="s">
        <v>543</v>
      </c>
      <c r="D3" s="6" t="s">
        <v>551</v>
      </c>
    </row>
    <row r="4" spans="1:4">
      <c r="A4" s="4" t="s">
        <v>14</v>
      </c>
      <c r="B4">
        <v>104</v>
      </c>
      <c r="C4">
        <v>12447</v>
      </c>
      <c r="D4" s="5">
        <f>C4/B4</f>
        <v>119.68269230769231</v>
      </c>
    </row>
    <row r="5" spans="1:4">
      <c r="A5" s="4" t="s">
        <v>37</v>
      </c>
      <c r="B5">
        <v>96</v>
      </c>
      <c r="C5">
        <v>11812</v>
      </c>
      <c r="D5" s="5">
        <f t="shared" ref="D5:D9" si="0">C5/B5</f>
        <v>123.04166666666667</v>
      </c>
    </row>
    <row r="6" spans="1:4">
      <c r="A6" s="4" t="s">
        <v>28</v>
      </c>
      <c r="B6">
        <v>105</v>
      </c>
      <c r="C6">
        <v>12593</v>
      </c>
      <c r="D6" s="5">
        <f t="shared" si="0"/>
        <v>119.93333333333334</v>
      </c>
    </row>
    <row r="7" spans="1:4">
      <c r="A7" s="4" t="s">
        <v>35</v>
      </c>
      <c r="B7">
        <v>95</v>
      </c>
      <c r="C7">
        <v>12670</v>
      </c>
      <c r="D7" s="5">
        <f t="shared" si="0"/>
        <v>133.36842105263159</v>
      </c>
    </row>
    <row r="8" spans="1:4">
      <c r="A8" s="4" t="s">
        <v>24</v>
      </c>
      <c r="B8">
        <v>100</v>
      </c>
      <c r="C8">
        <v>12526</v>
      </c>
      <c r="D8" s="5">
        <f t="shared" si="0"/>
        <v>125.26</v>
      </c>
    </row>
    <row r="9" spans="1:4">
      <c r="A9" s="4" t="s">
        <v>538</v>
      </c>
      <c r="B9">
        <v>500</v>
      </c>
      <c r="C9">
        <v>62048</v>
      </c>
      <c r="D9" s="5">
        <f t="shared" si="0"/>
        <v>124.096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5D3CA-EA01-476D-9C87-BE0B794DC2E0}">
  <dimension ref="A3:B9"/>
  <sheetViews>
    <sheetView workbookViewId="0">
      <selection activeCell="I32" sqref="I32"/>
    </sheetView>
  </sheetViews>
  <sheetFormatPr defaultRowHeight="14.25"/>
  <cols>
    <col min="1" max="1" width="16" bestFit="1" customWidth="1"/>
    <col min="2" max="2" width="27.625" bestFit="1" customWidth="1"/>
  </cols>
  <sheetData>
    <row r="3" spans="1:2">
      <c r="A3" s="3" t="s">
        <v>537</v>
      </c>
      <c r="B3" t="s">
        <v>548</v>
      </c>
    </row>
    <row r="4" spans="1:2">
      <c r="A4" s="4" t="s">
        <v>14</v>
      </c>
      <c r="B4">
        <v>37.932692307692307</v>
      </c>
    </row>
    <row r="5" spans="1:2">
      <c r="A5" s="4" t="s">
        <v>37</v>
      </c>
      <c r="B5">
        <v>39.916666666666664</v>
      </c>
    </row>
    <row r="6" spans="1:2">
      <c r="A6" s="4" t="s">
        <v>28</v>
      </c>
      <c r="B6">
        <v>38.666666666666664</v>
      </c>
    </row>
    <row r="7" spans="1:2">
      <c r="A7" s="4" t="s">
        <v>35</v>
      </c>
      <c r="B7">
        <v>41</v>
      </c>
    </row>
    <row r="8" spans="1:2">
      <c r="A8" s="4" t="s">
        <v>24</v>
      </c>
      <c r="B8">
        <v>38.58</v>
      </c>
    </row>
    <row r="9" spans="1:2">
      <c r="A9" s="4" t="s">
        <v>538</v>
      </c>
      <c r="B9">
        <v>39.18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01"/>
  <sheetViews>
    <sheetView workbookViewId="0">
      <pane ySplit="1" topLeftCell="A2" activePane="bottomLeft" state="frozen"/>
      <selection pane="bottomLeft" activeCell="D11" sqref="D11"/>
    </sheetView>
  </sheetViews>
  <sheetFormatPr defaultRowHeight="14.25"/>
  <cols>
    <col min="1" max="13" width="20" customWidth="1"/>
  </cols>
  <sheetData>
    <row r="1" spans="1:13" ht="35.1" customHeight="1">
      <c r="A1" s="1" t="s">
        <v>540</v>
      </c>
      <c r="B1" s="1" t="s">
        <v>0</v>
      </c>
      <c r="C1" s="1" t="s">
        <v>1</v>
      </c>
      <c r="D1" s="1" t="s">
        <v>2</v>
      </c>
      <c r="E1" s="1" t="s">
        <v>3</v>
      </c>
      <c r="F1" s="1" t="s">
        <v>4</v>
      </c>
      <c r="G1" s="1" t="s">
        <v>5</v>
      </c>
      <c r="H1" s="1" t="s">
        <v>6</v>
      </c>
      <c r="I1" s="1" t="s">
        <v>7</v>
      </c>
      <c r="J1" s="1" t="s">
        <v>8</v>
      </c>
      <c r="K1" s="1" t="s">
        <v>9</v>
      </c>
      <c r="L1" s="1" t="s">
        <v>10</v>
      </c>
      <c r="M1" s="1" t="s">
        <v>11</v>
      </c>
    </row>
    <row r="2" spans="1:13">
      <c r="A2" t="s">
        <v>12</v>
      </c>
      <c r="B2">
        <v>2022</v>
      </c>
      <c r="C2" t="s">
        <v>13</v>
      </c>
      <c r="D2" t="s">
        <v>14</v>
      </c>
      <c r="E2" t="s">
        <v>15</v>
      </c>
      <c r="F2" t="s">
        <v>16</v>
      </c>
      <c r="G2" t="s">
        <v>17</v>
      </c>
      <c r="H2">
        <v>1280</v>
      </c>
      <c r="I2">
        <v>61</v>
      </c>
      <c r="J2">
        <v>55</v>
      </c>
      <c r="K2">
        <v>5</v>
      </c>
      <c r="L2">
        <v>51</v>
      </c>
      <c r="M2" t="s">
        <v>18</v>
      </c>
    </row>
    <row r="3" spans="1:13">
      <c r="A3" t="s">
        <v>19</v>
      </c>
      <c r="B3">
        <v>2022</v>
      </c>
      <c r="C3" t="s">
        <v>20</v>
      </c>
      <c r="D3" t="s">
        <v>14</v>
      </c>
      <c r="E3" t="s">
        <v>15</v>
      </c>
      <c r="F3" t="s">
        <v>21</v>
      </c>
      <c r="G3" t="s">
        <v>17</v>
      </c>
      <c r="H3">
        <v>1976</v>
      </c>
      <c r="I3">
        <v>211</v>
      </c>
      <c r="J3">
        <v>29</v>
      </c>
      <c r="K3">
        <v>2</v>
      </c>
      <c r="L3">
        <v>80</v>
      </c>
      <c r="M3" t="s">
        <v>18</v>
      </c>
    </row>
    <row r="4" spans="1:13">
      <c r="A4" t="s">
        <v>22</v>
      </c>
      <c r="B4">
        <v>2022</v>
      </c>
      <c r="C4" t="s">
        <v>23</v>
      </c>
      <c r="D4" t="s">
        <v>24</v>
      </c>
      <c r="E4" t="s">
        <v>15</v>
      </c>
      <c r="F4" t="s">
        <v>21</v>
      </c>
      <c r="G4" t="s">
        <v>25</v>
      </c>
      <c r="H4">
        <v>1055</v>
      </c>
      <c r="I4">
        <v>126</v>
      </c>
      <c r="J4">
        <v>22</v>
      </c>
      <c r="K4">
        <v>4</v>
      </c>
      <c r="L4">
        <v>25</v>
      </c>
      <c r="M4" t="s">
        <v>18</v>
      </c>
    </row>
    <row r="5" spans="1:13">
      <c r="A5" t="s">
        <v>26</v>
      </c>
      <c r="B5">
        <v>2022</v>
      </c>
      <c r="C5" t="s">
        <v>20</v>
      </c>
      <c r="D5" t="s">
        <v>14</v>
      </c>
      <c r="E5" t="s">
        <v>15</v>
      </c>
      <c r="F5" t="s">
        <v>21</v>
      </c>
      <c r="G5" t="s">
        <v>17</v>
      </c>
      <c r="H5">
        <v>911</v>
      </c>
      <c r="I5">
        <v>189</v>
      </c>
      <c r="J5">
        <v>17</v>
      </c>
      <c r="K5">
        <v>2</v>
      </c>
      <c r="L5">
        <v>31</v>
      </c>
      <c r="M5" t="s">
        <v>18</v>
      </c>
    </row>
    <row r="6" spans="1:13">
      <c r="A6" t="s">
        <v>27</v>
      </c>
      <c r="B6">
        <v>2022</v>
      </c>
      <c r="C6" t="s">
        <v>23</v>
      </c>
      <c r="D6" t="s">
        <v>28</v>
      </c>
      <c r="E6" t="s">
        <v>29</v>
      </c>
      <c r="F6" t="s">
        <v>16</v>
      </c>
      <c r="G6" t="s">
        <v>17</v>
      </c>
      <c r="H6">
        <v>1975</v>
      </c>
      <c r="I6">
        <v>76</v>
      </c>
      <c r="J6">
        <v>17</v>
      </c>
      <c r="K6">
        <v>4</v>
      </c>
      <c r="L6">
        <v>6</v>
      </c>
      <c r="M6" t="s">
        <v>30</v>
      </c>
    </row>
    <row r="7" spans="1:13">
      <c r="A7" t="s">
        <v>31</v>
      </c>
      <c r="B7">
        <v>2022</v>
      </c>
      <c r="C7" t="s">
        <v>13</v>
      </c>
      <c r="D7" t="s">
        <v>24</v>
      </c>
      <c r="E7" t="s">
        <v>32</v>
      </c>
      <c r="F7" t="s">
        <v>16</v>
      </c>
      <c r="G7" t="s">
        <v>17</v>
      </c>
      <c r="H7">
        <v>1660</v>
      </c>
      <c r="I7">
        <v>121</v>
      </c>
      <c r="J7">
        <v>37</v>
      </c>
      <c r="K7">
        <v>5</v>
      </c>
      <c r="L7">
        <v>72</v>
      </c>
      <c r="M7" t="s">
        <v>18</v>
      </c>
    </row>
    <row r="8" spans="1:13">
      <c r="A8" t="s">
        <v>33</v>
      </c>
      <c r="B8">
        <v>2022</v>
      </c>
      <c r="C8" t="s">
        <v>23</v>
      </c>
      <c r="D8" t="s">
        <v>28</v>
      </c>
      <c r="E8" t="s">
        <v>15</v>
      </c>
      <c r="F8" t="s">
        <v>16</v>
      </c>
      <c r="G8" t="s">
        <v>25</v>
      </c>
      <c r="H8">
        <v>981</v>
      </c>
      <c r="I8">
        <v>235</v>
      </c>
      <c r="J8">
        <v>37</v>
      </c>
      <c r="K8">
        <v>3</v>
      </c>
      <c r="L8">
        <v>59</v>
      </c>
      <c r="M8" t="s">
        <v>18</v>
      </c>
    </row>
    <row r="9" spans="1:13">
      <c r="A9" t="s">
        <v>34</v>
      </c>
      <c r="B9">
        <v>2022</v>
      </c>
      <c r="C9" t="s">
        <v>20</v>
      </c>
      <c r="D9" t="s">
        <v>35</v>
      </c>
      <c r="E9" t="s">
        <v>29</v>
      </c>
      <c r="F9" t="s">
        <v>21</v>
      </c>
      <c r="G9" t="s">
        <v>17</v>
      </c>
      <c r="H9">
        <v>977</v>
      </c>
      <c r="I9">
        <v>223</v>
      </c>
      <c r="J9">
        <v>19</v>
      </c>
      <c r="K9">
        <v>5</v>
      </c>
      <c r="L9">
        <v>45</v>
      </c>
      <c r="M9" t="s">
        <v>30</v>
      </c>
    </row>
    <row r="10" spans="1:13">
      <c r="A10" t="s">
        <v>36</v>
      </c>
      <c r="B10">
        <v>2022</v>
      </c>
      <c r="C10" t="s">
        <v>13</v>
      </c>
      <c r="D10" t="s">
        <v>37</v>
      </c>
      <c r="E10" t="s">
        <v>32</v>
      </c>
      <c r="F10" t="s">
        <v>16</v>
      </c>
      <c r="G10" t="s">
        <v>38</v>
      </c>
      <c r="H10">
        <v>1132</v>
      </c>
      <c r="I10">
        <v>247</v>
      </c>
      <c r="J10">
        <v>18</v>
      </c>
      <c r="K10">
        <v>5</v>
      </c>
      <c r="L10">
        <v>75</v>
      </c>
      <c r="M10" t="s">
        <v>18</v>
      </c>
    </row>
    <row r="11" spans="1:13">
      <c r="A11" t="s">
        <v>39</v>
      </c>
      <c r="B11">
        <v>2022</v>
      </c>
      <c r="C11" t="s">
        <v>23</v>
      </c>
      <c r="D11" t="s">
        <v>35</v>
      </c>
      <c r="E11" t="s">
        <v>32</v>
      </c>
      <c r="F11" t="s">
        <v>21</v>
      </c>
      <c r="G11" t="s">
        <v>25</v>
      </c>
      <c r="H11">
        <v>1058</v>
      </c>
      <c r="I11">
        <v>224</v>
      </c>
      <c r="J11">
        <v>52</v>
      </c>
      <c r="K11">
        <v>5</v>
      </c>
      <c r="L11">
        <v>56</v>
      </c>
      <c r="M11" t="s">
        <v>18</v>
      </c>
    </row>
    <row r="12" spans="1:13">
      <c r="A12" t="s">
        <v>40</v>
      </c>
      <c r="B12">
        <v>2022</v>
      </c>
      <c r="C12" t="s">
        <v>20</v>
      </c>
      <c r="D12" t="s">
        <v>24</v>
      </c>
      <c r="E12" t="s">
        <v>32</v>
      </c>
      <c r="F12" t="s">
        <v>16</v>
      </c>
      <c r="G12" t="s">
        <v>17</v>
      </c>
      <c r="H12">
        <v>938</v>
      </c>
      <c r="I12">
        <v>51</v>
      </c>
      <c r="J12">
        <v>53</v>
      </c>
      <c r="K12">
        <v>2</v>
      </c>
      <c r="L12">
        <v>68</v>
      </c>
      <c r="M12" t="s">
        <v>30</v>
      </c>
    </row>
    <row r="13" spans="1:13">
      <c r="A13" t="s">
        <v>41</v>
      </c>
      <c r="B13">
        <v>2022</v>
      </c>
      <c r="C13" t="s">
        <v>20</v>
      </c>
      <c r="D13" t="s">
        <v>37</v>
      </c>
      <c r="E13" t="s">
        <v>42</v>
      </c>
      <c r="F13" t="s">
        <v>21</v>
      </c>
      <c r="G13" t="s">
        <v>38</v>
      </c>
      <c r="H13">
        <v>1936</v>
      </c>
      <c r="I13">
        <v>21</v>
      </c>
      <c r="J13">
        <v>18</v>
      </c>
      <c r="K13">
        <v>4</v>
      </c>
      <c r="L13">
        <v>18</v>
      </c>
      <c r="M13" t="s">
        <v>18</v>
      </c>
    </row>
    <row r="14" spans="1:13">
      <c r="A14" t="s">
        <v>43</v>
      </c>
      <c r="B14">
        <v>2022</v>
      </c>
      <c r="C14" t="s">
        <v>13</v>
      </c>
      <c r="D14" t="s">
        <v>37</v>
      </c>
      <c r="E14" t="s">
        <v>42</v>
      </c>
      <c r="F14" t="s">
        <v>16</v>
      </c>
      <c r="G14" t="s">
        <v>38</v>
      </c>
      <c r="H14">
        <v>1493</v>
      </c>
      <c r="I14">
        <v>250</v>
      </c>
      <c r="J14">
        <v>27</v>
      </c>
      <c r="K14">
        <v>1</v>
      </c>
      <c r="L14">
        <v>70</v>
      </c>
      <c r="M14" t="s">
        <v>18</v>
      </c>
    </row>
    <row r="15" spans="1:13">
      <c r="A15" t="s">
        <v>44</v>
      </c>
      <c r="B15">
        <v>2022</v>
      </c>
      <c r="C15" t="s">
        <v>45</v>
      </c>
      <c r="D15" t="s">
        <v>35</v>
      </c>
      <c r="E15" t="s">
        <v>15</v>
      </c>
      <c r="F15" t="s">
        <v>16</v>
      </c>
      <c r="G15" t="s">
        <v>17</v>
      </c>
      <c r="H15">
        <v>1883</v>
      </c>
      <c r="I15">
        <v>94</v>
      </c>
      <c r="J15">
        <v>34</v>
      </c>
      <c r="K15">
        <v>1</v>
      </c>
      <c r="L15">
        <v>45</v>
      </c>
      <c r="M15" t="s">
        <v>18</v>
      </c>
    </row>
    <row r="16" spans="1:13">
      <c r="A16" t="s">
        <v>46</v>
      </c>
      <c r="B16">
        <v>2022</v>
      </c>
      <c r="C16" t="s">
        <v>23</v>
      </c>
      <c r="D16" t="s">
        <v>37</v>
      </c>
      <c r="E16" t="s">
        <v>29</v>
      </c>
      <c r="F16" t="s">
        <v>21</v>
      </c>
      <c r="G16" t="s">
        <v>38</v>
      </c>
      <c r="H16">
        <v>1105</v>
      </c>
      <c r="I16">
        <v>76</v>
      </c>
      <c r="J16">
        <v>32</v>
      </c>
      <c r="K16">
        <v>2</v>
      </c>
      <c r="L16">
        <v>27</v>
      </c>
      <c r="M16" t="s">
        <v>18</v>
      </c>
    </row>
    <row r="17" spans="1:13">
      <c r="A17" t="s">
        <v>47</v>
      </c>
      <c r="B17">
        <v>2022</v>
      </c>
      <c r="C17" t="s">
        <v>13</v>
      </c>
      <c r="D17" t="s">
        <v>37</v>
      </c>
      <c r="E17" t="s">
        <v>42</v>
      </c>
      <c r="F17" t="s">
        <v>21</v>
      </c>
      <c r="G17" t="s">
        <v>17</v>
      </c>
      <c r="H17">
        <v>2021</v>
      </c>
      <c r="I17">
        <v>210</v>
      </c>
      <c r="J17">
        <v>28</v>
      </c>
      <c r="K17">
        <v>2</v>
      </c>
      <c r="L17">
        <v>80</v>
      </c>
      <c r="M17" t="s">
        <v>18</v>
      </c>
    </row>
    <row r="18" spans="1:13">
      <c r="A18" t="s">
        <v>48</v>
      </c>
      <c r="B18">
        <v>2022</v>
      </c>
      <c r="C18" t="s">
        <v>20</v>
      </c>
      <c r="D18" t="s">
        <v>35</v>
      </c>
      <c r="E18" t="s">
        <v>29</v>
      </c>
      <c r="F18" t="s">
        <v>21</v>
      </c>
      <c r="G18" t="s">
        <v>25</v>
      </c>
      <c r="H18">
        <v>1551</v>
      </c>
      <c r="I18">
        <v>139</v>
      </c>
      <c r="J18">
        <v>54</v>
      </c>
      <c r="K18">
        <v>4</v>
      </c>
      <c r="L18">
        <v>1</v>
      </c>
      <c r="M18" t="s">
        <v>30</v>
      </c>
    </row>
    <row r="19" spans="1:13">
      <c r="A19" t="s">
        <v>49</v>
      </c>
      <c r="B19">
        <v>2022</v>
      </c>
      <c r="C19" t="s">
        <v>13</v>
      </c>
      <c r="D19" t="s">
        <v>14</v>
      </c>
      <c r="E19" t="s">
        <v>15</v>
      </c>
      <c r="F19" t="s">
        <v>21</v>
      </c>
      <c r="G19" t="s">
        <v>17</v>
      </c>
      <c r="H19">
        <v>1751</v>
      </c>
      <c r="I19">
        <v>97</v>
      </c>
      <c r="J19">
        <v>21</v>
      </c>
      <c r="K19">
        <v>1</v>
      </c>
      <c r="L19">
        <v>14</v>
      </c>
      <c r="M19" t="s">
        <v>18</v>
      </c>
    </row>
    <row r="20" spans="1:13">
      <c r="A20" t="s">
        <v>50</v>
      </c>
      <c r="B20">
        <v>2022</v>
      </c>
      <c r="C20" t="s">
        <v>23</v>
      </c>
      <c r="D20" t="s">
        <v>14</v>
      </c>
      <c r="E20" t="s">
        <v>15</v>
      </c>
      <c r="F20" t="s">
        <v>21</v>
      </c>
      <c r="G20" t="s">
        <v>17</v>
      </c>
      <c r="H20">
        <v>2040</v>
      </c>
      <c r="I20">
        <v>211</v>
      </c>
      <c r="J20">
        <v>39</v>
      </c>
      <c r="K20">
        <v>1</v>
      </c>
      <c r="L20">
        <v>25</v>
      </c>
      <c r="M20" t="s">
        <v>30</v>
      </c>
    </row>
    <row r="21" spans="1:13">
      <c r="A21" t="s">
        <v>51</v>
      </c>
      <c r="B21">
        <v>2022</v>
      </c>
      <c r="C21" t="s">
        <v>23</v>
      </c>
      <c r="D21" t="s">
        <v>35</v>
      </c>
      <c r="E21" t="s">
        <v>15</v>
      </c>
      <c r="F21" t="s">
        <v>16</v>
      </c>
      <c r="G21" t="s">
        <v>17</v>
      </c>
      <c r="H21">
        <v>1633</v>
      </c>
      <c r="I21">
        <v>160</v>
      </c>
      <c r="J21">
        <v>20</v>
      </c>
      <c r="K21">
        <v>5</v>
      </c>
      <c r="L21">
        <v>48</v>
      </c>
      <c r="M21" t="s">
        <v>18</v>
      </c>
    </row>
    <row r="22" spans="1:13">
      <c r="A22" t="s">
        <v>52</v>
      </c>
      <c r="B22">
        <v>2022</v>
      </c>
      <c r="C22" t="s">
        <v>20</v>
      </c>
      <c r="D22" t="s">
        <v>35</v>
      </c>
      <c r="E22" t="s">
        <v>32</v>
      </c>
      <c r="F22" t="s">
        <v>21</v>
      </c>
      <c r="G22" t="s">
        <v>25</v>
      </c>
      <c r="H22">
        <v>1393</v>
      </c>
      <c r="I22">
        <v>125</v>
      </c>
      <c r="J22">
        <v>50</v>
      </c>
      <c r="K22">
        <v>5</v>
      </c>
      <c r="L22">
        <v>4</v>
      </c>
      <c r="M22" t="s">
        <v>18</v>
      </c>
    </row>
    <row r="23" spans="1:13">
      <c r="A23" t="s">
        <v>53</v>
      </c>
      <c r="B23">
        <v>2022</v>
      </c>
      <c r="C23" t="s">
        <v>20</v>
      </c>
      <c r="D23" t="s">
        <v>24</v>
      </c>
      <c r="E23" t="s">
        <v>15</v>
      </c>
      <c r="F23" t="s">
        <v>21</v>
      </c>
      <c r="G23" t="s">
        <v>25</v>
      </c>
      <c r="H23">
        <v>1634</v>
      </c>
      <c r="I23">
        <v>173</v>
      </c>
      <c r="J23">
        <v>30</v>
      </c>
      <c r="K23">
        <v>5</v>
      </c>
      <c r="L23">
        <v>6</v>
      </c>
      <c r="M23" t="s">
        <v>30</v>
      </c>
    </row>
    <row r="24" spans="1:13">
      <c r="A24" t="s">
        <v>54</v>
      </c>
      <c r="B24">
        <v>2022</v>
      </c>
      <c r="C24" t="s">
        <v>13</v>
      </c>
      <c r="D24" t="s">
        <v>28</v>
      </c>
      <c r="E24" t="s">
        <v>32</v>
      </c>
      <c r="F24" t="s">
        <v>21</v>
      </c>
      <c r="G24" t="s">
        <v>25</v>
      </c>
      <c r="H24">
        <v>1008</v>
      </c>
      <c r="I24">
        <v>222</v>
      </c>
      <c r="J24">
        <v>44</v>
      </c>
      <c r="K24">
        <v>5</v>
      </c>
      <c r="L24">
        <v>74</v>
      </c>
      <c r="M24" t="s">
        <v>18</v>
      </c>
    </row>
    <row r="25" spans="1:13">
      <c r="A25" t="s">
        <v>55</v>
      </c>
      <c r="B25">
        <v>2022</v>
      </c>
      <c r="C25" t="s">
        <v>13</v>
      </c>
      <c r="D25" t="s">
        <v>28</v>
      </c>
      <c r="E25" t="s">
        <v>15</v>
      </c>
      <c r="F25" t="s">
        <v>16</v>
      </c>
      <c r="G25" t="s">
        <v>25</v>
      </c>
      <c r="H25">
        <v>1514</v>
      </c>
      <c r="I25">
        <v>115</v>
      </c>
      <c r="J25">
        <v>20</v>
      </c>
      <c r="K25">
        <v>1</v>
      </c>
      <c r="L25">
        <v>27</v>
      </c>
      <c r="M25" t="s">
        <v>18</v>
      </c>
    </row>
    <row r="26" spans="1:13">
      <c r="A26" t="s">
        <v>56</v>
      </c>
      <c r="B26">
        <v>2022</v>
      </c>
      <c r="C26" t="s">
        <v>13</v>
      </c>
      <c r="D26" t="s">
        <v>35</v>
      </c>
      <c r="E26" t="s">
        <v>42</v>
      </c>
      <c r="F26" t="s">
        <v>21</v>
      </c>
      <c r="G26" t="s">
        <v>38</v>
      </c>
      <c r="H26">
        <v>1045</v>
      </c>
      <c r="I26">
        <v>166</v>
      </c>
      <c r="J26">
        <v>46</v>
      </c>
      <c r="K26">
        <v>5</v>
      </c>
      <c r="L26">
        <v>88</v>
      </c>
      <c r="M26" t="s">
        <v>18</v>
      </c>
    </row>
    <row r="27" spans="1:13">
      <c r="A27" t="s">
        <v>57</v>
      </c>
      <c r="B27">
        <v>2022</v>
      </c>
      <c r="C27" t="s">
        <v>13</v>
      </c>
      <c r="D27" t="s">
        <v>14</v>
      </c>
      <c r="E27" t="s">
        <v>29</v>
      </c>
      <c r="F27" t="s">
        <v>16</v>
      </c>
      <c r="G27" t="s">
        <v>17</v>
      </c>
      <c r="H27">
        <v>1015</v>
      </c>
      <c r="I27">
        <v>219</v>
      </c>
      <c r="J27">
        <v>30</v>
      </c>
      <c r="K27">
        <v>5</v>
      </c>
      <c r="L27">
        <v>42</v>
      </c>
      <c r="M27" t="s">
        <v>18</v>
      </c>
    </row>
    <row r="28" spans="1:13">
      <c r="A28" t="s">
        <v>58</v>
      </c>
      <c r="B28">
        <v>2022</v>
      </c>
      <c r="C28" t="s">
        <v>23</v>
      </c>
      <c r="D28" t="s">
        <v>14</v>
      </c>
      <c r="E28" t="s">
        <v>15</v>
      </c>
      <c r="F28" t="s">
        <v>21</v>
      </c>
      <c r="G28" t="s">
        <v>17</v>
      </c>
      <c r="H28">
        <v>1197</v>
      </c>
      <c r="I28">
        <v>184</v>
      </c>
      <c r="J28">
        <v>24</v>
      </c>
      <c r="K28">
        <v>3</v>
      </c>
      <c r="L28">
        <v>73</v>
      </c>
      <c r="M28" t="s">
        <v>18</v>
      </c>
    </row>
    <row r="29" spans="1:13">
      <c r="A29" t="s">
        <v>59</v>
      </c>
      <c r="B29">
        <v>2022</v>
      </c>
      <c r="C29" t="s">
        <v>20</v>
      </c>
      <c r="D29" t="s">
        <v>14</v>
      </c>
      <c r="E29" t="s">
        <v>32</v>
      </c>
      <c r="F29" t="s">
        <v>21</v>
      </c>
      <c r="G29" t="s">
        <v>38</v>
      </c>
      <c r="H29">
        <v>1919</v>
      </c>
      <c r="I29">
        <v>126</v>
      </c>
      <c r="J29">
        <v>32</v>
      </c>
      <c r="K29">
        <v>3</v>
      </c>
      <c r="L29">
        <v>6</v>
      </c>
      <c r="M29" t="s">
        <v>18</v>
      </c>
    </row>
    <row r="30" spans="1:13">
      <c r="A30" t="s">
        <v>60</v>
      </c>
      <c r="B30">
        <v>2022</v>
      </c>
      <c r="C30" t="s">
        <v>23</v>
      </c>
      <c r="D30" t="s">
        <v>14</v>
      </c>
      <c r="E30" t="s">
        <v>42</v>
      </c>
      <c r="F30" t="s">
        <v>21</v>
      </c>
      <c r="G30" t="s">
        <v>17</v>
      </c>
      <c r="H30">
        <v>1821</v>
      </c>
      <c r="I30">
        <v>91</v>
      </c>
      <c r="J30">
        <v>39</v>
      </c>
      <c r="K30">
        <v>4</v>
      </c>
      <c r="L30">
        <v>79</v>
      </c>
      <c r="M30" t="s">
        <v>18</v>
      </c>
    </row>
    <row r="31" spans="1:13">
      <c r="A31" t="s">
        <v>61</v>
      </c>
      <c r="B31">
        <v>2022</v>
      </c>
      <c r="C31" t="s">
        <v>20</v>
      </c>
      <c r="D31" t="s">
        <v>37</v>
      </c>
      <c r="E31" t="s">
        <v>15</v>
      </c>
      <c r="F31" t="s">
        <v>16</v>
      </c>
      <c r="G31" t="s">
        <v>38</v>
      </c>
      <c r="H31">
        <v>2001</v>
      </c>
      <c r="I31">
        <v>90</v>
      </c>
      <c r="J31">
        <v>51</v>
      </c>
      <c r="K31">
        <v>2</v>
      </c>
      <c r="L31">
        <v>5</v>
      </c>
      <c r="M31" t="s">
        <v>18</v>
      </c>
    </row>
    <row r="32" spans="1:13">
      <c r="A32" t="s">
        <v>62</v>
      </c>
      <c r="B32">
        <v>2022</v>
      </c>
      <c r="C32" t="s">
        <v>20</v>
      </c>
      <c r="D32" t="s">
        <v>14</v>
      </c>
      <c r="E32" t="s">
        <v>15</v>
      </c>
      <c r="F32" t="s">
        <v>16</v>
      </c>
      <c r="G32" t="s">
        <v>38</v>
      </c>
      <c r="H32">
        <v>1238</v>
      </c>
      <c r="I32">
        <v>42</v>
      </c>
      <c r="J32">
        <v>61</v>
      </c>
      <c r="K32">
        <v>5</v>
      </c>
      <c r="L32">
        <v>21</v>
      </c>
      <c r="M32" t="s">
        <v>18</v>
      </c>
    </row>
    <row r="33" spans="1:13">
      <c r="A33" t="s">
        <v>63</v>
      </c>
      <c r="B33">
        <v>2022</v>
      </c>
      <c r="C33" t="s">
        <v>20</v>
      </c>
      <c r="D33" t="s">
        <v>35</v>
      </c>
      <c r="E33" t="s">
        <v>32</v>
      </c>
      <c r="F33" t="s">
        <v>21</v>
      </c>
      <c r="G33" t="s">
        <v>25</v>
      </c>
      <c r="H33">
        <v>1984</v>
      </c>
      <c r="I33">
        <v>134</v>
      </c>
      <c r="J33">
        <v>32</v>
      </c>
      <c r="K33">
        <v>3</v>
      </c>
      <c r="L33">
        <v>50</v>
      </c>
      <c r="M33" t="s">
        <v>18</v>
      </c>
    </row>
    <row r="34" spans="1:13">
      <c r="A34" t="s">
        <v>64</v>
      </c>
      <c r="B34">
        <v>2022</v>
      </c>
      <c r="C34" t="s">
        <v>23</v>
      </c>
      <c r="D34" t="s">
        <v>28</v>
      </c>
      <c r="E34" t="s">
        <v>29</v>
      </c>
      <c r="F34" t="s">
        <v>16</v>
      </c>
      <c r="G34" t="s">
        <v>25</v>
      </c>
      <c r="H34">
        <v>1111</v>
      </c>
      <c r="I34">
        <v>78</v>
      </c>
      <c r="J34">
        <v>44</v>
      </c>
      <c r="K34">
        <v>5</v>
      </c>
      <c r="L34">
        <v>53</v>
      </c>
      <c r="M34" t="s">
        <v>18</v>
      </c>
    </row>
    <row r="35" spans="1:13">
      <c r="A35" t="s">
        <v>65</v>
      </c>
      <c r="B35">
        <v>2022</v>
      </c>
      <c r="C35" t="s">
        <v>13</v>
      </c>
      <c r="D35" t="s">
        <v>24</v>
      </c>
      <c r="E35" t="s">
        <v>29</v>
      </c>
      <c r="F35" t="s">
        <v>16</v>
      </c>
      <c r="G35" t="s">
        <v>25</v>
      </c>
      <c r="H35">
        <v>1934</v>
      </c>
      <c r="I35">
        <v>83</v>
      </c>
      <c r="J35">
        <v>18</v>
      </c>
      <c r="K35">
        <v>2</v>
      </c>
      <c r="L35">
        <v>64</v>
      </c>
      <c r="M35" t="s">
        <v>18</v>
      </c>
    </row>
    <row r="36" spans="1:13">
      <c r="A36" t="s">
        <v>66</v>
      </c>
      <c r="B36">
        <v>2022</v>
      </c>
      <c r="C36" t="s">
        <v>20</v>
      </c>
      <c r="D36" t="s">
        <v>35</v>
      </c>
      <c r="E36" t="s">
        <v>32</v>
      </c>
      <c r="F36" t="s">
        <v>21</v>
      </c>
      <c r="G36" t="s">
        <v>17</v>
      </c>
      <c r="H36">
        <v>1260</v>
      </c>
      <c r="I36">
        <v>250</v>
      </c>
      <c r="J36">
        <v>27</v>
      </c>
      <c r="K36">
        <v>4</v>
      </c>
      <c r="L36">
        <v>80</v>
      </c>
      <c r="M36" t="s">
        <v>30</v>
      </c>
    </row>
    <row r="37" spans="1:13">
      <c r="A37" t="s">
        <v>67</v>
      </c>
      <c r="B37">
        <v>2022</v>
      </c>
      <c r="C37" t="s">
        <v>13</v>
      </c>
      <c r="D37" t="s">
        <v>14</v>
      </c>
      <c r="E37" t="s">
        <v>29</v>
      </c>
      <c r="F37" t="s">
        <v>16</v>
      </c>
      <c r="G37" t="s">
        <v>25</v>
      </c>
      <c r="H37">
        <v>1164</v>
      </c>
      <c r="I37">
        <v>59</v>
      </c>
      <c r="J37">
        <v>19</v>
      </c>
      <c r="K37">
        <v>5</v>
      </c>
      <c r="L37">
        <v>73</v>
      </c>
      <c r="M37" t="s">
        <v>30</v>
      </c>
    </row>
    <row r="38" spans="1:13">
      <c r="A38" t="s">
        <v>68</v>
      </c>
      <c r="B38">
        <v>2022</v>
      </c>
      <c r="C38" t="s">
        <v>20</v>
      </c>
      <c r="D38" t="s">
        <v>28</v>
      </c>
      <c r="E38" t="s">
        <v>32</v>
      </c>
      <c r="F38" t="s">
        <v>16</v>
      </c>
      <c r="G38" t="s">
        <v>17</v>
      </c>
      <c r="H38">
        <v>1326</v>
      </c>
      <c r="I38">
        <v>72</v>
      </c>
      <c r="J38">
        <v>41</v>
      </c>
      <c r="K38">
        <v>5</v>
      </c>
      <c r="L38">
        <v>22</v>
      </c>
      <c r="M38" t="s">
        <v>30</v>
      </c>
    </row>
    <row r="39" spans="1:13">
      <c r="A39" t="s">
        <v>69</v>
      </c>
      <c r="B39">
        <v>2022</v>
      </c>
      <c r="C39" t="s">
        <v>23</v>
      </c>
      <c r="D39" t="s">
        <v>24</v>
      </c>
      <c r="E39" t="s">
        <v>42</v>
      </c>
      <c r="F39" t="s">
        <v>21</v>
      </c>
      <c r="G39" t="s">
        <v>38</v>
      </c>
      <c r="H39">
        <v>1142</v>
      </c>
      <c r="I39">
        <v>47</v>
      </c>
      <c r="J39">
        <v>37</v>
      </c>
      <c r="K39">
        <v>1</v>
      </c>
      <c r="L39">
        <v>39</v>
      </c>
      <c r="M39" t="s">
        <v>18</v>
      </c>
    </row>
    <row r="40" spans="1:13">
      <c r="A40" t="s">
        <v>70</v>
      </c>
      <c r="B40">
        <v>2022</v>
      </c>
      <c r="C40" t="s">
        <v>20</v>
      </c>
      <c r="D40" t="s">
        <v>28</v>
      </c>
      <c r="E40" t="s">
        <v>29</v>
      </c>
      <c r="F40" t="s">
        <v>21</v>
      </c>
      <c r="G40" t="s">
        <v>17</v>
      </c>
      <c r="H40">
        <v>1901</v>
      </c>
      <c r="I40">
        <v>11</v>
      </c>
      <c r="J40">
        <v>31</v>
      </c>
      <c r="K40">
        <v>5</v>
      </c>
      <c r="L40">
        <v>63</v>
      </c>
      <c r="M40" t="s">
        <v>18</v>
      </c>
    </row>
    <row r="41" spans="1:13">
      <c r="A41" t="s">
        <v>71</v>
      </c>
      <c r="B41">
        <v>2022</v>
      </c>
      <c r="C41" t="s">
        <v>13</v>
      </c>
      <c r="D41" t="s">
        <v>37</v>
      </c>
      <c r="E41" t="s">
        <v>32</v>
      </c>
      <c r="F41" t="s">
        <v>21</v>
      </c>
      <c r="G41" t="s">
        <v>17</v>
      </c>
      <c r="H41">
        <v>1361</v>
      </c>
      <c r="I41">
        <v>102</v>
      </c>
      <c r="J41">
        <v>41</v>
      </c>
      <c r="K41">
        <v>5</v>
      </c>
      <c r="L41">
        <v>14</v>
      </c>
      <c r="M41" t="s">
        <v>18</v>
      </c>
    </row>
    <row r="42" spans="1:13">
      <c r="A42" t="s">
        <v>72</v>
      </c>
      <c r="B42">
        <v>2022</v>
      </c>
      <c r="C42" t="s">
        <v>23</v>
      </c>
      <c r="D42" t="s">
        <v>28</v>
      </c>
      <c r="E42" t="s">
        <v>15</v>
      </c>
      <c r="F42" t="s">
        <v>16</v>
      </c>
      <c r="G42" t="s">
        <v>38</v>
      </c>
      <c r="H42">
        <v>1206</v>
      </c>
      <c r="I42">
        <v>97</v>
      </c>
      <c r="J42">
        <v>53</v>
      </c>
      <c r="K42">
        <v>4</v>
      </c>
      <c r="L42">
        <v>47</v>
      </c>
      <c r="M42" t="s">
        <v>18</v>
      </c>
    </row>
    <row r="43" spans="1:13">
      <c r="A43" t="s">
        <v>73</v>
      </c>
      <c r="B43">
        <v>2022</v>
      </c>
      <c r="C43" t="s">
        <v>13</v>
      </c>
      <c r="D43" t="s">
        <v>35</v>
      </c>
      <c r="E43" t="s">
        <v>15</v>
      </c>
      <c r="F43" t="s">
        <v>21</v>
      </c>
      <c r="G43" t="s">
        <v>38</v>
      </c>
      <c r="H43">
        <v>1180</v>
      </c>
      <c r="I43">
        <v>102</v>
      </c>
      <c r="J43">
        <v>60</v>
      </c>
      <c r="K43">
        <v>1</v>
      </c>
      <c r="L43">
        <v>49</v>
      </c>
      <c r="M43" t="s">
        <v>18</v>
      </c>
    </row>
    <row r="44" spans="1:13">
      <c r="A44" t="s">
        <v>74</v>
      </c>
      <c r="B44">
        <v>2022</v>
      </c>
      <c r="C44" t="s">
        <v>23</v>
      </c>
      <c r="D44" t="s">
        <v>24</v>
      </c>
      <c r="E44" t="s">
        <v>42</v>
      </c>
      <c r="F44" t="s">
        <v>21</v>
      </c>
      <c r="G44" t="s">
        <v>25</v>
      </c>
      <c r="H44">
        <v>1876</v>
      </c>
      <c r="I44">
        <v>202</v>
      </c>
      <c r="J44">
        <v>29</v>
      </c>
      <c r="K44">
        <v>1</v>
      </c>
      <c r="L44">
        <v>4</v>
      </c>
      <c r="M44" t="s">
        <v>18</v>
      </c>
    </row>
    <row r="45" spans="1:13">
      <c r="A45" t="s">
        <v>75</v>
      </c>
      <c r="B45">
        <v>2022</v>
      </c>
      <c r="C45" t="s">
        <v>23</v>
      </c>
      <c r="D45" t="s">
        <v>14</v>
      </c>
      <c r="E45" t="s">
        <v>32</v>
      </c>
      <c r="F45" t="s">
        <v>16</v>
      </c>
      <c r="G45" t="s">
        <v>25</v>
      </c>
      <c r="H45">
        <v>1411</v>
      </c>
      <c r="I45">
        <v>250</v>
      </c>
      <c r="J45">
        <v>32</v>
      </c>
      <c r="K45">
        <v>2</v>
      </c>
      <c r="L45">
        <v>84</v>
      </c>
      <c r="M45" t="s">
        <v>18</v>
      </c>
    </row>
    <row r="46" spans="1:13">
      <c r="A46" t="s">
        <v>76</v>
      </c>
      <c r="B46">
        <v>2022</v>
      </c>
      <c r="C46" t="s">
        <v>23</v>
      </c>
      <c r="D46" t="s">
        <v>24</v>
      </c>
      <c r="E46" t="s">
        <v>15</v>
      </c>
      <c r="F46" t="s">
        <v>16</v>
      </c>
      <c r="G46" t="s">
        <v>25</v>
      </c>
      <c r="H46">
        <v>1624</v>
      </c>
      <c r="I46">
        <v>181</v>
      </c>
      <c r="J46">
        <v>52</v>
      </c>
      <c r="K46">
        <v>5</v>
      </c>
      <c r="L46">
        <v>44</v>
      </c>
      <c r="M46" t="s">
        <v>18</v>
      </c>
    </row>
    <row r="47" spans="1:13">
      <c r="A47" t="s">
        <v>77</v>
      </c>
      <c r="B47">
        <v>2022</v>
      </c>
      <c r="C47" t="s">
        <v>23</v>
      </c>
      <c r="D47" t="s">
        <v>14</v>
      </c>
      <c r="E47" t="s">
        <v>32</v>
      </c>
      <c r="F47" t="s">
        <v>21</v>
      </c>
      <c r="G47" t="s">
        <v>25</v>
      </c>
      <c r="H47">
        <v>1595</v>
      </c>
      <c r="I47">
        <v>2</v>
      </c>
      <c r="J47">
        <v>23</v>
      </c>
      <c r="K47">
        <v>3</v>
      </c>
      <c r="L47">
        <v>72</v>
      </c>
      <c r="M47" t="s">
        <v>18</v>
      </c>
    </row>
    <row r="48" spans="1:13">
      <c r="A48" t="s">
        <v>78</v>
      </c>
      <c r="B48">
        <v>2022</v>
      </c>
      <c r="C48" t="s">
        <v>20</v>
      </c>
      <c r="D48" t="s">
        <v>24</v>
      </c>
      <c r="E48" t="s">
        <v>15</v>
      </c>
      <c r="F48" t="s">
        <v>16</v>
      </c>
      <c r="G48" t="s">
        <v>38</v>
      </c>
      <c r="H48">
        <v>1142</v>
      </c>
      <c r="I48">
        <v>103</v>
      </c>
      <c r="J48">
        <v>36</v>
      </c>
      <c r="K48">
        <v>5</v>
      </c>
      <c r="L48">
        <v>67</v>
      </c>
      <c r="M48" t="s">
        <v>30</v>
      </c>
    </row>
    <row r="49" spans="1:13">
      <c r="A49" t="s">
        <v>79</v>
      </c>
      <c r="B49">
        <v>2022</v>
      </c>
      <c r="C49" t="s">
        <v>20</v>
      </c>
      <c r="D49" t="s">
        <v>24</v>
      </c>
      <c r="E49" t="s">
        <v>42</v>
      </c>
      <c r="F49" t="s">
        <v>21</v>
      </c>
      <c r="G49" t="s">
        <v>38</v>
      </c>
      <c r="H49">
        <v>1134</v>
      </c>
      <c r="I49">
        <v>63</v>
      </c>
      <c r="J49">
        <v>46</v>
      </c>
      <c r="K49">
        <v>5</v>
      </c>
      <c r="L49">
        <v>47</v>
      </c>
      <c r="M49" t="s">
        <v>18</v>
      </c>
    </row>
    <row r="50" spans="1:13">
      <c r="A50" t="s">
        <v>80</v>
      </c>
      <c r="B50">
        <v>2022</v>
      </c>
      <c r="C50" t="s">
        <v>13</v>
      </c>
      <c r="D50" t="s">
        <v>35</v>
      </c>
      <c r="E50" t="s">
        <v>42</v>
      </c>
      <c r="F50" t="s">
        <v>16</v>
      </c>
      <c r="G50" t="s">
        <v>38</v>
      </c>
      <c r="H50">
        <v>1898</v>
      </c>
      <c r="I50">
        <v>202</v>
      </c>
      <c r="J50">
        <v>31</v>
      </c>
      <c r="K50">
        <v>2</v>
      </c>
      <c r="L50">
        <v>44</v>
      </c>
      <c r="M50" t="s">
        <v>30</v>
      </c>
    </row>
    <row r="51" spans="1:13">
      <c r="A51" t="s">
        <v>81</v>
      </c>
      <c r="B51">
        <v>2022</v>
      </c>
      <c r="C51" t="s">
        <v>13</v>
      </c>
      <c r="D51" t="s">
        <v>28</v>
      </c>
      <c r="E51" t="s">
        <v>32</v>
      </c>
      <c r="F51" t="s">
        <v>16</v>
      </c>
      <c r="G51" t="s">
        <v>17</v>
      </c>
      <c r="H51">
        <v>1164</v>
      </c>
      <c r="I51">
        <v>238</v>
      </c>
      <c r="J51">
        <v>37</v>
      </c>
      <c r="K51">
        <v>3</v>
      </c>
      <c r="L51">
        <v>73</v>
      </c>
      <c r="M51" t="s">
        <v>18</v>
      </c>
    </row>
    <row r="52" spans="1:13">
      <c r="A52" t="s">
        <v>82</v>
      </c>
      <c r="B52">
        <v>2022</v>
      </c>
      <c r="C52" t="s">
        <v>13</v>
      </c>
      <c r="D52" t="s">
        <v>37</v>
      </c>
      <c r="E52" t="s">
        <v>42</v>
      </c>
      <c r="F52" t="s">
        <v>21</v>
      </c>
      <c r="G52" t="s">
        <v>25</v>
      </c>
      <c r="H52">
        <v>1464</v>
      </c>
      <c r="I52">
        <v>189</v>
      </c>
      <c r="J52">
        <v>55</v>
      </c>
      <c r="K52">
        <v>3</v>
      </c>
      <c r="L52">
        <v>40</v>
      </c>
      <c r="M52" t="s">
        <v>18</v>
      </c>
    </row>
    <row r="53" spans="1:13">
      <c r="A53" t="s">
        <v>83</v>
      </c>
      <c r="B53">
        <v>2022</v>
      </c>
      <c r="C53" t="s">
        <v>23</v>
      </c>
      <c r="D53" t="s">
        <v>35</v>
      </c>
      <c r="E53" t="s">
        <v>29</v>
      </c>
      <c r="F53" t="s">
        <v>16</v>
      </c>
      <c r="G53" t="s">
        <v>38</v>
      </c>
      <c r="H53">
        <v>1257</v>
      </c>
      <c r="I53">
        <v>120</v>
      </c>
      <c r="J53">
        <v>23</v>
      </c>
      <c r="K53">
        <v>1</v>
      </c>
      <c r="L53">
        <v>66</v>
      </c>
      <c r="M53" t="s">
        <v>18</v>
      </c>
    </row>
    <row r="54" spans="1:13">
      <c r="A54" t="s">
        <v>84</v>
      </c>
      <c r="B54">
        <v>2022</v>
      </c>
      <c r="C54" t="s">
        <v>20</v>
      </c>
      <c r="D54" t="s">
        <v>28</v>
      </c>
      <c r="E54" t="s">
        <v>42</v>
      </c>
      <c r="F54" t="s">
        <v>16</v>
      </c>
      <c r="G54" t="s">
        <v>38</v>
      </c>
      <c r="H54">
        <v>1332</v>
      </c>
      <c r="I54">
        <v>18</v>
      </c>
      <c r="J54">
        <v>41</v>
      </c>
      <c r="K54">
        <v>5</v>
      </c>
      <c r="L54">
        <v>27</v>
      </c>
      <c r="M54" t="s">
        <v>18</v>
      </c>
    </row>
    <row r="55" spans="1:13">
      <c r="A55" t="s">
        <v>85</v>
      </c>
      <c r="B55">
        <v>2022</v>
      </c>
      <c r="C55" t="s">
        <v>13</v>
      </c>
      <c r="D55" t="s">
        <v>24</v>
      </c>
      <c r="E55" t="s">
        <v>32</v>
      </c>
      <c r="F55" t="s">
        <v>21</v>
      </c>
      <c r="G55" t="s">
        <v>25</v>
      </c>
      <c r="H55">
        <v>1456</v>
      </c>
      <c r="I55">
        <v>32</v>
      </c>
      <c r="J55">
        <v>48</v>
      </c>
      <c r="K55">
        <v>1</v>
      </c>
      <c r="L55">
        <v>16</v>
      </c>
      <c r="M55" t="s">
        <v>18</v>
      </c>
    </row>
    <row r="56" spans="1:13">
      <c r="A56" t="s">
        <v>86</v>
      </c>
      <c r="B56">
        <v>2022</v>
      </c>
      <c r="C56" t="s">
        <v>13</v>
      </c>
      <c r="D56" t="s">
        <v>37</v>
      </c>
      <c r="E56" t="s">
        <v>32</v>
      </c>
      <c r="F56" t="s">
        <v>21</v>
      </c>
      <c r="G56" t="s">
        <v>38</v>
      </c>
      <c r="H56">
        <v>1208</v>
      </c>
      <c r="I56">
        <v>194</v>
      </c>
      <c r="J56">
        <v>59</v>
      </c>
      <c r="K56">
        <v>4</v>
      </c>
      <c r="L56">
        <v>78</v>
      </c>
      <c r="M56" t="s">
        <v>18</v>
      </c>
    </row>
    <row r="57" spans="1:13">
      <c r="A57" t="s">
        <v>87</v>
      </c>
      <c r="B57">
        <v>2022</v>
      </c>
      <c r="C57" t="s">
        <v>23</v>
      </c>
      <c r="D57" t="s">
        <v>14</v>
      </c>
      <c r="E57" t="s">
        <v>42</v>
      </c>
      <c r="F57" t="s">
        <v>16</v>
      </c>
      <c r="G57" t="s">
        <v>38</v>
      </c>
      <c r="H57">
        <v>1366</v>
      </c>
      <c r="I57">
        <v>49</v>
      </c>
      <c r="J57">
        <v>29</v>
      </c>
      <c r="K57">
        <v>3</v>
      </c>
      <c r="L57">
        <v>19</v>
      </c>
      <c r="M57" t="s">
        <v>30</v>
      </c>
    </row>
    <row r="58" spans="1:13">
      <c r="A58" t="s">
        <v>88</v>
      </c>
      <c r="B58">
        <v>2022</v>
      </c>
      <c r="C58" t="s">
        <v>45</v>
      </c>
      <c r="D58" t="s">
        <v>14</v>
      </c>
      <c r="E58" t="s">
        <v>15</v>
      </c>
      <c r="F58" t="s">
        <v>21</v>
      </c>
      <c r="G58" t="s">
        <v>17</v>
      </c>
      <c r="H58">
        <v>1799</v>
      </c>
      <c r="I58">
        <v>59</v>
      </c>
      <c r="J58">
        <v>48</v>
      </c>
      <c r="K58">
        <v>4</v>
      </c>
      <c r="L58">
        <v>54</v>
      </c>
      <c r="M58" t="s">
        <v>18</v>
      </c>
    </row>
    <row r="59" spans="1:13">
      <c r="A59" t="s">
        <v>89</v>
      </c>
      <c r="B59">
        <v>2022</v>
      </c>
      <c r="C59" t="s">
        <v>13</v>
      </c>
      <c r="D59" t="s">
        <v>35</v>
      </c>
      <c r="E59" t="s">
        <v>29</v>
      </c>
      <c r="F59" t="s">
        <v>16</v>
      </c>
      <c r="G59" t="s">
        <v>38</v>
      </c>
      <c r="H59">
        <v>1246</v>
      </c>
      <c r="I59">
        <v>223</v>
      </c>
      <c r="J59">
        <v>34</v>
      </c>
      <c r="K59">
        <v>2</v>
      </c>
      <c r="L59">
        <v>85</v>
      </c>
      <c r="M59" t="s">
        <v>18</v>
      </c>
    </row>
    <row r="60" spans="1:13">
      <c r="A60" t="s">
        <v>90</v>
      </c>
      <c r="B60">
        <v>2022</v>
      </c>
      <c r="C60" t="s">
        <v>23</v>
      </c>
      <c r="D60" t="s">
        <v>28</v>
      </c>
      <c r="E60" t="s">
        <v>42</v>
      </c>
      <c r="F60" t="s">
        <v>16</v>
      </c>
      <c r="G60" t="s">
        <v>25</v>
      </c>
      <c r="H60">
        <v>1968</v>
      </c>
      <c r="I60">
        <v>73</v>
      </c>
      <c r="J60">
        <v>44</v>
      </c>
      <c r="K60">
        <v>3</v>
      </c>
      <c r="L60">
        <v>78</v>
      </c>
      <c r="M60" t="s">
        <v>30</v>
      </c>
    </row>
    <row r="61" spans="1:13">
      <c r="A61" t="s">
        <v>91</v>
      </c>
      <c r="B61">
        <v>2022</v>
      </c>
      <c r="C61" t="s">
        <v>45</v>
      </c>
      <c r="D61" t="s">
        <v>14</v>
      </c>
      <c r="E61" t="s">
        <v>29</v>
      </c>
      <c r="F61" t="s">
        <v>21</v>
      </c>
      <c r="G61" t="s">
        <v>25</v>
      </c>
      <c r="H61">
        <v>2021</v>
      </c>
      <c r="I61">
        <v>169</v>
      </c>
      <c r="J61">
        <v>32</v>
      </c>
      <c r="K61">
        <v>1</v>
      </c>
      <c r="L61">
        <v>64</v>
      </c>
      <c r="M61" t="s">
        <v>18</v>
      </c>
    </row>
    <row r="62" spans="1:13">
      <c r="A62" t="s">
        <v>92</v>
      </c>
      <c r="B62">
        <v>2022</v>
      </c>
      <c r="C62" t="s">
        <v>45</v>
      </c>
      <c r="D62" t="s">
        <v>14</v>
      </c>
      <c r="E62" t="s">
        <v>42</v>
      </c>
      <c r="F62" t="s">
        <v>21</v>
      </c>
      <c r="G62" t="s">
        <v>38</v>
      </c>
      <c r="H62">
        <v>1492</v>
      </c>
      <c r="I62">
        <v>108</v>
      </c>
      <c r="J62">
        <v>26</v>
      </c>
      <c r="K62">
        <v>1</v>
      </c>
      <c r="L62">
        <v>55</v>
      </c>
      <c r="M62" t="s">
        <v>18</v>
      </c>
    </row>
    <row r="63" spans="1:13">
      <c r="A63" t="s">
        <v>93</v>
      </c>
      <c r="B63">
        <v>2022</v>
      </c>
      <c r="C63" t="s">
        <v>45</v>
      </c>
      <c r="D63" t="s">
        <v>24</v>
      </c>
      <c r="E63" t="s">
        <v>42</v>
      </c>
      <c r="F63" t="s">
        <v>16</v>
      </c>
      <c r="G63" t="s">
        <v>17</v>
      </c>
      <c r="H63">
        <v>1836</v>
      </c>
      <c r="I63">
        <v>29</v>
      </c>
      <c r="J63">
        <v>43</v>
      </c>
      <c r="K63">
        <v>1</v>
      </c>
      <c r="L63">
        <v>41</v>
      </c>
      <c r="M63" t="s">
        <v>30</v>
      </c>
    </row>
    <row r="64" spans="1:13">
      <c r="A64" t="s">
        <v>94</v>
      </c>
      <c r="B64">
        <v>2022</v>
      </c>
      <c r="C64" t="s">
        <v>20</v>
      </c>
      <c r="D64" t="s">
        <v>37</v>
      </c>
      <c r="E64" t="s">
        <v>15</v>
      </c>
      <c r="F64" t="s">
        <v>21</v>
      </c>
      <c r="G64" t="s">
        <v>38</v>
      </c>
      <c r="H64">
        <v>1675</v>
      </c>
      <c r="I64">
        <v>243</v>
      </c>
      <c r="J64">
        <v>34</v>
      </c>
      <c r="K64">
        <v>4</v>
      </c>
      <c r="L64">
        <v>38</v>
      </c>
      <c r="M64" t="s">
        <v>18</v>
      </c>
    </row>
    <row r="65" spans="1:13">
      <c r="A65" t="s">
        <v>95</v>
      </c>
      <c r="B65">
        <v>2022</v>
      </c>
      <c r="C65" t="s">
        <v>20</v>
      </c>
      <c r="D65" t="s">
        <v>35</v>
      </c>
      <c r="E65" t="s">
        <v>42</v>
      </c>
      <c r="F65" t="s">
        <v>16</v>
      </c>
      <c r="G65" t="s">
        <v>17</v>
      </c>
      <c r="H65">
        <v>1797</v>
      </c>
      <c r="I65">
        <v>49</v>
      </c>
      <c r="J65">
        <v>44</v>
      </c>
      <c r="K65">
        <v>4</v>
      </c>
      <c r="L65">
        <v>25</v>
      </c>
      <c r="M65" t="s">
        <v>30</v>
      </c>
    </row>
    <row r="66" spans="1:13">
      <c r="A66" t="s">
        <v>96</v>
      </c>
      <c r="B66">
        <v>2022</v>
      </c>
      <c r="C66" t="s">
        <v>23</v>
      </c>
      <c r="D66" t="s">
        <v>14</v>
      </c>
      <c r="E66" t="s">
        <v>42</v>
      </c>
      <c r="F66" t="s">
        <v>21</v>
      </c>
      <c r="G66" t="s">
        <v>38</v>
      </c>
      <c r="H66">
        <v>1462</v>
      </c>
      <c r="I66">
        <v>90</v>
      </c>
      <c r="J66">
        <v>20</v>
      </c>
      <c r="K66">
        <v>2</v>
      </c>
      <c r="L66">
        <v>24</v>
      </c>
      <c r="M66" t="s">
        <v>18</v>
      </c>
    </row>
    <row r="67" spans="1:13">
      <c r="A67" t="s">
        <v>97</v>
      </c>
      <c r="B67">
        <v>2022</v>
      </c>
      <c r="C67" t="s">
        <v>13</v>
      </c>
      <c r="D67" t="s">
        <v>14</v>
      </c>
      <c r="E67" t="s">
        <v>42</v>
      </c>
      <c r="F67" t="s">
        <v>21</v>
      </c>
      <c r="G67" t="s">
        <v>17</v>
      </c>
      <c r="H67">
        <v>1630</v>
      </c>
      <c r="I67">
        <v>101</v>
      </c>
      <c r="J67">
        <v>60</v>
      </c>
      <c r="K67">
        <v>5</v>
      </c>
      <c r="L67">
        <v>73</v>
      </c>
      <c r="M67" t="s">
        <v>30</v>
      </c>
    </row>
    <row r="68" spans="1:13">
      <c r="A68" t="s">
        <v>98</v>
      </c>
      <c r="B68">
        <v>2022</v>
      </c>
      <c r="C68" t="s">
        <v>23</v>
      </c>
      <c r="D68" t="s">
        <v>24</v>
      </c>
      <c r="E68" t="s">
        <v>42</v>
      </c>
      <c r="F68" t="s">
        <v>16</v>
      </c>
      <c r="G68" t="s">
        <v>25</v>
      </c>
      <c r="H68">
        <v>1965</v>
      </c>
      <c r="I68">
        <v>44</v>
      </c>
      <c r="J68">
        <v>59</v>
      </c>
      <c r="K68">
        <v>3</v>
      </c>
      <c r="L68">
        <v>1</v>
      </c>
      <c r="M68" t="s">
        <v>18</v>
      </c>
    </row>
    <row r="69" spans="1:13">
      <c r="A69" t="s">
        <v>99</v>
      </c>
      <c r="B69">
        <v>2022</v>
      </c>
      <c r="C69" t="s">
        <v>45</v>
      </c>
      <c r="D69" t="s">
        <v>37</v>
      </c>
      <c r="E69" t="s">
        <v>15</v>
      </c>
      <c r="F69" t="s">
        <v>16</v>
      </c>
      <c r="G69" t="s">
        <v>25</v>
      </c>
      <c r="H69">
        <v>1971</v>
      </c>
      <c r="I69">
        <v>107</v>
      </c>
      <c r="J69">
        <v>51</v>
      </c>
      <c r="K69">
        <v>1</v>
      </c>
      <c r="L69">
        <v>60</v>
      </c>
      <c r="M69" t="s">
        <v>30</v>
      </c>
    </row>
    <row r="70" spans="1:13">
      <c r="A70" t="s">
        <v>100</v>
      </c>
      <c r="B70">
        <v>2022</v>
      </c>
      <c r="C70" t="s">
        <v>23</v>
      </c>
      <c r="D70" t="s">
        <v>14</v>
      </c>
      <c r="E70" t="s">
        <v>15</v>
      </c>
      <c r="F70" t="s">
        <v>21</v>
      </c>
      <c r="G70" t="s">
        <v>17</v>
      </c>
      <c r="H70">
        <v>1253</v>
      </c>
      <c r="I70">
        <v>221</v>
      </c>
      <c r="J70">
        <v>27</v>
      </c>
      <c r="K70">
        <v>5</v>
      </c>
      <c r="L70">
        <v>27</v>
      </c>
      <c r="M70" t="s">
        <v>18</v>
      </c>
    </row>
    <row r="71" spans="1:13">
      <c r="A71" t="s">
        <v>101</v>
      </c>
      <c r="B71">
        <v>2022</v>
      </c>
      <c r="C71" t="s">
        <v>45</v>
      </c>
      <c r="D71" t="s">
        <v>35</v>
      </c>
      <c r="E71" t="s">
        <v>29</v>
      </c>
      <c r="F71" t="s">
        <v>21</v>
      </c>
      <c r="G71" t="s">
        <v>17</v>
      </c>
      <c r="H71">
        <v>1789</v>
      </c>
      <c r="I71">
        <v>212</v>
      </c>
      <c r="J71">
        <v>40</v>
      </c>
      <c r="K71">
        <v>3</v>
      </c>
      <c r="L71">
        <v>21</v>
      </c>
      <c r="M71" t="s">
        <v>18</v>
      </c>
    </row>
    <row r="72" spans="1:13">
      <c r="A72" t="s">
        <v>102</v>
      </c>
      <c r="B72">
        <v>2022</v>
      </c>
      <c r="C72" t="s">
        <v>23</v>
      </c>
      <c r="D72" t="s">
        <v>35</v>
      </c>
      <c r="E72" t="s">
        <v>29</v>
      </c>
      <c r="F72" t="s">
        <v>21</v>
      </c>
      <c r="G72" t="s">
        <v>25</v>
      </c>
      <c r="H72">
        <v>1462</v>
      </c>
      <c r="I72">
        <v>229</v>
      </c>
      <c r="J72">
        <v>38</v>
      </c>
      <c r="K72">
        <v>5</v>
      </c>
      <c r="L72">
        <v>78</v>
      </c>
      <c r="M72" t="s">
        <v>18</v>
      </c>
    </row>
    <row r="73" spans="1:13">
      <c r="A73" t="s">
        <v>103</v>
      </c>
      <c r="B73">
        <v>2022</v>
      </c>
      <c r="C73" t="s">
        <v>20</v>
      </c>
      <c r="D73" t="s">
        <v>35</v>
      </c>
      <c r="E73" t="s">
        <v>42</v>
      </c>
      <c r="F73" t="s">
        <v>21</v>
      </c>
      <c r="G73" t="s">
        <v>25</v>
      </c>
      <c r="H73">
        <v>1820</v>
      </c>
      <c r="I73">
        <v>200</v>
      </c>
      <c r="J73">
        <v>40</v>
      </c>
      <c r="K73">
        <v>3</v>
      </c>
      <c r="L73">
        <v>59</v>
      </c>
      <c r="M73" t="s">
        <v>18</v>
      </c>
    </row>
    <row r="74" spans="1:13">
      <c r="A74" t="s">
        <v>104</v>
      </c>
      <c r="B74">
        <v>2022</v>
      </c>
      <c r="C74" t="s">
        <v>13</v>
      </c>
      <c r="D74" t="s">
        <v>14</v>
      </c>
      <c r="E74" t="s">
        <v>42</v>
      </c>
      <c r="F74" t="s">
        <v>21</v>
      </c>
      <c r="G74" t="s">
        <v>25</v>
      </c>
      <c r="H74">
        <v>1063</v>
      </c>
      <c r="I74">
        <v>183</v>
      </c>
      <c r="J74">
        <v>48</v>
      </c>
      <c r="K74">
        <v>5</v>
      </c>
      <c r="L74">
        <v>14</v>
      </c>
      <c r="M74" t="s">
        <v>30</v>
      </c>
    </row>
    <row r="75" spans="1:13">
      <c r="A75" t="s">
        <v>105</v>
      </c>
      <c r="B75">
        <v>2022</v>
      </c>
      <c r="C75" t="s">
        <v>45</v>
      </c>
      <c r="D75" t="s">
        <v>14</v>
      </c>
      <c r="E75" t="s">
        <v>15</v>
      </c>
      <c r="F75" t="s">
        <v>21</v>
      </c>
      <c r="G75" t="s">
        <v>25</v>
      </c>
      <c r="H75">
        <v>1935</v>
      </c>
      <c r="I75">
        <v>100</v>
      </c>
      <c r="J75">
        <v>63</v>
      </c>
      <c r="K75">
        <v>4</v>
      </c>
      <c r="L75">
        <v>21</v>
      </c>
      <c r="M75" t="s">
        <v>18</v>
      </c>
    </row>
    <row r="76" spans="1:13">
      <c r="A76" t="s">
        <v>106</v>
      </c>
      <c r="B76">
        <v>2022</v>
      </c>
      <c r="C76" t="s">
        <v>23</v>
      </c>
      <c r="D76" t="s">
        <v>37</v>
      </c>
      <c r="E76" t="s">
        <v>29</v>
      </c>
      <c r="F76" t="s">
        <v>21</v>
      </c>
      <c r="G76" t="s">
        <v>25</v>
      </c>
      <c r="H76">
        <v>971</v>
      </c>
      <c r="I76">
        <v>7</v>
      </c>
      <c r="J76">
        <v>39</v>
      </c>
      <c r="K76">
        <v>5</v>
      </c>
      <c r="L76">
        <v>12</v>
      </c>
      <c r="M76" t="s">
        <v>18</v>
      </c>
    </row>
    <row r="77" spans="1:13">
      <c r="A77" t="s">
        <v>107</v>
      </c>
      <c r="B77">
        <v>2022</v>
      </c>
      <c r="C77" t="s">
        <v>20</v>
      </c>
      <c r="D77" t="s">
        <v>28</v>
      </c>
      <c r="E77" t="s">
        <v>42</v>
      </c>
      <c r="F77" t="s">
        <v>16</v>
      </c>
      <c r="G77" t="s">
        <v>17</v>
      </c>
      <c r="H77">
        <v>1448</v>
      </c>
      <c r="I77">
        <v>204</v>
      </c>
      <c r="J77">
        <v>26</v>
      </c>
      <c r="K77">
        <v>5</v>
      </c>
      <c r="L77">
        <v>77</v>
      </c>
      <c r="M77" t="s">
        <v>30</v>
      </c>
    </row>
    <row r="78" spans="1:13">
      <c r="A78" t="s">
        <v>108</v>
      </c>
      <c r="B78">
        <v>2022</v>
      </c>
      <c r="C78" t="s">
        <v>23</v>
      </c>
      <c r="D78" t="s">
        <v>37</v>
      </c>
      <c r="E78" t="s">
        <v>42</v>
      </c>
      <c r="F78" t="s">
        <v>16</v>
      </c>
      <c r="G78" t="s">
        <v>17</v>
      </c>
      <c r="H78">
        <v>1742</v>
      </c>
      <c r="I78">
        <v>93</v>
      </c>
      <c r="J78">
        <v>32</v>
      </c>
      <c r="K78">
        <v>5</v>
      </c>
      <c r="L78">
        <v>62</v>
      </c>
      <c r="M78" t="s">
        <v>18</v>
      </c>
    </row>
    <row r="79" spans="1:13">
      <c r="A79" t="s">
        <v>109</v>
      </c>
      <c r="B79">
        <v>2022</v>
      </c>
      <c r="C79" t="s">
        <v>13</v>
      </c>
      <c r="D79" t="s">
        <v>24</v>
      </c>
      <c r="E79" t="s">
        <v>42</v>
      </c>
      <c r="F79" t="s">
        <v>16</v>
      </c>
      <c r="G79" t="s">
        <v>38</v>
      </c>
      <c r="H79">
        <v>1120</v>
      </c>
      <c r="I79">
        <v>233</v>
      </c>
      <c r="J79">
        <v>25</v>
      </c>
      <c r="K79">
        <v>3</v>
      </c>
      <c r="L79">
        <v>35</v>
      </c>
      <c r="M79" t="s">
        <v>18</v>
      </c>
    </row>
    <row r="80" spans="1:13">
      <c r="A80" t="s">
        <v>110</v>
      </c>
      <c r="B80">
        <v>2022</v>
      </c>
      <c r="C80" t="s">
        <v>23</v>
      </c>
      <c r="D80" t="s">
        <v>14</v>
      </c>
      <c r="E80" t="s">
        <v>29</v>
      </c>
      <c r="F80" t="s">
        <v>16</v>
      </c>
      <c r="G80" t="s">
        <v>38</v>
      </c>
      <c r="H80">
        <v>1214</v>
      </c>
      <c r="I80">
        <v>106</v>
      </c>
      <c r="J80">
        <v>31</v>
      </c>
      <c r="K80">
        <v>2</v>
      </c>
      <c r="L80">
        <v>15</v>
      </c>
      <c r="M80" t="s">
        <v>18</v>
      </c>
    </row>
    <row r="81" spans="1:13">
      <c r="A81" t="s">
        <v>111</v>
      </c>
      <c r="B81">
        <v>2022</v>
      </c>
      <c r="C81" t="s">
        <v>20</v>
      </c>
      <c r="D81" t="s">
        <v>14</v>
      </c>
      <c r="E81" t="s">
        <v>15</v>
      </c>
      <c r="F81" t="s">
        <v>21</v>
      </c>
      <c r="G81" t="s">
        <v>25</v>
      </c>
      <c r="H81">
        <v>1728</v>
      </c>
      <c r="I81">
        <v>158</v>
      </c>
      <c r="J81">
        <v>55</v>
      </c>
      <c r="K81">
        <v>2</v>
      </c>
      <c r="L81">
        <v>49</v>
      </c>
      <c r="M81" t="s">
        <v>18</v>
      </c>
    </row>
    <row r="82" spans="1:13">
      <c r="A82" t="s">
        <v>112</v>
      </c>
      <c r="B82">
        <v>2022</v>
      </c>
      <c r="C82" t="s">
        <v>23</v>
      </c>
      <c r="D82" t="s">
        <v>28</v>
      </c>
      <c r="E82" t="s">
        <v>29</v>
      </c>
      <c r="F82" t="s">
        <v>16</v>
      </c>
      <c r="G82" t="s">
        <v>38</v>
      </c>
      <c r="H82">
        <v>1450</v>
      </c>
      <c r="I82">
        <v>36</v>
      </c>
      <c r="J82">
        <v>37</v>
      </c>
      <c r="K82">
        <v>4</v>
      </c>
      <c r="L82">
        <v>72</v>
      </c>
      <c r="M82" t="s">
        <v>18</v>
      </c>
    </row>
    <row r="83" spans="1:13">
      <c r="A83" t="s">
        <v>113</v>
      </c>
      <c r="B83">
        <v>2022</v>
      </c>
      <c r="C83" t="s">
        <v>45</v>
      </c>
      <c r="D83" t="s">
        <v>37</v>
      </c>
      <c r="E83" t="s">
        <v>32</v>
      </c>
      <c r="F83" t="s">
        <v>16</v>
      </c>
      <c r="G83" t="s">
        <v>17</v>
      </c>
      <c r="H83">
        <v>1634</v>
      </c>
      <c r="I83">
        <v>83</v>
      </c>
      <c r="J83">
        <v>46</v>
      </c>
      <c r="K83">
        <v>5</v>
      </c>
      <c r="L83">
        <v>89</v>
      </c>
      <c r="M83" t="s">
        <v>18</v>
      </c>
    </row>
    <row r="84" spans="1:13">
      <c r="A84" t="s">
        <v>114</v>
      </c>
      <c r="B84">
        <v>2022</v>
      </c>
      <c r="C84" t="s">
        <v>20</v>
      </c>
      <c r="D84" t="s">
        <v>28</v>
      </c>
      <c r="E84" t="s">
        <v>32</v>
      </c>
      <c r="F84" t="s">
        <v>16</v>
      </c>
      <c r="G84" t="s">
        <v>25</v>
      </c>
      <c r="H84">
        <v>1712</v>
      </c>
      <c r="I84">
        <v>235</v>
      </c>
      <c r="J84">
        <v>41</v>
      </c>
      <c r="K84">
        <v>2</v>
      </c>
      <c r="L84">
        <v>85</v>
      </c>
      <c r="M84" t="s">
        <v>30</v>
      </c>
    </row>
    <row r="85" spans="1:13">
      <c r="A85" t="s">
        <v>115</v>
      </c>
      <c r="B85">
        <v>2022</v>
      </c>
      <c r="C85" t="s">
        <v>13</v>
      </c>
      <c r="D85" t="s">
        <v>14</v>
      </c>
      <c r="E85" t="s">
        <v>42</v>
      </c>
      <c r="F85" t="s">
        <v>16</v>
      </c>
      <c r="G85" t="s">
        <v>38</v>
      </c>
      <c r="H85">
        <v>2044</v>
      </c>
      <c r="I85">
        <v>84</v>
      </c>
      <c r="J85">
        <v>23</v>
      </c>
      <c r="K85">
        <v>3</v>
      </c>
      <c r="L85">
        <v>18</v>
      </c>
      <c r="M85" t="s">
        <v>30</v>
      </c>
    </row>
    <row r="86" spans="1:13">
      <c r="A86" t="s">
        <v>116</v>
      </c>
      <c r="B86">
        <v>2022</v>
      </c>
      <c r="C86" t="s">
        <v>13</v>
      </c>
      <c r="D86" t="s">
        <v>14</v>
      </c>
      <c r="E86" t="s">
        <v>29</v>
      </c>
      <c r="F86" t="s">
        <v>21</v>
      </c>
      <c r="G86" t="s">
        <v>25</v>
      </c>
      <c r="H86">
        <v>1297</v>
      </c>
      <c r="I86">
        <v>39</v>
      </c>
      <c r="J86">
        <v>25</v>
      </c>
      <c r="K86">
        <v>3</v>
      </c>
      <c r="L86">
        <v>75</v>
      </c>
      <c r="M86" t="s">
        <v>18</v>
      </c>
    </row>
    <row r="87" spans="1:13">
      <c r="A87" t="s">
        <v>117</v>
      </c>
      <c r="B87">
        <v>2022</v>
      </c>
      <c r="C87" t="s">
        <v>45</v>
      </c>
      <c r="D87" t="s">
        <v>14</v>
      </c>
      <c r="E87" t="s">
        <v>32</v>
      </c>
      <c r="F87" t="s">
        <v>16</v>
      </c>
      <c r="G87" t="s">
        <v>38</v>
      </c>
      <c r="H87">
        <v>1465</v>
      </c>
      <c r="I87">
        <v>99</v>
      </c>
      <c r="J87">
        <v>41</v>
      </c>
      <c r="K87">
        <v>1</v>
      </c>
      <c r="L87">
        <v>5</v>
      </c>
      <c r="M87" t="s">
        <v>30</v>
      </c>
    </row>
    <row r="88" spans="1:13">
      <c r="A88" t="s">
        <v>118</v>
      </c>
      <c r="B88">
        <v>2022</v>
      </c>
      <c r="C88" t="s">
        <v>13</v>
      </c>
      <c r="D88" t="s">
        <v>28</v>
      </c>
      <c r="E88" t="s">
        <v>29</v>
      </c>
      <c r="F88" t="s">
        <v>21</v>
      </c>
      <c r="G88" t="s">
        <v>17</v>
      </c>
      <c r="H88">
        <v>1258</v>
      </c>
      <c r="I88">
        <v>28</v>
      </c>
      <c r="J88">
        <v>26</v>
      </c>
      <c r="K88">
        <v>2</v>
      </c>
      <c r="L88">
        <v>70</v>
      </c>
      <c r="M88" t="s">
        <v>18</v>
      </c>
    </row>
    <row r="89" spans="1:13">
      <c r="A89" t="s">
        <v>119</v>
      </c>
      <c r="B89">
        <v>2022</v>
      </c>
      <c r="C89" t="s">
        <v>20</v>
      </c>
      <c r="D89" t="s">
        <v>24</v>
      </c>
      <c r="E89" t="s">
        <v>42</v>
      </c>
      <c r="F89" t="s">
        <v>16</v>
      </c>
      <c r="G89" t="s">
        <v>17</v>
      </c>
      <c r="H89">
        <v>1639</v>
      </c>
      <c r="I89">
        <v>195</v>
      </c>
      <c r="J89">
        <v>40</v>
      </c>
      <c r="K89">
        <v>2</v>
      </c>
      <c r="L89">
        <v>2</v>
      </c>
      <c r="M89" t="s">
        <v>30</v>
      </c>
    </row>
    <row r="90" spans="1:13">
      <c r="A90" t="s">
        <v>120</v>
      </c>
      <c r="B90">
        <v>2022</v>
      </c>
      <c r="C90" t="s">
        <v>13</v>
      </c>
      <c r="D90" t="s">
        <v>37</v>
      </c>
      <c r="E90" t="s">
        <v>32</v>
      </c>
      <c r="F90" t="s">
        <v>21</v>
      </c>
      <c r="G90" t="s">
        <v>38</v>
      </c>
      <c r="H90">
        <v>1371</v>
      </c>
      <c r="I90">
        <v>160</v>
      </c>
      <c r="J90">
        <v>61</v>
      </c>
      <c r="K90">
        <v>2</v>
      </c>
      <c r="L90">
        <v>5</v>
      </c>
      <c r="M90" t="s">
        <v>18</v>
      </c>
    </row>
    <row r="91" spans="1:13">
      <c r="A91" t="s">
        <v>121</v>
      </c>
      <c r="B91">
        <v>2022</v>
      </c>
      <c r="C91" t="s">
        <v>23</v>
      </c>
      <c r="D91" t="s">
        <v>14</v>
      </c>
      <c r="E91" t="s">
        <v>32</v>
      </c>
      <c r="F91" t="s">
        <v>16</v>
      </c>
      <c r="G91" t="s">
        <v>38</v>
      </c>
      <c r="H91">
        <v>1177</v>
      </c>
      <c r="I91">
        <v>69</v>
      </c>
      <c r="J91">
        <v>44</v>
      </c>
      <c r="K91">
        <v>4</v>
      </c>
      <c r="L91">
        <v>31</v>
      </c>
      <c r="M91" t="s">
        <v>18</v>
      </c>
    </row>
    <row r="92" spans="1:13">
      <c r="A92" t="s">
        <v>122</v>
      </c>
      <c r="B92">
        <v>2022</v>
      </c>
      <c r="C92" t="s">
        <v>23</v>
      </c>
      <c r="D92" t="s">
        <v>14</v>
      </c>
      <c r="E92" t="s">
        <v>29</v>
      </c>
      <c r="F92" t="s">
        <v>16</v>
      </c>
      <c r="G92" t="s">
        <v>38</v>
      </c>
      <c r="H92">
        <v>1963</v>
      </c>
      <c r="I92">
        <v>27</v>
      </c>
      <c r="J92">
        <v>24</v>
      </c>
      <c r="K92">
        <v>1</v>
      </c>
      <c r="L92">
        <v>74</v>
      </c>
      <c r="M92" t="s">
        <v>18</v>
      </c>
    </row>
    <row r="93" spans="1:13">
      <c r="A93" t="s">
        <v>123</v>
      </c>
      <c r="B93">
        <v>2022</v>
      </c>
      <c r="C93" t="s">
        <v>45</v>
      </c>
      <c r="D93" t="s">
        <v>24</v>
      </c>
      <c r="E93" t="s">
        <v>42</v>
      </c>
      <c r="F93" t="s">
        <v>16</v>
      </c>
      <c r="G93" t="s">
        <v>38</v>
      </c>
      <c r="H93">
        <v>1062</v>
      </c>
      <c r="I93">
        <v>229</v>
      </c>
      <c r="J93">
        <v>31</v>
      </c>
      <c r="K93">
        <v>2</v>
      </c>
      <c r="L93">
        <v>56</v>
      </c>
      <c r="M93" t="s">
        <v>18</v>
      </c>
    </row>
    <row r="94" spans="1:13">
      <c r="A94" t="s">
        <v>124</v>
      </c>
      <c r="B94">
        <v>2022</v>
      </c>
      <c r="C94" t="s">
        <v>23</v>
      </c>
      <c r="D94" t="s">
        <v>35</v>
      </c>
      <c r="E94" t="s">
        <v>42</v>
      </c>
      <c r="F94" t="s">
        <v>21</v>
      </c>
      <c r="G94" t="s">
        <v>17</v>
      </c>
      <c r="H94">
        <v>1289</v>
      </c>
      <c r="I94">
        <v>191</v>
      </c>
      <c r="J94">
        <v>32</v>
      </c>
      <c r="K94">
        <v>4</v>
      </c>
      <c r="L94">
        <v>63</v>
      </c>
      <c r="M94" t="s">
        <v>18</v>
      </c>
    </row>
    <row r="95" spans="1:13">
      <c r="A95" t="s">
        <v>125</v>
      </c>
      <c r="B95">
        <v>2022</v>
      </c>
      <c r="C95" t="s">
        <v>23</v>
      </c>
      <c r="D95" t="s">
        <v>24</v>
      </c>
      <c r="E95" t="s">
        <v>15</v>
      </c>
      <c r="F95" t="s">
        <v>21</v>
      </c>
      <c r="G95" t="s">
        <v>38</v>
      </c>
      <c r="H95">
        <v>2045</v>
      </c>
      <c r="I95">
        <v>179</v>
      </c>
      <c r="J95">
        <v>61</v>
      </c>
      <c r="K95">
        <v>3</v>
      </c>
      <c r="L95">
        <v>29</v>
      </c>
      <c r="M95" t="s">
        <v>30</v>
      </c>
    </row>
    <row r="96" spans="1:13">
      <c r="A96" t="s">
        <v>126</v>
      </c>
      <c r="B96">
        <v>2022</v>
      </c>
      <c r="C96" t="s">
        <v>45</v>
      </c>
      <c r="D96" t="s">
        <v>28</v>
      </c>
      <c r="E96" t="s">
        <v>32</v>
      </c>
      <c r="F96" t="s">
        <v>21</v>
      </c>
      <c r="G96" t="s">
        <v>25</v>
      </c>
      <c r="H96">
        <v>1136</v>
      </c>
      <c r="I96">
        <v>82</v>
      </c>
      <c r="J96">
        <v>55</v>
      </c>
      <c r="K96">
        <v>1</v>
      </c>
      <c r="L96">
        <v>59</v>
      </c>
      <c r="M96" t="s">
        <v>30</v>
      </c>
    </row>
    <row r="97" spans="1:13">
      <c r="A97" t="s">
        <v>127</v>
      </c>
      <c r="B97">
        <v>2022</v>
      </c>
      <c r="C97" t="s">
        <v>45</v>
      </c>
      <c r="D97" t="s">
        <v>35</v>
      </c>
      <c r="E97" t="s">
        <v>15</v>
      </c>
      <c r="F97" t="s">
        <v>21</v>
      </c>
      <c r="G97" t="s">
        <v>38</v>
      </c>
      <c r="H97">
        <v>1696</v>
      </c>
      <c r="I97">
        <v>233</v>
      </c>
      <c r="J97">
        <v>60</v>
      </c>
      <c r="K97">
        <v>4</v>
      </c>
      <c r="L97">
        <v>48</v>
      </c>
      <c r="M97" t="s">
        <v>30</v>
      </c>
    </row>
    <row r="98" spans="1:13">
      <c r="A98" t="s">
        <v>128</v>
      </c>
      <c r="B98">
        <v>2022</v>
      </c>
      <c r="C98" t="s">
        <v>13</v>
      </c>
      <c r="D98" t="s">
        <v>24</v>
      </c>
      <c r="E98" t="s">
        <v>15</v>
      </c>
      <c r="F98" t="s">
        <v>16</v>
      </c>
      <c r="G98" t="s">
        <v>25</v>
      </c>
      <c r="H98">
        <v>1677</v>
      </c>
      <c r="I98">
        <v>247</v>
      </c>
      <c r="J98">
        <v>64</v>
      </c>
      <c r="K98">
        <v>4</v>
      </c>
      <c r="L98">
        <v>38</v>
      </c>
      <c r="M98" t="s">
        <v>30</v>
      </c>
    </row>
    <row r="99" spans="1:13">
      <c r="A99" t="s">
        <v>129</v>
      </c>
      <c r="B99">
        <v>2022</v>
      </c>
      <c r="C99" t="s">
        <v>23</v>
      </c>
      <c r="D99" t="s">
        <v>37</v>
      </c>
      <c r="E99" t="s">
        <v>29</v>
      </c>
      <c r="F99" t="s">
        <v>16</v>
      </c>
      <c r="G99" t="s">
        <v>25</v>
      </c>
      <c r="H99">
        <v>1378</v>
      </c>
      <c r="I99">
        <v>99</v>
      </c>
      <c r="J99">
        <v>45</v>
      </c>
      <c r="K99">
        <v>3</v>
      </c>
      <c r="L99">
        <v>28</v>
      </c>
      <c r="M99" t="s">
        <v>18</v>
      </c>
    </row>
    <row r="100" spans="1:13">
      <c r="A100" t="s">
        <v>130</v>
      </c>
      <c r="B100">
        <v>2022</v>
      </c>
      <c r="C100" t="s">
        <v>23</v>
      </c>
      <c r="D100" t="s">
        <v>37</v>
      </c>
      <c r="E100" t="s">
        <v>42</v>
      </c>
      <c r="F100" t="s">
        <v>21</v>
      </c>
      <c r="G100" t="s">
        <v>25</v>
      </c>
      <c r="H100">
        <v>1174</v>
      </c>
      <c r="I100">
        <v>155</v>
      </c>
      <c r="J100">
        <v>21</v>
      </c>
      <c r="K100">
        <v>4</v>
      </c>
      <c r="L100">
        <v>36</v>
      </c>
      <c r="M100" t="s">
        <v>18</v>
      </c>
    </row>
    <row r="101" spans="1:13">
      <c r="A101" t="s">
        <v>131</v>
      </c>
      <c r="B101">
        <v>2022</v>
      </c>
      <c r="C101" t="s">
        <v>23</v>
      </c>
      <c r="D101" t="s">
        <v>24</v>
      </c>
      <c r="E101" t="s">
        <v>29</v>
      </c>
      <c r="F101" t="s">
        <v>16</v>
      </c>
      <c r="G101" t="s">
        <v>17</v>
      </c>
      <c r="H101">
        <v>1665</v>
      </c>
      <c r="I101">
        <v>177</v>
      </c>
      <c r="J101">
        <v>45</v>
      </c>
      <c r="K101">
        <v>3</v>
      </c>
      <c r="L101">
        <v>32</v>
      </c>
      <c r="M101" t="s">
        <v>18</v>
      </c>
    </row>
    <row r="102" spans="1:13">
      <c r="A102" t="s">
        <v>132</v>
      </c>
      <c r="B102">
        <v>2022</v>
      </c>
      <c r="C102" t="s">
        <v>13</v>
      </c>
      <c r="D102" t="s">
        <v>35</v>
      </c>
      <c r="E102" t="s">
        <v>29</v>
      </c>
      <c r="F102" t="s">
        <v>21</v>
      </c>
      <c r="G102" t="s">
        <v>25</v>
      </c>
      <c r="H102">
        <v>905</v>
      </c>
      <c r="I102">
        <v>144</v>
      </c>
      <c r="J102">
        <v>37</v>
      </c>
      <c r="K102">
        <v>3</v>
      </c>
      <c r="L102">
        <v>4</v>
      </c>
      <c r="M102" t="s">
        <v>30</v>
      </c>
    </row>
    <row r="103" spans="1:13">
      <c r="A103" t="s">
        <v>133</v>
      </c>
      <c r="B103">
        <v>2022</v>
      </c>
      <c r="C103" t="s">
        <v>20</v>
      </c>
      <c r="D103" t="s">
        <v>24</v>
      </c>
      <c r="E103" t="s">
        <v>15</v>
      </c>
      <c r="F103" t="s">
        <v>16</v>
      </c>
      <c r="G103" t="s">
        <v>38</v>
      </c>
      <c r="H103">
        <v>2099</v>
      </c>
      <c r="I103">
        <v>32</v>
      </c>
      <c r="J103">
        <v>43</v>
      </c>
      <c r="K103">
        <v>1</v>
      </c>
      <c r="L103">
        <v>32</v>
      </c>
      <c r="M103" t="s">
        <v>30</v>
      </c>
    </row>
    <row r="104" spans="1:13">
      <c r="A104" t="s">
        <v>134</v>
      </c>
      <c r="B104">
        <v>2022</v>
      </c>
      <c r="C104" t="s">
        <v>13</v>
      </c>
      <c r="D104" t="s">
        <v>14</v>
      </c>
      <c r="E104" t="s">
        <v>29</v>
      </c>
      <c r="F104" t="s">
        <v>21</v>
      </c>
      <c r="G104" t="s">
        <v>17</v>
      </c>
      <c r="H104">
        <v>1920</v>
      </c>
      <c r="I104">
        <v>37</v>
      </c>
      <c r="J104">
        <v>32</v>
      </c>
      <c r="K104">
        <v>5</v>
      </c>
      <c r="L104">
        <v>73</v>
      </c>
      <c r="M104" t="s">
        <v>18</v>
      </c>
    </row>
    <row r="105" spans="1:13">
      <c r="A105" t="s">
        <v>135</v>
      </c>
      <c r="B105">
        <v>2022</v>
      </c>
      <c r="C105" t="s">
        <v>23</v>
      </c>
      <c r="D105" t="s">
        <v>24</v>
      </c>
      <c r="E105" t="s">
        <v>15</v>
      </c>
      <c r="F105" t="s">
        <v>16</v>
      </c>
      <c r="G105" t="s">
        <v>38</v>
      </c>
      <c r="H105">
        <v>1137</v>
      </c>
      <c r="I105">
        <v>86</v>
      </c>
      <c r="J105">
        <v>34</v>
      </c>
      <c r="K105">
        <v>5</v>
      </c>
      <c r="L105">
        <v>51</v>
      </c>
      <c r="M105" t="s">
        <v>18</v>
      </c>
    </row>
    <row r="106" spans="1:13">
      <c r="A106" t="s">
        <v>136</v>
      </c>
      <c r="B106">
        <v>2022</v>
      </c>
      <c r="C106" t="s">
        <v>45</v>
      </c>
      <c r="D106" t="s">
        <v>24</v>
      </c>
      <c r="E106" t="s">
        <v>32</v>
      </c>
      <c r="F106" t="s">
        <v>21</v>
      </c>
      <c r="G106" t="s">
        <v>25</v>
      </c>
      <c r="H106">
        <v>2099</v>
      </c>
      <c r="I106">
        <v>200</v>
      </c>
      <c r="J106">
        <v>60</v>
      </c>
      <c r="K106">
        <v>1</v>
      </c>
      <c r="L106">
        <v>9</v>
      </c>
      <c r="M106" t="s">
        <v>30</v>
      </c>
    </row>
    <row r="107" spans="1:13">
      <c r="A107" t="s">
        <v>137</v>
      </c>
      <c r="B107">
        <v>2022</v>
      </c>
      <c r="C107" t="s">
        <v>45</v>
      </c>
      <c r="D107" t="s">
        <v>24</v>
      </c>
      <c r="E107" t="s">
        <v>32</v>
      </c>
      <c r="F107" t="s">
        <v>21</v>
      </c>
      <c r="G107" t="s">
        <v>38</v>
      </c>
      <c r="H107">
        <v>1088</v>
      </c>
      <c r="I107">
        <v>163</v>
      </c>
      <c r="J107">
        <v>24</v>
      </c>
      <c r="K107">
        <v>3</v>
      </c>
      <c r="L107">
        <v>25</v>
      </c>
      <c r="M107" t="s">
        <v>18</v>
      </c>
    </row>
    <row r="108" spans="1:13">
      <c r="A108" t="s">
        <v>138</v>
      </c>
      <c r="B108">
        <v>2022</v>
      </c>
      <c r="C108" t="s">
        <v>13</v>
      </c>
      <c r="D108" t="s">
        <v>37</v>
      </c>
      <c r="E108" t="s">
        <v>42</v>
      </c>
      <c r="F108" t="s">
        <v>16</v>
      </c>
      <c r="G108" t="s">
        <v>38</v>
      </c>
      <c r="H108">
        <v>1469</v>
      </c>
      <c r="I108">
        <v>47</v>
      </c>
      <c r="J108">
        <v>55</v>
      </c>
      <c r="K108">
        <v>5</v>
      </c>
      <c r="L108">
        <v>41</v>
      </c>
      <c r="M108" t="s">
        <v>18</v>
      </c>
    </row>
    <row r="109" spans="1:13">
      <c r="A109" t="s">
        <v>139</v>
      </c>
      <c r="B109">
        <v>2022</v>
      </c>
      <c r="C109" t="s">
        <v>45</v>
      </c>
      <c r="D109" t="s">
        <v>24</v>
      </c>
      <c r="E109" t="s">
        <v>42</v>
      </c>
      <c r="F109" t="s">
        <v>16</v>
      </c>
      <c r="G109" t="s">
        <v>25</v>
      </c>
      <c r="H109">
        <v>1473</v>
      </c>
      <c r="I109">
        <v>188</v>
      </c>
      <c r="J109">
        <v>22</v>
      </c>
      <c r="K109">
        <v>4</v>
      </c>
      <c r="L109">
        <v>36</v>
      </c>
      <c r="M109" t="s">
        <v>18</v>
      </c>
    </row>
    <row r="110" spans="1:13">
      <c r="A110" t="s">
        <v>140</v>
      </c>
      <c r="B110">
        <v>2022</v>
      </c>
      <c r="C110" t="s">
        <v>23</v>
      </c>
      <c r="D110" t="s">
        <v>28</v>
      </c>
      <c r="E110" t="s">
        <v>29</v>
      </c>
      <c r="F110" t="s">
        <v>21</v>
      </c>
      <c r="G110" t="s">
        <v>17</v>
      </c>
      <c r="H110">
        <v>1322</v>
      </c>
      <c r="I110">
        <v>236</v>
      </c>
      <c r="J110">
        <v>55</v>
      </c>
      <c r="K110">
        <v>5</v>
      </c>
      <c r="L110">
        <v>22</v>
      </c>
      <c r="M110" t="s">
        <v>30</v>
      </c>
    </row>
    <row r="111" spans="1:13">
      <c r="A111" t="s">
        <v>141</v>
      </c>
      <c r="B111">
        <v>2022</v>
      </c>
      <c r="C111" t="s">
        <v>23</v>
      </c>
      <c r="D111" t="s">
        <v>37</v>
      </c>
      <c r="E111" t="s">
        <v>42</v>
      </c>
      <c r="F111" t="s">
        <v>21</v>
      </c>
      <c r="G111" t="s">
        <v>25</v>
      </c>
      <c r="H111">
        <v>1585</v>
      </c>
      <c r="I111">
        <v>75</v>
      </c>
      <c r="J111">
        <v>50</v>
      </c>
      <c r="K111">
        <v>1</v>
      </c>
      <c r="L111">
        <v>16</v>
      </c>
      <c r="M111" t="s">
        <v>18</v>
      </c>
    </row>
    <row r="112" spans="1:13">
      <c r="A112" t="s">
        <v>142</v>
      </c>
      <c r="B112">
        <v>2022</v>
      </c>
      <c r="C112" t="s">
        <v>13</v>
      </c>
      <c r="D112" t="s">
        <v>28</v>
      </c>
      <c r="E112" t="s">
        <v>15</v>
      </c>
      <c r="F112" t="s">
        <v>21</v>
      </c>
      <c r="G112" t="s">
        <v>38</v>
      </c>
      <c r="H112">
        <v>1688</v>
      </c>
      <c r="I112">
        <v>124</v>
      </c>
      <c r="J112">
        <v>37</v>
      </c>
      <c r="K112">
        <v>5</v>
      </c>
      <c r="L112">
        <v>90</v>
      </c>
      <c r="M112" t="s">
        <v>18</v>
      </c>
    </row>
    <row r="113" spans="1:13">
      <c r="A113" t="s">
        <v>143</v>
      </c>
      <c r="B113">
        <v>2022</v>
      </c>
      <c r="C113" t="s">
        <v>13</v>
      </c>
      <c r="D113" t="s">
        <v>24</v>
      </c>
      <c r="E113" t="s">
        <v>29</v>
      </c>
      <c r="F113" t="s">
        <v>21</v>
      </c>
      <c r="G113" t="s">
        <v>17</v>
      </c>
      <c r="H113">
        <v>1053</v>
      </c>
      <c r="I113">
        <v>161</v>
      </c>
      <c r="J113">
        <v>30</v>
      </c>
      <c r="K113">
        <v>1</v>
      </c>
      <c r="L113">
        <v>29</v>
      </c>
      <c r="M113" t="s">
        <v>18</v>
      </c>
    </row>
    <row r="114" spans="1:13">
      <c r="A114" t="s">
        <v>144</v>
      </c>
      <c r="B114">
        <v>2022</v>
      </c>
      <c r="C114" t="s">
        <v>45</v>
      </c>
      <c r="D114" t="s">
        <v>35</v>
      </c>
      <c r="E114" t="s">
        <v>15</v>
      </c>
      <c r="F114" t="s">
        <v>16</v>
      </c>
      <c r="G114" t="s">
        <v>17</v>
      </c>
      <c r="H114">
        <v>1399</v>
      </c>
      <c r="I114">
        <v>44</v>
      </c>
      <c r="J114">
        <v>61</v>
      </c>
      <c r="K114">
        <v>5</v>
      </c>
      <c r="L114">
        <v>85</v>
      </c>
      <c r="M114" t="s">
        <v>18</v>
      </c>
    </row>
    <row r="115" spans="1:13">
      <c r="A115" t="s">
        <v>145</v>
      </c>
      <c r="B115">
        <v>2022</v>
      </c>
      <c r="C115" t="s">
        <v>13</v>
      </c>
      <c r="D115" t="s">
        <v>14</v>
      </c>
      <c r="E115" t="s">
        <v>29</v>
      </c>
      <c r="F115" t="s">
        <v>21</v>
      </c>
      <c r="G115" t="s">
        <v>25</v>
      </c>
      <c r="H115">
        <v>1534</v>
      </c>
      <c r="I115">
        <v>214</v>
      </c>
      <c r="J115">
        <v>19</v>
      </c>
      <c r="K115">
        <v>5</v>
      </c>
      <c r="L115">
        <v>29</v>
      </c>
      <c r="M115" t="s">
        <v>18</v>
      </c>
    </row>
    <row r="116" spans="1:13">
      <c r="A116" t="s">
        <v>146</v>
      </c>
      <c r="B116">
        <v>2022</v>
      </c>
      <c r="C116" t="s">
        <v>23</v>
      </c>
      <c r="D116" t="s">
        <v>35</v>
      </c>
      <c r="E116" t="s">
        <v>42</v>
      </c>
      <c r="F116" t="s">
        <v>21</v>
      </c>
      <c r="G116" t="s">
        <v>38</v>
      </c>
      <c r="H116">
        <v>1810</v>
      </c>
      <c r="I116">
        <v>10</v>
      </c>
      <c r="J116">
        <v>43</v>
      </c>
      <c r="K116">
        <v>1</v>
      </c>
      <c r="L116">
        <v>89</v>
      </c>
      <c r="M116" t="s">
        <v>18</v>
      </c>
    </row>
    <row r="117" spans="1:13">
      <c r="A117" t="s">
        <v>147</v>
      </c>
      <c r="B117">
        <v>2022</v>
      </c>
      <c r="C117" t="s">
        <v>13</v>
      </c>
      <c r="D117" t="s">
        <v>24</v>
      </c>
      <c r="E117" t="s">
        <v>29</v>
      </c>
      <c r="F117" t="s">
        <v>16</v>
      </c>
      <c r="G117" t="s">
        <v>17</v>
      </c>
      <c r="H117">
        <v>1659</v>
      </c>
      <c r="I117">
        <v>93</v>
      </c>
      <c r="J117">
        <v>61</v>
      </c>
      <c r="K117">
        <v>1</v>
      </c>
      <c r="L117">
        <v>87</v>
      </c>
      <c r="M117" t="s">
        <v>30</v>
      </c>
    </row>
    <row r="118" spans="1:13">
      <c r="A118" t="s">
        <v>148</v>
      </c>
      <c r="B118">
        <v>2022</v>
      </c>
      <c r="C118" t="s">
        <v>23</v>
      </c>
      <c r="D118" t="s">
        <v>14</v>
      </c>
      <c r="E118" t="s">
        <v>15</v>
      </c>
      <c r="F118" t="s">
        <v>16</v>
      </c>
      <c r="G118" t="s">
        <v>38</v>
      </c>
      <c r="H118">
        <v>1235</v>
      </c>
      <c r="I118">
        <v>217</v>
      </c>
      <c r="J118">
        <v>25</v>
      </c>
      <c r="K118">
        <v>1</v>
      </c>
      <c r="L118">
        <v>68</v>
      </c>
      <c r="M118" t="s">
        <v>18</v>
      </c>
    </row>
    <row r="119" spans="1:13">
      <c r="A119" t="s">
        <v>149</v>
      </c>
      <c r="B119">
        <v>2022</v>
      </c>
      <c r="C119" t="s">
        <v>23</v>
      </c>
      <c r="D119" t="s">
        <v>37</v>
      </c>
      <c r="E119" t="s">
        <v>32</v>
      </c>
      <c r="F119" t="s">
        <v>16</v>
      </c>
      <c r="G119" t="s">
        <v>38</v>
      </c>
      <c r="H119">
        <v>1367</v>
      </c>
      <c r="I119">
        <v>64</v>
      </c>
      <c r="J119">
        <v>22</v>
      </c>
      <c r="K119">
        <v>4</v>
      </c>
      <c r="L119">
        <v>89</v>
      </c>
      <c r="M119" t="s">
        <v>30</v>
      </c>
    </row>
    <row r="120" spans="1:13">
      <c r="A120" t="s">
        <v>150</v>
      </c>
      <c r="B120">
        <v>2022</v>
      </c>
      <c r="C120" t="s">
        <v>13</v>
      </c>
      <c r="D120" t="s">
        <v>28</v>
      </c>
      <c r="E120" t="s">
        <v>42</v>
      </c>
      <c r="F120" t="s">
        <v>16</v>
      </c>
      <c r="G120" t="s">
        <v>25</v>
      </c>
      <c r="H120">
        <v>985</v>
      </c>
      <c r="I120">
        <v>55</v>
      </c>
      <c r="J120">
        <v>19</v>
      </c>
      <c r="K120">
        <v>5</v>
      </c>
      <c r="L120">
        <v>75</v>
      </c>
      <c r="M120" t="s">
        <v>18</v>
      </c>
    </row>
    <row r="121" spans="1:13">
      <c r="A121" t="s">
        <v>151</v>
      </c>
      <c r="B121">
        <v>2022</v>
      </c>
      <c r="C121" t="s">
        <v>23</v>
      </c>
      <c r="D121" t="s">
        <v>24</v>
      </c>
      <c r="E121" t="s">
        <v>15</v>
      </c>
      <c r="F121" t="s">
        <v>16</v>
      </c>
      <c r="G121" t="s">
        <v>25</v>
      </c>
      <c r="H121">
        <v>1202</v>
      </c>
      <c r="I121">
        <v>101</v>
      </c>
      <c r="J121">
        <v>64</v>
      </c>
      <c r="K121">
        <v>5</v>
      </c>
      <c r="L121">
        <v>46</v>
      </c>
      <c r="M121" t="s">
        <v>18</v>
      </c>
    </row>
    <row r="122" spans="1:13">
      <c r="A122" t="s">
        <v>152</v>
      </c>
      <c r="B122">
        <v>2022</v>
      </c>
      <c r="C122" t="s">
        <v>45</v>
      </c>
      <c r="D122" t="s">
        <v>28</v>
      </c>
      <c r="E122" t="s">
        <v>15</v>
      </c>
      <c r="F122" t="s">
        <v>16</v>
      </c>
      <c r="G122" t="s">
        <v>17</v>
      </c>
      <c r="H122">
        <v>902</v>
      </c>
      <c r="I122">
        <v>230</v>
      </c>
      <c r="J122">
        <v>62</v>
      </c>
      <c r="K122">
        <v>1</v>
      </c>
      <c r="L122">
        <v>11</v>
      </c>
      <c r="M122" t="s">
        <v>18</v>
      </c>
    </row>
    <row r="123" spans="1:13">
      <c r="A123" t="s">
        <v>153</v>
      </c>
      <c r="B123">
        <v>2022</v>
      </c>
      <c r="C123" t="s">
        <v>23</v>
      </c>
      <c r="D123" t="s">
        <v>24</v>
      </c>
      <c r="E123" t="s">
        <v>15</v>
      </c>
      <c r="F123" t="s">
        <v>16</v>
      </c>
      <c r="G123" t="s">
        <v>25</v>
      </c>
      <c r="H123">
        <v>1738</v>
      </c>
      <c r="I123">
        <v>9</v>
      </c>
      <c r="J123">
        <v>19</v>
      </c>
      <c r="K123">
        <v>3</v>
      </c>
      <c r="L123">
        <v>1</v>
      </c>
      <c r="M123" t="s">
        <v>30</v>
      </c>
    </row>
    <row r="124" spans="1:13">
      <c r="A124" t="s">
        <v>154</v>
      </c>
      <c r="B124">
        <v>2022</v>
      </c>
      <c r="C124" t="s">
        <v>13</v>
      </c>
      <c r="D124" t="s">
        <v>37</v>
      </c>
      <c r="E124" t="s">
        <v>29</v>
      </c>
      <c r="F124" t="s">
        <v>21</v>
      </c>
      <c r="G124" t="s">
        <v>25</v>
      </c>
      <c r="H124">
        <v>946</v>
      </c>
      <c r="I124">
        <v>204</v>
      </c>
      <c r="J124">
        <v>40</v>
      </c>
      <c r="K124">
        <v>2</v>
      </c>
      <c r="L124">
        <v>72</v>
      </c>
      <c r="M124" t="s">
        <v>18</v>
      </c>
    </row>
    <row r="125" spans="1:13">
      <c r="A125" t="s">
        <v>155</v>
      </c>
      <c r="B125">
        <v>2022</v>
      </c>
      <c r="C125" t="s">
        <v>20</v>
      </c>
      <c r="D125" t="s">
        <v>24</v>
      </c>
      <c r="E125" t="s">
        <v>42</v>
      </c>
      <c r="F125" t="s">
        <v>16</v>
      </c>
      <c r="G125" t="s">
        <v>25</v>
      </c>
      <c r="H125">
        <v>1706</v>
      </c>
      <c r="I125">
        <v>115</v>
      </c>
      <c r="J125">
        <v>28</v>
      </c>
      <c r="K125">
        <v>2</v>
      </c>
      <c r="L125">
        <v>2</v>
      </c>
      <c r="M125" t="s">
        <v>30</v>
      </c>
    </row>
    <row r="126" spans="1:13">
      <c r="A126" t="s">
        <v>156</v>
      </c>
      <c r="B126">
        <v>2022</v>
      </c>
      <c r="C126" t="s">
        <v>23</v>
      </c>
      <c r="D126" t="s">
        <v>37</v>
      </c>
      <c r="E126" t="s">
        <v>32</v>
      </c>
      <c r="F126" t="s">
        <v>16</v>
      </c>
      <c r="G126" t="s">
        <v>17</v>
      </c>
      <c r="H126">
        <v>1782</v>
      </c>
      <c r="I126">
        <v>57</v>
      </c>
      <c r="J126">
        <v>23</v>
      </c>
      <c r="K126">
        <v>3</v>
      </c>
      <c r="L126">
        <v>52</v>
      </c>
      <c r="M126" t="s">
        <v>18</v>
      </c>
    </row>
    <row r="127" spans="1:13">
      <c r="A127" t="s">
        <v>157</v>
      </c>
      <c r="B127">
        <v>2022</v>
      </c>
      <c r="C127" t="s">
        <v>20</v>
      </c>
      <c r="D127" t="s">
        <v>14</v>
      </c>
      <c r="E127" t="s">
        <v>42</v>
      </c>
      <c r="F127" t="s">
        <v>21</v>
      </c>
      <c r="G127" t="s">
        <v>38</v>
      </c>
      <c r="H127">
        <v>1665</v>
      </c>
      <c r="I127">
        <v>166</v>
      </c>
      <c r="J127">
        <v>48</v>
      </c>
      <c r="K127">
        <v>1</v>
      </c>
      <c r="L127">
        <v>85</v>
      </c>
      <c r="M127" t="s">
        <v>18</v>
      </c>
    </row>
    <row r="128" spans="1:13">
      <c r="A128" t="s">
        <v>158</v>
      </c>
      <c r="B128">
        <v>2022</v>
      </c>
      <c r="C128" t="s">
        <v>45</v>
      </c>
      <c r="D128" t="s">
        <v>28</v>
      </c>
      <c r="E128" t="s">
        <v>42</v>
      </c>
      <c r="F128" t="s">
        <v>21</v>
      </c>
      <c r="G128" t="s">
        <v>17</v>
      </c>
      <c r="H128">
        <v>1461</v>
      </c>
      <c r="I128">
        <v>84</v>
      </c>
      <c r="J128">
        <v>62</v>
      </c>
      <c r="K128">
        <v>5</v>
      </c>
      <c r="L128">
        <v>18</v>
      </c>
      <c r="M128" t="s">
        <v>18</v>
      </c>
    </row>
    <row r="129" spans="1:13">
      <c r="A129" t="s">
        <v>159</v>
      </c>
      <c r="B129">
        <v>2022</v>
      </c>
      <c r="C129" t="s">
        <v>13</v>
      </c>
      <c r="D129" t="s">
        <v>35</v>
      </c>
      <c r="E129" t="s">
        <v>15</v>
      </c>
      <c r="F129" t="s">
        <v>16</v>
      </c>
      <c r="G129" t="s">
        <v>17</v>
      </c>
      <c r="H129">
        <v>1716</v>
      </c>
      <c r="I129">
        <v>142</v>
      </c>
      <c r="J129">
        <v>62</v>
      </c>
      <c r="K129">
        <v>4</v>
      </c>
      <c r="L129">
        <v>12</v>
      </c>
      <c r="M129" t="s">
        <v>18</v>
      </c>
    </row>
    <row r="130" spans="1:13">
      <c r="A130" t="s">
        <v>160</v>
      </c>
      <c r="B130">
        <v>2022</v>
      </c>
      <c r="C130" t="s">
        <v>13</v>
      </c>
      <c r="D130" t="s">
        <v>35</v>
      </c>
      <c r="E130" t="s">
        <v>15</v>
      </c>
      <c r="F130" t="s">
        <v>21</v>
      </c>
      <c r="G130" t="s">
        <v>17</v>
      </c>
      <c r="H130">
        <v>1794</v>
      </c>
      <c r="I130">
        <v>74</v>
      </c>
      <c r="J130">
        <v>46</v>
      </c>
      <c r="K130">
        <v>1</v>
      </c>
      <c r="L130">
        <v>65</v>
      </c>
      <c r="M130" t="s">
        <v>18</v>
      </c>
    </row>
    <row r="131" spans="1:13">
      <c r="A131" t="s">
        <v>161</v>
      </c>
      <c r="B131">
        <v>2022</v>
      </c>
      <c r="C131" t="s">
        <v>20</v>
      </c>
      <c r="D131" t="s">
        <v>24</v>
      </c>
      <c r="E131" t="s">
        <v>29</v>
      </c>
      <c r="F131" t="s">
        <v>16</v>
      </c>
      <c r="G131" t="s">
        <v>17</v>
      </c>
      <c r="H131">
        <v>1815</v>
      </c>
      <c r="I131">
        <v>29</v>
      </c>
      <c r="J131">
        <v>51</v>
      </c>
      <c r="K131">
        <v>3</v>
      </c>
      <c r="L131">
        <v>78</v>
      </c>
      <c r="M131" t="s">
        <v>18</v>
      </c>
    </row>
    <row r="132" spans="1:13">
      <c r="A132" t="s">
        <v>162</v>
      </c>
      <c r="B132">
        <v>2022</v>
      </c>
      <c r="C132" t="s">
        <v>45</v>
      </c>
      <c r="D132" t="s">
        <v>28</v>
      </c>
      <c r="E132" t="s">
        <v>15</v>
      </c>
      <c r="F132" t="s">
        <v>21</v>
      </c>
      <c r="G132" t="s">
        <v>38</v>
      </c>
      <c r="H132">
        <v>1940</v>
      </c>
      <c r="I132">
        <v>138</v>
      </c>
      <c r="J132">
        <v>27</v>
      </c>
      <c r="K132">
        <v>2</v>
      </c>
      <c r="L132">
        <v>21</v>
      </c>
      <c r="M132" t="s">
        <v>30</v>
      </c>
    </row>
    <row r="133" spans="1:13">
      <c r="A133" t="s">
        <v>163</v>
      </c>
      <c r="B133">
        <v>2022</v>
      </c>
      <c r="C133" t="s">
        <v>45</v>
      </c>
      <c r="D133" t="s">
        <v>14</v>
      </c>
      <c r="E133" t="s">
        <v>15</v>
      </c>
      <c r="F133" t="s">
        <v>21</v>
      </c>
      <c r="G133" t="s">
        <v>25</v>
      </c>
      <c r="H133">
        <v>1449</v>
      </c>
      <c r="I133">
        <v>133</v>
      </c>
      <c r="J133">
        <v>34</v>
      </c>
      <c r="K133">
        <v>5</v>
      </c>
      <c r="L133">
        <v>86</v>
      </c>
      <c r="M133" t="s">
        <v>18</v>
      </c>
    </row>
    <row r="134" spans="1:13">
      <c r="A134" t="s">
        <v>164</v>
      </c>
      <c r="B134">
        <v>2022</v>
      </c>
      <c r="C134" t="s">
        <v>45</v>
      </c>
      <c r="D134" t="s">
        <v>37</v>
      </c>
      <c r="E134" t="s">
        <v>15</v>
      </c>
      <c r="F134" t="s">
        <v>21</v>
      </c>
      <c r="G134" t="s">
        <v>17</v>
      </c>
      <c r="H134">
        <v>1628</v>
      </c>
      <c r="I134">
        <v>154</v>
      </c>
      <c r="J134">
        <v>32</v>
      </c>
      <c r="K134">
        <v>5</v>
      </c>
      <c r="L134">
        <v>37</v>
      </c>
      <c r="M134" t="s">
        <v>30</v>
      </c>
    </row>
    <row r="135" spans="1:13">
      <c r="A135" t="s">
        <v>165</v>
      </c>
      <c r="B135">
        <v>2022</v>
      </c>
      <c r="C135" t="s">
        <v>23</v>
      </c>
      <c r="D135" t="s">
        <v>28</v>
      </c>
      <c r="E135" t="s">
        <v>42</v>
      </c>
      <c r="F135" t="s">
        <v>16</v>
      </c>
      <c r="G135" t="s">
        <v>17</v>
      </c>
      <c r="H135">
        <v>1187</v>
      </c>
      <c r="I135">
        <v>102</v>
      </c>
      <c r="J135">
        <v>47</v>
      </c>
      <c r="K135">
        <v>2</v>
      </c>
      <c r="L135">
        <v>63</v>
      </c>
      <c r="M135" t="s">
        <v>30</v>
      </c>
    </row>
    <row r="136" spans="1:13">
      <c r="A136" t="s">
        <v>166</v>
      </c>
      <c r="B136">
        <v>2022</v>
      </c>
      <c r="C136" t="s">
        <v>23</v>
      </c>
      <c r="D136" t="s">
        <v>28</v>
      </c>
      <c r="E136" t="s">
        <v>42</v>
      </c>
      <c r="F136" t="s">
        <v>21</v>
      </c>
      <c r="G136" t="s">
        <v>25</v>
      </c>
      <c r="H136">
        <v>1272</v>
      </c>
      <c r="I136">
        <v>66</v>
      </c>
      <c r="J136">
        <v>60</v>
      </c>
      <c r="K136">
        <v>3</v>
      </c>
      <c r="L136">
        <v>84</v>
      </c>
      <c r="M136" t="s">
        <v>30</v>
      </c>
    </row>
    <row r="137" spans="1:13">
      <c r="A137" t="s">
        <v>167</v>
      </c>
      <c r="B137">
        <v>2022</v>
      </c>
      <c r="C137" t="s">
        <v>13</v>
      </c>
      <c r="D137" t="s">
        <v>28</v>
      </c>
      <c r="E137" t="s">
        <v>29</v>
      </c>
      <c r="F137" t="s">
        <v>21</v>
      </c>
      <c r="G137" t="s">
        <v>38</v>
      </c>
      <c r="H137">
        <v>1269</v>
      </c>
      <c r="I137">
        <v>163</v>
      </c>
      <c r="J137">
        <v>50</v>
      </c>
      <c r="K137">
        <v>5</v>
      </c>
      <c r="L137">
        <v>36</v>
      </c>
      <c r="M137" t="s">
        <v>18</v>
      </c>
    </row>
    <row r="138" spans="1:13">
      <c r="A138" t="s">
        <v>168</v>
      </c>
      <c r="B138">
        <v>2022</v>
      </c>
      <c r="C138" t="s">
        <v>13</v>
      </c>
      <c r="D138" t="s">
        <v>37</v>
      </c>
      <c r="E138" t="s">
        <v>29</v>
      </c>
      <c r="F138" t="s">
        <v>21</v>
      </c>
      <c r="G138" t="s">
        <v>38</v>
      </c>
      <c r="H138">
        <v>997</v>
      </c>
      <c r="I138">
        <v>99</v>
      </c>
      <c r="J138">
        <v>55</v>
      </c>
      <c r="K138">
        <v>5</v>
      </c>
      <c r="L138">
        <v>2</v>
      </c>
      <c r="M138" t="s">
        <v>18</v>
      </c>
    </row>
    <row r="139" spans="1:13">
      <c r="A139" t="s">
        <v>169</v>
      </c>
      <c r="B139">
        <v>2022</v>
      </c>
      <c r="C139" t="s">
        <v>20</v>
      </c>
      <c r="D139" t="s">
        <v>37</v>
      </c>
      <c r="E139" t="s">
        <v>15</v>
      </c>
      <c r="F139" t="s">
        <v>21</v>
      </c>
      <c r="G139" t="s">
        <v>25</v>
      </c>
      <c r="H139">
        <v>930</v>
      </c>
      <c r="I139">
        <v>221</v>
      </c>
      <c r="J139">
        <v>24</v>
      </c>
      <c r="K139">
        <v>5</v>
      </c>
      <c r="L139">
        <v>23</v>
      </c>
      <c r="M139" t="s">
        <v>18</v>
      </c>
    </row>
    <row r="140" spans="1:13">
      <c r="A140" t="s">
        <v>170</v>
      </c>
      <c r="B140">
        <v>2022</v>
      </c>
      <c r="C140" t="s">
        <v>13</v>
      </c>
      <c r="D140" t="s">
        <v>37</v>
      </c>
      <c r="E140" t="s">
        <v>29</v>
      </c>
      <c r="F140" t="s">
        <v>21</v>
      </c>
      <c r="G140" t="s">
        <v>25</v>
      </c>
      <c r="H140">
        <v>1453</v>
      </c>
      <c r="I140">
        <v>182</v>
      </c>
      <c r="J140">
        <v>37</v>
      </c>
      <c r="K140">
        <v>2</v>
      </c>
      <c r="L140">
        <v>30</v>
      </c>
      <c r="M140" t="s">
        <v>18</v>
      </c>
    </row>
    <row r="141" spans="1:13">
      <c r="A141" t="s">
        <v>171</v>
      </c>
      <c r="B141">
        <v>2022</v>
      </c>
      <c r="C141" t="s">
        <v>20</v>
      </c>
      <c r="D141" t="s">
        <v>14</v>
      </c>
      <c r="E141" t="s">
        <v>15</v>
      </c>
      <c r="F141" t="s">
        <v>21</v>
      </c>
      <c r="G141" t="s">
        <v>25</v>
      </c>
      <c r="H141">
        <v>1980</v>
      </c>
      <c r="I141">
        <v>148</v>
      </c>
      <c r="J141">
        <v>18</v>
      </c>
      <c r="K141">
        <v>3</v>
      </c>
      <c r="L141">
        <v>10</v>
      </c>
      <c r="M141" t="s">
        <v>18</v>
      </c>
    </row>
    <row r="142" spans="1:13">
      <c r="A142" t="s">
        <v>172</v>
      </c>
      <c r="B142">
        <v>2022</v>
      </c>
      <c r="C142" t="s">
        <v>23</v>
      </c>
      <c r="D142" t="s">
        <v>28</v>
      </c>
      <c r="E142" t="s">
        <v>32</v>
      </c>
      <c r="F142" t="s">
        <v>16</v>
      </c>
      <c r="G142" t="s">
        <v>25</v>
      </c>
      <c r="H142">
        <v>1432</v>
      </c>
      <c r="I142">
        <v>171</v>
      </c>
      <c r="J142">
        <v>34</v>
      </c>
      <c r="K142">
        <v>5</v>
      </c>
      <c r="L142">
        <v>61</v>
      </c>
      <c r="M142" t="s">
        <v>30</v>
      </c>
    </row>
    <row r="143" spans="1:13">
      <c r="A143" t="s">
        <v>173</v>
      </c>
      <c r="B143">
        <v>2022</v>
      </c>
      <c r="C143" t="s">
        <v>45</v>
      </c>
      <c r="D143" t="s">
        <v>24</v>
      </c>
      <c r="E143" t="s">
        <v>32</v>
      </c>
      <c r="F143" t="s">
        <v>21</v>
      </c>
      <c r="G143" t="s">
        <v>25</v>
      </c>
      <c r="H143">
        <v>1737</v>
      </c>
      <c r="I143">
        <v>120</v>
      </c>
      <c r="J143">
        <v>45</v>
      </c>
      <c r="K143">
        <v>5</v>
      </c>
      <c r="L143">
        <v>32</v>
      </c>
      <c r="M143" t="s">
        <v>30</v>
      </c>
    </row>
    <row r="144" spans="1:13">
      <c r="A144" t="s">
        <v>174</v>
      </c>
      <c r="B144">
        <v>2022</v>
      </c>
      <c r="C144" t="s">
        <v>23</v>
      </c>
      <c r="D144" t="s">
        <v>28</v>
      </c>
      <c r="E144" t="s">
        <v>29</v>
      </c>
      <c r="F144" t="s">
        <v>21</v>
      </c>
      <c r="G144" t="s">
        <v>38</v>
      </c>
      <c r="H144">
        <v>1671</v>
      </c>
      <c r="I144">
        <v>40</v>
      </c>
      <c r="J144">
        <v>27</v>
      </c>
      <c r="K144">
        <v>3</v>
      </c>
      <c r="L144">
        <v>76</v>
      </c>
      <c r="M144" t="s">
        <v>18</v>
      </c>
    </row>
    <row r="145" spans="1:13">
      <c r="A145" t="s">
        <v>175</v>
      </c>
      <c r="B145">
        <v>2022</v>
      </c>
      <c r="C145" t="s">
        <v>13</v>
      </c>
      <c r="D145" t="s">
        <v>35</v>
      </c>
      <c r="E145" t="s">
        <v>42</v>
      </c>
      <c r="F145" t="s">
        <v>16</v>
      </c>
      <c r="G145" t="s">
        <v>17</v>
      </c>
      <c r="H145">
        <v>1332</v>
      </c>
      <c r="I145">
        <v>198</v>
      </c>
      <c r="J145">
        <v>30</v>
      </c>
      <c r="K145">
        <v>3</v>
      </c>
      <c r="L145">
        <v>58</v>
      </c>
      <c r="M145" t="s">
        <v>30</v>
      </c>
    </row>
    <row r="146" spans="1:13">
      <c r="A146" t="s">
        <v>176</v>
      </c>
      <c r="B146">
        <v>2022</v>
      </c>
      <c r="C146" t="s">
        <v>23</v>
      </c>
      <c r="D146" t="s">
        <v>35</v>
      </c>
      <c r="E146" t="s">
        <v>15</v>
      </c>
      <c r="F146" t="s">
        <v>16</v>
      </c>
      <c r="G146" t="s">
        <v>25</v>
      </c>
      <c r="H146">
        <v>1230</v>
      </c>
      <c r="I146">
        <v>4</v>
      </c>
      <c r="J146">
        <v>25</v>
      </c>
      <c r="K146">
        <v>3</v>
      </c>
      <c r="L146">
        <v>67</v>
      </c>
      <c r="M146" t="s">
        <v>18</v>
      </c>
    </row>
    <row r="147" spans="1:13">
      <c r="A147" t="s">
        <v>177</v>
      </c>
      <c r="B147">
        <v>2022</v>
      </c>
      <c r="C147" t="s">
        <v>23</v>
      </c>
      <c r="D147" t="s">
        <v>37</v>
      </c>
      <c r="E147" t="s">
        <v>15</v>
      </c>
      <c r="F147" t="s">
        <v>21</v>
      </c>
      <c r="G147" t="s">
        <v>17</v>
      </c>
      <c r="H147">
        <v>1957</v>
      </c>
      <c r="I147">
        <v>76</v>
      </c>
      <c r="J147">
        <v>18</v>
      </c>
      <c r="K147">
        <v>3</v>
      </c>
      <c r="L147">
        <v>88</v>
      </c>
      <c r="M147" t="s">
        <v>18</v>
      </c>
    </row>
    <row r="148" spans="1:13">
      <c r="A148" t="s">
        <v>178</v>
      </c>
      <c r="B148">
        <v>2022</v>
      </c>
      <c r="C148" t="s">
        <v>23</v>
      </c>
      <c r="D148" t="s">
        <v>14</v>
      </c>
      <c r="E148" t="s">
        <v>15</v>
      </c>
      <c r="F148" t="s">
        <v>21</v>
      </c>
      <c r="G148" t="s">
        <v>38</v>
      </c>
      <c r="H148">
        <v>1028</v>
      </c>
      <c r="I148">
        <v>89</v>
      </c>
      <c r="J148">
        <v>23</v>
      </c>
      <c r="K148">
        <v>4</v>
      </c>
      <c r="L148">
        <v>20</v>
      </c>
      <c r="M148" t="s">
        <v>18</v>
      </c>
    </row>
    <row r="149" spans="1:13">
      <c r="A149" t="s">
        <v>179</v>
      </c>
      <c r="B149">
        <v>2022</v>
      </c>
      <c r="C149" t="s">
        <v>45</v>
      </c>
      <c r="D149" t="s">
        <v>24</v>
      </c>
      <c r="E149" t="s">
        <v>32</v>
      </c>
      <c r="F149" t="s">
        <v>21</v>
      </c>
      <c r="G149" t="s">
        <v>38</v>
      </c>
      <c r="H149">
        <v>1840</v>
      </c>
      <c r="I149">
        <v>209</v>
      </c>
      <c r="J149">
        <v>36</v>
      </c>
      <c r="K149">
        <v>5</v>
      </c>
      <c r="L149">
        <v>60</v>
      </c>
      <c r="M149" t="s">
        <v>30</v>
      </c>
    </row>
    <row r="150" spans="1:13">
      <c r="A150" t="s">
        <v>180</v>
      </c>
      <c r="B150">
        <v>2022</v>
      </c>
      <c r="C150" t="s">
        <v>13</v>
      </c>
      <c r="D150" t="s">
        <v>28</v>
      </c>
      <c r="E150" t="s">
        <v>29</v>
      </c>
      <c r="F150" t="s">
        <v>16</v>
      </c>
      <c r="G150" t="s">
        <v>17</v>
      </c>
      <c r="H150">
        <v>2089</v>
      </c>
      <c r="I150">
        <v>21</v>
      </c>
      <c r="J150">
        <v>64</v>
      </c>
      <c r="K150">
        <v>2</v>
      </c>
      <c r="L150">
        <v>24</v>
      </c>
      <c r="M150" t="s">
        <v>18</v>
      </c>
    </row>
    <row r="151" spans="1:13">
      <c r="A151" t="s">
        <v>181</v>
      </c>
      <c r="B151">
        <v>2022</v>
      </c>
      <c r="C151" t="s">
        <v>20</v>
      </c>
      <c r="D151" t="s">
        <v>28</v>
      </c>
      <c r="E151" t="s">
        <v>15</v>
      </c>
      <c r="F151" t="s">
        <v>21</v>
      </c>
      <c r="G151" t="s">
        <v>17</v>
      </c>
      <c r="H151">
        <v>1489</v>
      </c>
      <c r="I151">
        <v>47</v>
      </c>
      <c r="J151">
        <v>56</v>
      </c>
      <c r="K151">
        <v>4</v>
      </c>
      <c r="L151">
        <v>0</v>
      </c>
      <c r="M151" t="s">
        <v>18</v>
      </c>
    </row>
    <row r="152" spans="1:13">
      <c r="A152" t="s">
        <v>182</v>
      </c>
      <c r="B152">
        <v>2022</v>
      </c>
      <c r="C152" t="s">
        <v>20</v>
      </c>
      <c r="D152" t="s">
        <v>37</v>
      </c>
      <c r="E152" t="s">
        <v>29</v>
      </c>
      <c r="F152" t="s">
        <v>16</v>
      </c>
      <c r="G152" t="s">
        <v>38</v>
      </c>
      <c r="H152">
        <v>1961</v>
      </c>
      <c r="I152">
        <v>72</v>
      </c>
      <c r="J152">
        <v>41</v>
      </c>
      <c r="K152">
        <v>3</v>
      </c>
      <c r="L152">
        <v>1</v>
      </c>
      <c r="M152" t="s">
        <v>18</v>
      </c>
    </row>
    <row r="153" spans="1:13">
      <c r="A153" t="s">
        <v>183</v>
      </c>
      <c r="B153">
        <v>2022</v>
      </c>
      <c r="C153" t="s">
        <v>45</v>
      </c>
      <c r="D153" t="s">
        <v>35</v>
      </c>
      <c r="E153" t="s">
        <v>29</v>
      </c>
      <c r="F153" t="s">
        <v>16</v>
      </c>
      <c r="G153" t="s">
        <v>38</v>
      </c>
      <c r="H153">
        <v>2096</v>
      </c>
      <c r="I153">
        <v>149</v>
      </c>
      <c r="J153">
        <v>26</v>
      </c>
      <c r="K153">
        <v>4</v>
      </c>
      <c r="L153">
        <v>33</v>
      </c>
      <c r="M153" t="s">
        <v>18</v>
      </c>
    </row>
    <row r="154" spans="1:13">
      <c r="A154" t="s">
        <v>184</v>
      </c>
      <c r="B154">
        <v>2022</v>
      </c>
      <c r="C154" t="s">
        <v>13</v>
      </c>
      <c r="D154" t="s">
        <v>37</v>
      </c>
      <c r="E154" t="s">
        <v>29</v>
      </c>
      <c r="F154" t="s">
        <v>21</v>
      </c>
      <c r="G154" t="s">
        <v>38</v>
      </c>
      <c r="H154">
        <v>1628</v>
      </c>
      <c r="I154">
        <v>32</v>
      </c>
      <c r="J154">
        <v>33</v>
      </c>
      <c r="K154">
        <v>2</v>
      </c>
      <c r="L154">
        <v>80</v>
      </c>
      <c r="M154" t="s">
        <v>18</v>
      </c>
    </row>
    <row r="155" spans="1:13">
      <c r="A155" t="s">
        <v>185</v>
      </c>
      <c r="B155">
        <v>2022</v>
      </c>
      <c r="C155" t="s">
        <v>23</v>
      </c>
      <c r="D155" t="s">
        <v>24</v>
      </c>
      <c r="E155" t="s">
        <v>42</v>
      </c>
      <c r="F155" t="s">
        <v>16</v>
      </c>
      <c r="G155" t="s">
        <v>17</v>
      </c>
      <c r="H155">
        <v>1176</v>
      </c>
      <c r="I155">
        <v>32</v>
      </c>
      <c r="J155">
        <v>36</v>
      </c>
      <c r="K155">
        <v>5</v>
      </c>
      <c r="L155">
        <v>26</v>
      </c>
      <c r="M155" t="s">
        <v>18</v>
      </c>
    </row>
    <row r="156" spans="1:13">
      <c r="A156" t="s">
        <v>186</v>
      </c>
      <c r="B156">
        <v>2022</v>
      </c>
      <c r="C156" t="s">
        <v>23</v>
      </c>
      <c r="D156" t="s">
        <v>14</v>
      </c>
      <c r="E156" t="s">
        <v>15</v>
      </c>
      <c r="F156" t="s">
        <v>21</v>
      </c>
      <c r="G156" t="s">
        <v>17</v>
      </c>
      <c r="H156">
        <v>1927</v>
      </c>
      <c r="I156">
        <v>42</v>
      </c>
      <c r="J156">
        <v>62</v>
      </c>
      <c r="K156">
        <v>4</v>
      </c>
      <c r="L156">
        <v>80</v>
      </c>
      <c r="M156" t="s">
        <v>30</v>
      </c>
    </row>
    <row r="157" spans="1:13">
      <c r="A157" t="s">
        <v>187</v>
      </c>
      <c r="B157">
        <v>2022</v>
      </c>
      <c r="C157" t="s">
        <v>23</v>
      </c>
      <c r="D157" t="s">
        <v>28</v>
      </c>
      <c r="E157" t="s">
        <v>15</v>
      </c>
      <c r="F157" t="s">
        <v>16</v>
      </c>
      <c r="G157" t="s">
        <v>25</v>
      </c>
      <c r="H157">
        <v>1679</v>
      </c>
      <c r="I157">
        <v>38</v>
      </c>
      <c r="J157">
        <v>45</v>
      </c>
      <c r="K157">
        <v>5</v>
      </c>
      <c r="L157">
        <v>27</v>
      </c>
      <c r="M157" t="s">
        <v>30</v>
      </c>
    </row>
    <row r="158" spans="1:13">
      <c r="A158" t="s">
        <v>188</v>
      </c>
      <c r="B158">
        <v>2022</v>
      </c>
      <c r="C158" t="s">
        <v>23</v>
      </c>
      <c r="D158" t="s">
        <v>14</v>
      </c>
      <c r="E158" t="s">
        <v>29</v>
      </c>
      <c r="F158" t="s">
        <v>16</v>
      </c>
      <c r="G158" t="s">
        <v>25</v>
      </c>
      <c r="H158">
        <v>1537</v>
      </c>
      <c r="I158">
        <v>242</v>
      </c>
      <c r="J158">
        <v>35</v>
      </c>
      <c r="K158">
        <v>5</v>
      </c>
      <c r="L158">
        <v>25</v>
      </c>
      <c r="M158" t="s">
        <v>18</v>
      </c>
    </row>
    <row r="159" spans="1:13">
      <c r="A159" t="s">
        <v>189</v>
      </c>
      <c r="B159">
        <v>2022</v>
      </c>
      <c r="C159" t="s">
        <v>23</v>
      </c>
      <c r="D159" t="s">
        <v>37</v>
      </c>
      <c r="E159" t="s">
        <v>42</v>
      </c>
      <c r="F159" t="s">
        <v>21</v>
      </c>
      <c r="G159" t="s">
        <v>25</v>
      </c>
      <c r="H159">
        <v>952</v>
      </c>
      <c r="I159">
        <v>171</v>
      </c>
      <c r="J159">
        <v>26</v>
      </c>
      <c r="K159">
        <v>4</v>
      </c>
      <c r="L159">
        <v>78</v>
      </c>
      <c r="M159" t="s">
        <v>18</v>
      </c>
    </row>
    <row r="160" spans="1:13">
      <c r="A160" t="s">
        <v>190</v>
      </c>
      <c r="B160">
        <v>2022</v>
      </c>
      <c r="C160" t="s">
        <v>23</v>
      </c>
      <c r="D160" t="s">
        <v>28</v>
      </c>
      <c r="E160" t="s">
        <v>42</v>
      </c>
      <c r="F160" t="s">
        <v>16</v>
      </c>
      <c r="G160" t="s">
        <v>25</v>
      </c>
      <c r="H160">
        <v>2030</v>
      </c>
      <c r="I160">
        <v>121</v>
      </c>
      <c r="J160">
        <v>40</v>
      </c>
      <c r="K160">
        <v>2</v>
      </c>
      <c r="L160">
        <v>47</v>
      </c>
      <c r="M160" t="s">
        <v>18</v>
      </c>
    </row>
    <row r="161" spans="1:13">
      <c r="A161" t="s">
        <v>191</v>
      </c>
      <c r="B161">
        <v>2022</v>
      </c>
      <c r="C161" t="s">
        <v>20</v>
      </c>
      <c r="D161" t="s">
        <v>35</v>
      </c>
      <c r="E161" t="s">
        <v>42</v>
      </c>
      <c r="F161" t="s">
        <v>21</v>
      </c>
      <c r="G161" t="s">
        <v>17</v>
      </c>
      <c r="H161">
        <v>2064</v>
      </c>
      <c r="I161">
        <v>195</v>
      </c>
      <c r="J161">
        <v>65</v>
      </c>
      <c r="K161">
        <v>5</v>
      </c>
      <c r="L161">
        <v>26</v>
      </c>
      <c r="M161" t="s">
        <v>18</v>
      </c>
    </row>
    <row r="162" spans="1:13">
      <c r="A162" t="s">
        <v>192</v>
      </c>
      <c r="B162">
        <v>2022</v>
      </c>
      <c r="C162" t="s">
        <v>45</v>
      </c>
      <c r="D162" t="s">
        <v>28</v>
      </c>
      <c r="E162" t="s">
        <v>42</v>
      </c>
      <c r="F162" t="s">
        <v>16</v>
      </c>
      <c r="G162" t="s">
        <v>38</v>
      </c>
      <c r="H162">
        <v>1346</v>
      </c>
      <c r="I162">
        <v>229</v>
      </c>
      <c r="J162">
        <v>18</v>
      </c>
      <c r="K162">
        <v>4</v>
      </c>
      <c r="L162">
        <v>58</v>
      </c>
      <c r="M162" t="s">
        <v>18</v>
      </c>
    </row>
    <row r="163" spans="1:13">
      <c r="A163" t="s">
        <v>193</v>
      </c>
      <c r="B163">
        <v>2022</v>
      </c>
      <c r="C163" t="s">
        <v>45</v>
      </c>
      <c r="D163" t="s">
        <v>14</v>
      </c>
      <c r="E163" t="s">
        <v>15</v>
      </c>
      <c r="F163" t="s">
        <v>21</v>
      </c>
      <c r="G163" t="s">
        <v>25</v>
      </c>
      <c r="H163">
        <v>1489</v>
      </c>
      <c r="I163">
        <v>205</v>
      </c>
      <c r="J163">
        <v>51</v>
      </c>
      <c r="K163">
        <v>3</v>
      </c>
      <c r="L163">
        <v>57</v>
      </c>
      <c r="M163" t="s">
        <v>18</v>
      </c>
    </row>
    <row r="164" spans="1:13">
      <c r="A164" t="s">
        <v>194</v>
      </c>
      <c r="B164">
        <v>2022</v>
      </c>
      <c r="C164" t="s">
        <v>23</v>
      </c>
      <c r="D164" t="s">
        <v>14</v>
      </c>
      <c r="E164" t="s">
        <v>42</v>
      </c>
      <c r="F164" t="s">
        <v>21</v>
      </c>
      <c r="G164" t="s">
        <v>17</v>
      </c>
      <c r="H164">
        <v>1553</v>
      </c>
      <c r="I164">
        <v>208</v>
      </c>
      <c r="J164">
        <v>60</v>
      </c>
      <c r="K164">
        <v>2</v>
      </c>
      <c r="L164">
        <v>12</v>
      </c>
      <c r="M164" t="s">
        <v>18</v>
      </c>
    </row>
    <row r="165" spans="1:13">
      <c r="A165" t="s">
        <v>195</v>
      </c>
      <c r="B165">
        <v>2022</v>
      </c>
      <c r="C165" t="s">
        <v>45</v>
      </c>
      <c r="D165" t="s">
        <v>14</v>
      </c>
      <c r="E165" t="s">
        <v>15</v>
      </c>
      <c r="F165" t="s">
        <v>16</v>
      </c>
      <c r="G165" t="s">
        <v>25</v>
      </c>
      <c r="H165">
        <v>1792</v>
      </c>
      <c r="I165">
        <v>109</v>
      </c>
      <c r="J165">
        <v>48</v>
      </c>
      <c r="K165">
        <v>4</v>
      </c>
      <c r="L165">
        <v>14</v>
      </c>
      <c r="M165" t="s">
        <v>18</v>
      </c>
    </row>
    <row r="166" spans="1:13">
      <c r="A166" t="s">
        <v>196</v>
      </c>
      <c r="B166">
        <v>2022</v>
      </c>
      <c r="C166" t="s">
        <v>23</v>
      </c>
      <c r="D166" t="s">
        <v>37</v>
      </c>
      <c r="E166" t="s">
        <v>32</v>
      </c>
      <c r="F166" t="s">
        <v>16</v>
      </c>
      <c r="G166" t="s">
        <v>17</v>
      </c>
      <c r="H166">
        <v>957</v>
      </c>
      <c r="I166">
        <v>5</v>
      </c>
      <c r="J166">
        <v>19</v>
      </c>
      <c r="K166">
        <v>4</v>
      </c>
      <c r="L166">
        <v>33</v>
      </c>
      <c r="M166" t="s">
        <v>18</v>
      </c>
    </row>
    <row r="167" spans="1:13">
      <c r="A167" t="s">
        <v>197</v>
      </c>
      <c r="B167">
        <v>2022</v>
      </c>
      <c r="C167" t="s">
        <v>13</v>
      </c>
      <c r="D167" t="s">
        <v>35</v>
      </c>
      <c r="E167" t="s">
        <v>15</v>
      </c>
      <c r="F167" t="s">
        <v>16</v>
      </c>
      <c r="G167" t="s">
        <v>38</v>
      </c>
      <c r="H167">
        <v>1192</v>
      </c>
      <c r="I167">
        <v>190</v>
      </c>
      <c r="J167">
        <v>61</v>
      </c>
      <c r="K167">
        <v>2</v>
      </c>
      <c r="L167">
        <v>86</v>
      </c>
      <c r="M167" t="s">
        <v>18</v>
      </c>
    </row>
    <row r="168" spans="1:13">
      <c r="A168" t="s">
        <v>198</v>
      </c>
      <c r="B168">
        <v>2022</v>
      </c>
      <c r="C168" t="s">
        <v>23</v>
      </c>
      <c r="D168" t="s">
        <v>37</v>
      </c>
      <c r="E168" t="s">
        <v>15</v>
      </c>
      <c r="F168" t="s">
        <v>16</v>
      </c>
      <c r="G168" t="s">
        <v>25</v>
      </c>
      <c r="H168">
        <v>1662</v>
      </c>
      <c r="I168">
        <v>164</v>
      </c>
      <c r="J168">
        <v>55</v>
      </c>
      <c r="K168">
        <v>2</v>
      </c>
      <c r="L168">
        <v>28</v>
      </c>
      <c r="M168" t="s">
        <v>30</v>
      </c>
    </row>
    <row r="169" spans="1:13">
      <c r="A169" t="s">
        <v>199</v>
      </c>
      <c r="B169">
        <v>2022</v>
      </c>
      <c r="C169" t="s">
        <v>20</v>
      </c>
      <c r="D169" t="s">
        <v>24</v>
      </c>
      <c r="E169" t="s">
        <v>29</v>
      </c>
      <c r="F169" t="s">
        <v>21</v>
      </c>
      <c r="G169" t="s">
        <v>17</v>
      </c>
      <c r="H169">
        <v>1337</v>
      </c>
      <c r="I169">
        <v>164</v>
      </c>
      <c r="J169">
        <v>34</v>
      </c>
      <c r="K169">
        <v>5</v>
      </c>
      <c r="L169">
        <v>45</v>
      </c>
      <c r="M169" t="s">
        <v>18</v>
      </c>
    </row>
    <row r="170" spans="1:13">
      <c r="A170" t="s">
        <v>200</v>
      </c>
      <c r="B170">
        <v>2022</v>
      </c>
      <c r="C170" t="s">
        <v>20</v>
      </c>
      <c r="D170" t="s">
        <v>37</v>
      </c>
      <c r="E170" t="s">
        <v>42</v>
      </c>
      <c r="F170" t="s">
        <v>21</v>
      </c>
      <c r="G170" t="s">
        <v>25</v>
      </c>
      <c r="H170">
        <v>1743</v>
      </c>
      <c r="I170">
        <v>83</v>
      </c>
      <c r="J170">
        <v>60</v>
      </c>
      <c r="K170">
        <v>3</v>
      </c>
      <c r="L170">
        <v>85</v>
      </c>
      <c r="M170" t="s">
        <v>30</v>
      </c>
    </row>
    <row r="171" spans="1:13">
      <c r="A171" t="s">
        <v>201</v>
      </c>
      <c r="B171">
        <v>2022</v>
      </c>
      <c r="C171" t="s">
        <v>20</v>
      </c>
      <c r="D171" t="s">
        <v>37</v>
      </c>
      <c r="E171" t="s">
        <v>15</v>
      </c>
      <c r="F171" t="s">
        <v>16</v>
      </c>
      <c r="G171" t="s">
        <v>17</v>
      </c>
      <c r="H171">
        <v>1069</v>
      </c>
      <c r="I171">
        <v>194</v>
      </c>
      <c r="J171">
        <v>63</v>
      </c>
      <c r="K171">
        <v>5</v>
      </c>
      <c r="L171">
        <v>70</v>
      </c>
      <c r="M171" t="s">
        <v>30</v>
      </c>
    </row>
    <row r="172" spans="1:13">
      <c r="A172" t="s">
        <v>202</v>
      </c>
      <c r="B172">
        <v>2022</v>
      </c>
      <c r="C172" t="s">
        <v>20</v>
      </c>
      <c r="D172" t="s">
        <v>35</v>
      </c>
      <c r="E172" t="s">
        <v>32</v>
      </c>
      <c r="F172" t="s">
        <v>21</v>
      </c>
      <c r="G172" t="s">
        <v>25</v>
      </c>
      <c r="H172">
        <v>1053</v>
      </c>
      <c r="I172">
        <v>55</v>
      </c>
      <c r="J172">
        <v>38</v>
      </c>
      <c r="K172">
        <v>5</v>
      </c>
      <c r="L172">
        <v>9</v>
      </c>
      <c r="M172" t="s">
        <v>18</v>
      </c>
    </row>
    <row r="173" spans="1:13">
      <c r="A173" t="s">
        <v>203</v>
      </c>
      <c r="B173">
        <v>2022</v>
      </c>
      <c r="C173" t="s">
        <v>20</v>
      </c>
      <c r="D173" t="s">
        <v>14</v>
      </c>
      <c r="E173" t="s">
        <v>42</v>
      </c>
      <c r="F173" t="s">
        <v>16</v>
      </c>
      <c r="G173" t="s">
        <v>17</v>
      </c>
      <c r="H173">
        <v>931</v>
      </c>
      <c r="I173">
        <v>177</v>
      </c>
      <c r="J173">
        <v>36</v>
      </c>
      <c r="K173">
        <v>1</v>
      </c>
      <c r="L173">
        <v>60</v>
      </c>
      <c r="M173" t="s">
        <v>18</v>
      </c>
    </row>
    <row r="174" spans="1:13">
      <c r="A174" t="s">
        <v>204</v>
      </c>
      <c r="B174">
        <v>2022</v>
      </c>
      <c r="C174" t="s">
        <v>20</v>
      </c>
      <c r="D174" t="s">
        <v>37</v>
      </c>
      <c r="E174" t="s">
        <v>32</v>
      </c>
      <c r="F174" t="s">
        <v>16</v>
      </c>
      <c r="G174" t="s">
        <v>38</v>
      </c>
      <c r="H174">
        <v>1133</v>
      </c>
      <c r="I174">
        <v>29</v>
      </c>
      <c r="J174">
        <v>53</v>
      </c>
      <c r="K174">
        <v>3</v>
      </c>
      <c r="L174">
        <v>1</v>
      </c>
      <c r="M174" t="s">
        <v>18</v>
      </c>
    </row>
    <row r="175" spans="1:13">
      <c r="A175" t="s">
        <v>205</v>
      </c>
      <c r="B175">
        <v>2022</v>
      </c>
      <c r="C175" t="s">
        <v>20</v>
      </c>
      <c r="D175" t="s">
        <v>28</v>
      </c>
      <c r="E175" t="s">
        <v>29</v>
      </c>
      <c r="F175" t="s">
        <v>21</v>
      </c>
      <c r="G175" t="s">
        <v>25</v>
      </c>
      <c r="H175">
        <v>1541</v>
      </c>
      <c r="I175">
        <v>8</v>
      </c>
      <c r="J175">
        <v>35</v>
      </c>
      <c r="K175">
        <v>3</v>
      </c>
      <c r="L175">
        <v>30</v>
      </c>
      <c r="M175" t="s">
        <v>18</v>
      </c>
    </row>
    <row r="176" spans="1:13">
      <c r="A176" t="s">
        <v>206</v>
      </c>
      <c r="B176">
        <v>2022</v>
      </c>
      <c r="C176" t="s">
        <v>20</v>
      </c>
      <c r="D176" t="s">
        <v>28</v>
      </c>
      <c r="E176" t="s">
        <v>29</v>
      </c>
      <c r="F176" t="s">
        <v>21</v>
      </c>
      <c r="G176" t="s">
        <v>17</v>
      </c>
      <c r="H176">
        <v>1419</v>
      </c>
      <c r="I176">
        <v>88</v>
      </c>
      <c r="J176">
        <v>28</v>
      </c>
      <c r="K176">
        <v>5</v>
      </c>
      <c r="L176">
        <v>47</v>
      </c>
      <c r="M176" t="s">
        <v>18</v>
      </c>
    </row>
    <row r="177" spans="1:13">
      <c r="A177" t="s">
        <v>207</v>
      </c>
      <c r="B177">
        <v>2022</v>
      </c>
      <c r="C177" t="s">
        <v>45</v>
      </c>
      <c r="D177" t="s">
        <v>14</v>
      </c>
      <c r="E177" t="s">
        <v>29</v>
      </c>
      <c r="F177" t="s">
        <v>21</v>
      </c>
      <c r="G177" t="s">
        <v>38</v>
      </c>
      <c r="H177">
        <v>1355</v>
      </c>
      <c r="I177">
        <v>103</v>
      </c>
      <c r="J177">
        <v>55</v>
      </c>
      <c r="K177">
        <v>2</v>
      </c>
      <c r="L177">
        <v>57</v>
      </c>
      <c r="M177" t="s">
        <v>18</v>
      </c>
    </row>
    <row r="178" spans="1:13">
      <c r="A178" t="s">
        <v>208</v>
      </c>
      <c r="B178">
        <v>2022</v>
      </c>
      <c r="C178" t="s">
        <v>23</v>
      </c>
      <c r="D178" t="s">
        <v>28</v>
      </c>
      <c r="E178" t="s">
        <v>42</v>
      </c>
      <c r="F178" t="s">
        <v>21</v>
      </c>
      <c r="G178" t="s">
        <v>38</v>
      </c>
      <c r="H178">
        <v>1123</v>
      </c>
      <c r="I178">
        <v>73</v>
      </c>
      <c r="J178">
        <v>36</v>
      </c>
      <c r="K178">
        <v>5</v>
      </c>
      <c r="L178">
        <v>76</v>
      </c>
      <c r="M178" t="s">
        <v>30</v>
      </c>
    </row>
    <row r="179" spans="1:13">
      <c r="A179" t="s">
        <v>209</v>
      </c>
      <c r="B179">
        <v>2022</v>
      </c>
      <c r="C179" t="s">
        <v>45</v>
      </c>
      <c r="D179" t="s">
        <v>28</v>
      </c>
      <c r="E179" t="s">
        <v>32</v>
      </c>
      <c r="F179" t="s">
        <v>16</v>
      </c>
      <c r="G179" t="s">
        <v>38</v>
      </c>
      <c r="H179">
        <v>1914</v>
      </c>
      <c r="I179">
        <v>226</v>
      </c>
      <c r="J179">
        <v>54</v>
      </c>
      <c r="K179">
        <v>5</v>
      </c>
      <c r="L179">
        <v>55</v>
      </c>
      <c r="M179" t="s">
        <v>18</v>
      </c>
    </row>
    <row r="180" spans="1:13">
      <c r="A180" t="s">
        <v>210</v>
      </c>
      <c r="B180">
        <v>2022</v>
      </c>
      <c r="C180" t="s">
        <v>20</v>
      </c>
      <c r="D180" t="s">
        <v>28</v>
      </c>
      <c r="E180" t="s">
        <v>15</v>
      </c>
      <c r="F180" t="s">
        <v>16</v>
      </c>
      <c r="G180" t="s">
        <v>17</v>
      </c>
      <c r="H180">
        <v>1283</v>
      </c>
      <c r="I180">
        <v>205</v>
      </c>
      <c r="J180">
        <v>58</v>
      </c>
      <c r="K180">
        <v>1</v>
      </c>
      <c r="L180">
        <v>71</v>
      </c>
      <c r="M180" t="s">
        <v>30</v>
      </c>
    </row>
    <row r="181" spans="1:13">
      <c r="A181" t="s">
        <v>211</v>
      </c>
      <c r="B181">
        <v>2022</v>
      </c>
      <c r="C181" t="s">
        <v>45</v>
      </c>
      <c r="D181" t="s">
        <v>28</v>
      </c>
      <c r="E181" t="s">
        <v>32</v>
      </c>
      <c r="F181" t="s">
        <v>21</v>
      </c>
      <c r="G181" t="s">
        <v>17</v>
      </c>
      <c r="H181">
        <v>1192</v>
      </c>
      <c r="I181">
        <v>13</v>
      </c>
      <c r="J181">
        <v>42</v>
      </c>
      <c r="K181">
        <v>3</v>
      </c>
      <c r="L181">
        <v>51</v>
      </c>
      <c r="M181" t="s">
        <v>30</v>
      </c>
    </row>
    <row r="182" spans="1:13">
      <c r="A182" t="s">
        <v>212</v>
      </c>
      <c r="B182">
        <v>2022</v>
      </c>
      <c r="C182" t="s">
        <v>23</v>
      </c>
      <c r="D182" t="s">
        <v>14</v>
      </c>
      <c r="E182" t="s">
        <v>29</v>
      </c>
      <c r="F182" t="s">
        <v>16</v>
      </c>
      <c r="G182" t="s">
        <v>38</v>
      </c>
      <c r="H182">
        <v>990</v>
      </c>
      <c r="I182">
        <v>117</v>
      </c>
      <c r="J182">
        <v>60</v>
      </c>
      <c r="K182">
        <v>3</v>
      </c>
      <c r="L182">
        <v>58</v>
      </c>
      <c r="M182" t="s">
        <v>18</v>
      </c>
    </row>
    <row r="183" spans="1:13">
      <c r="A183" t="s">
        <v>213</v>
      </c>
      <c r="B183">
        <v>2022</v>
      </c>
      <c r="C183" t="s">
        <v>23</v>
      </c>
      <c r="D183" t="s">
        <v>28</v>
      </c>
      <c r="E183" t="s">
        <v>29</v>
      </c>
      <c r="F183" t="s">
        <v>21</v>
      </c>
      <c r="G183" t="s">
        <v>25</v>
      </c>
      <c r="H183">
        <v>1577</v>
      </c>
      <c r="I183">
        <v>93</v>
      </c>
      <c r="J183">
        <v>21</v>
      </c>
      <c r="K183">
        <v>1</v>
      </c>
      <c r="L183">
        <v>85</v>
      </c>
      <c r="M183" t="s">
        <v>18</v>
      </c>
    </row>
    <row r="184" spans="1:13">
      <c r="A184" t="s">
        <v>214</v>
      </c>
      <c r="B184">
        <v>2022</v>
      </c>
      <c r="C184" t="s">
        <v>23</v>
      </c>
      <c r="D184" t="s">
        <v>14</v>
      </c>
      <c r="E184" t="s">
        <v>32</v>
      </c>
      <c r="F184" t="s">
        <v>16</v>
      </c>
      <c r="G184" t="s">
        <v>38</v>
      </c>
      <c r="H184">
        <v>1498</v>
      </c>
      <c r="I184">
        <v>103</v>
      </c>
      <c r="J184">
        <v>22</v>
      </c>
      <c r="K184">
        <v>5</v>
      </c>
      <c r="L184">
        <v>0</v>
      </c>
      <c r="M184" t="s">
        <v>30</v>
      </c>
    </row>
    <row r="185" spans="1:13">
      <c r="A185" t="s">
        <v>215</v>
      </c>
      <c r="B185">
        <v>2022</v>
      </c>
      <c r="C185" t="s">
        <v>20</v>
      </c>
      <c r="D185" t="s">
        <v>28</v>
      </c>
      <c r="E185" t="s">
        <v>42</v>
      </c>
      <c r="F185" t="s">
        <v>21</v>
      </c>
      <c r="G185" t="s">
        <v>38</v>
      </c>
      <c r="H185">
        <v>1124</v>
      </c>
      <c r="I185">
        <v>50</v>
      </c>
      <c r="J185">
        <v>62</v>
      </c>
      <c r="K185">
        <v>2</v>
      </c>
      <c r="L185">
        <v>12</v>
      </c>
      <c r="M185" t="s">
        <v>18</v>
      </c>
    </row>
    <row r="186" spans="1:13">
      <c r="A186" t="s">
        <v>216</v>
      </c>
      <c r="B186">
        <v>2022</v>
      </c>
      <c r="C186" t="s">
        <v>13</v>
      </c>
      <c r="D186" t="s">
        <v>24</v>
      </c>
      <c r="E186" t="s">
        <v>32</v>
      </c>
      <c r="F186" t="s">
        <v>16</v>
      </c>
      <c r="G186" t="s">
        <v>38</v>
      </c>
      <c r="H186">
        <v>1273</v>
      </c>
      <c r="I186">
        <v>86</v>
      </c>
      <c r="J186">
        <v>18</v>
      </c>
      <c r="K186">
        <v>4</v>
      </c>
      <c r="L186">
        <v>68</v>
      </c>
      <c r="M186" t="s">
        <v>30</v>
      </c>
    </row>
    <row r="187" spans="1:13">
      <c r="A187" t="s">
        <v>217</v>
      </c>
      <c r="B187">
        <v>2022</v>
      </c>
      <c r="C187" t="s">
        <v>45</v>
      </c>
      <c r="D187" t="s">
        <v>28</v>
      </c>
      <c r="E187" t="s">
        <v>42</v>
      </c>
      <c r="F187" t="s">
        <v>21</v>
      </c>
      <c r="G187" t="s">
        <v>25</v>
      </c>
      <c r="H187">
        <v>1058</v>
      </c>
      <c r="I187">
        <v>113</v>
      </c>
      <c r="J187">
        <v>46</v>
      </c>
      <c r="K187">
        <v>1</v>
      </c>
      <c r="L187">
        <v>48</v>
      </c>
      <c r="M187" t="s">
        <v>18</v>
      </c>
    </row>
    <row r="188" spans="1:13">
      <c r="A188" t="s">
        <v>218</v>
      </c>
      <c r="B188">
        <v>2022</v>
      </c>
      <c r="C188" t="s">
        <v>45</v>
      </c>
      <c r="D188" t="s">
        <v>14</v>
      </c>
      <c r="E188" t="s">
        <v>42</v>
      </c>
      <c r="F188" t="s">
        <v>16</v>
      </c>
      <c r="G188" t="s">
        <v>38</v>
      </c>
      <c r="H188">
        <v>1553</v>
      </c>
      <c r="I188">
        <v>21</v>
      </c>
      <c r="J188">
        <v>51</v>
      </c>
      <c r="K188">
        <v>5</v>
      </c>
      <c r="L188">
        <v>10</v>
      </c>
      <c r="M188" t="s">
        <v>18</v>
      </c>
    </row>
    <row r="189" spans="1:13">
      <c r="A189" t="s">
        <v>219</v>
      </c>
      <c r="B189">
        <v>2022</v>
      </c>
      <c r="C189" t="s">
        <v>13</v>
      </c>
      <c r="D189" t="s">
        <v>28</v>
      </c>
      <c r="E189" t="s">
        <v>42</v>
      </c>
      <c r="F189" t="s">
        <v>21</v>
      </c>
      <c r="G189" t="s">
        <v>17</v>
      </c>
      <c r="H189">
        <v>978</v>
      </c>
      <c r="I189">
        <v>100</v>
      </c>
      <c r="J189">
        <v>32</v>
      </c>
      <c r="K189">
        <v>2</v>
      </c>
      <c r="L189">
        <v>86</v>
      </c>
      <c r="M189" t="s">
        <v>18</v>
      </c>
    </row>
    <row r="190" spans="1:13">
      <c r="A190" t="s">
        <v>220</v>
      </c>
      <c r="B190">
        <v>2022</v>
      </c>
      <c r="C190" t="s">
        <v>23</v>
      </c>
      <c r="D190" t="s">
        <v>37</v>
      </c>
      <c r="E190" t="s">
        <v>42</v>
      </c>
      <c r="F190" t="s">
        <v>21</v>
      </c>
      <c r="G190" t="s">
        <v>38</v>
      </c>
      <c r="H190">
        <v>1911</v>
      </c>
      <c r="I190">
        <v>96</v>
      </c>
      <c r="J190">
        <v>26</v>
      </c>
      <c r="K190">
        <v>2</v>
      </c>
      <c r="L190">
        <v>37</v>
      </c>
      <c r="M190" t="s">
        <v>18</v>
      </c>
    </row>
    <row r="191" spans="1:13">
      <c r="A191" t="s">
        <v>221</v>
      </c>
      <c r="B191">
        <v>2022</v>
      </c>
      <c r="C191" t="s">
        <v>45</v>
      </c>
      <c r="D191" t="s">
        <v>14</v>
      </c>
      <c r="E191" t="s">
        <v>15</v>
      </c>
      <c r="F191" t="s">
        <v>21</v>
      </c>
      <c r="G191" t="s">
        <v>38</v>
      </c>
      <c r="H191">
        <v>1382</v>
      </c>
      <c r="I191">
        <v>171</v>
      </c>
      <c r="J191">
        <v>48</v>
      </c>
      <c r="K191">
        <v>1</v>
      </c>
      <c r="L191">
        <v>83</v>
      </c>
      <c r="M191" t="s">
        <v>18</v>
      </c>
    </row>
    <row r="192" spans="1:13">
      <c r="A192" t="s">
        <v>222</v>
      </c>
      <c r="B192">
        <v>2022</v>
      </c>
      <c r="C192" t="s">
        <v>20</v>
      </c>
      <c r="D192" t="s">
        <v>35</v>
      </c>
      <c r="E192" t="s">
        <v>29</v>
      </c>
      <c r="F192" t="s">
        <v>16</v>
      </c>
      <c r="G192" t="s">
        <v>38</v>
      </c>
      <c r="H192">
        <v>967</v>
      </c>
      <c r="I192">
        <v>162</v>
      </c>
      <c r="J192">
        <v>32</v>
      </c>
      <c r="K192">
        <v>2</v>
      </c>
      <c r="L192">
        <v>27</v>
      </c>
      <c r="M192" t="s">
        <v>30</v>
      </c>
    </row>
    <row r="193" spans="1:13">
      <c r="A193" t="s">
        <v>223</v>
      </c>
      <c r="B193">
        <v>2022</v>
      </c>
      <c r="C193" t="s">
        <v>20</v>
      </c>
      <c r="D193" t="s">
        <v>37</v>
      </c>
      <c r="E193" t="s">
        <v>42</v>
      </c>
      <c r="F193" t="s">
        <v>16</v>
      </c>
      <c r="G193" t="s">
        <v>25</v>
      </c>
      <c r="H193">
        <v>1914</v>
      </c>
      <c r="I193">
        <v>15</v>
      </c>
      <c r="J193">
        <v>28</v>
      </c>
      <c r="K193">
        <v>5</v>
      </c>
      <c r="L193">
        <v>55</v>
      </c>
      <c r="M193" t="s">
        <v>30</v>
      </c>
    </row>
    <row r="194" spans="1:13">
      <c r="A194" t="s">
        <v>224</v>
      </c>
      <c r="B194">
        <v>2022</v>
      </c>
      <c r="C194" t="s">
        <v>13</v>
      </c>
      <c r="D194" t="s">
        <v>37</v>
      </c>
      <c r="E194" t="s">
        <v>15</v>
      </c>
      <c r="F194" t="s">
        <v>21</v>
      </c>
      <c r="G194" t="s">
        <v>25</v>
      </c>
      <c r="H194">
        <v>1761</v>
      </c>
      <c r="I194">
        <v>245</v>
      </c>
      <c r="J194">
        <v>64</v>
      </c>
      <c r="K194">
        <v>5</v>
      </c>
      <c r="L194">
        <v>46</v>
      </c>
      <c r="M194" t="s">
        <v>18</v>
      </c>
    </row>
    <row r="195" spans="1:13">
      <c r="A195" t="s">
        <v>225</v>
      </c>
      <c r="B195">
        <v>2022</v>
      </c>
      <c r="C195" t="s">
        <v>23</v>
      </c>
      <c r="D195" t="s">
        <v>28</v>
      </c>
      <c r="E195" t="s">
        <v>42</v>
      </c>
      <c r="F195" t="s">
        <v>21</v>
      </c>
      <c r="G195" t="s">
        <v>25</v>
      </c>
      <c r="H195">
        <v>1674</v>
      </c>
      <c r="I195">
        <v>51</v>
      </c>
      <c r="J195">
        <v>17</v>
      </c>
      <c r="K195">
        <v>2</v>
      </c>
      <c r="L195">
        <v>26</v>
      </c>
      <c r="M195" t="s">
        <v>30</v>
      </c>
    </row>
    <row r="196" spans="1:13">
      <c r="A196" t="s">
        <v>226</v>
      </c>
      <c r="B196">
        <v>2022</v>
      </c>
      <c r="C196" t="s">
        <v>23</v>
      </c>
      <c r="D196" t="s">
        <v>24</v>
      </c>
      <c r="E196" t="s">
        <v>29</v>
      </c>
      <c r="F196" t="s">
        <v>21</v>
      </c>
      <c r="G196" t="s">
        <v>17</v>
      </c>
      <c r="H196">
        <v>1151</v>
      </c>
      <c r="I196">
        <v>241</v>
      </c>
      <c r="J196">
        <v>22</v>
      </c>
      <c r="K196">
        <v>2</v>
      </c>
      <c r="L196">
        <v>19</v>
      </c>
      <c r="M196" t="s">
        <v>18</v>
      </c>
    </row>
    <row r="197" spans="1:13">
      <c r="A197" t="s">
        <v>227</v>
      </c>
      <c r="B197">
        <v>2022</v>
      </c>
      <c r="C197" t="s">
        <v>23</v>
      </c>
      <c r="D197" t="s">
        <v>35</v>
      </c>
      <c r="E197" t="s">
        <v>15</v>
      </c>
      <c r="F197" t="s">
        <v>21</v>
      </c>
      <c r="G197" t="s">
        <v>17</v>
      </c>
      <c r="H197">
        <v>1234</v>
      </c>
      <c r="I197">
        <v>9</v>
      </c>
      <c r="J197">
        <v>24</v>
      </c>
      <c r="K197">
        <v>3</v>
      </c>
      <c r="L197">
        <v>31</v>
      </c>
      <c r="M197" t="s">
        <v>18</v>
      </c>
    </row>
    <row r="198" spans="1:13">
      <c r="A198" t="s">
        <v>228</v>
      </c>
      <c r="B198">
        <v>2022</v>
      </c>
      <c r="C198" t="s">
        <v>23</v>
      </c>
      <c r="D198" t="s">
        <v>24</v>
      </c>
      <c r="E198" t="s">
        <v>32</v>
      </c>
      <c r="F198" t="s">
        <v>16</v>
      </c>
      <c r="G198" t="s">
        <v>25</v>
      </c>
      <c r="H198">
        <v>1026</v>
      </c>
      <c r="I198">
        <v>144</v>
      </c>
      <c r="J198">
        <v>51</v>
      </c>
      <c r="K198">
        <v>5</v>
      </c>
      <c r="L198">
        <v>87</v>
      </c>
      <c r="M198" t="s">
        <v>18</v>
      </c>
    </row>
    <row r="199" spans="1:13">
      <c r="A199" t="s">
        <v>229</v>
      </c>
      <c r="B199">
        <v>2022</v>
      </c>
      <c r="C199" t="s">
        <v>20</v>
      </c>
      <c r="D199" t="s">
        <v>37</v>
      </c>
      <c r="E199" t="s">
        <v>42</v>
      </c>
      <c r="F199" t="s">
        <v>16</v>
      </c>
      <c r="G199" t="s">
        <v>38</v>
      </c>
      <c r="H199">
        <v>1267</v>
      </c>
      <c r="I199">
        <v>241</v>
      </c>
      <c r="J199">
        <v>52</v>
      </c>
      <c r="K199">
        <v>2</v>
      </c>
      <c r="L199">
        <v>50</v>
      </c>
      <c r="M199" t="s">
        <v>30</v>
      </c>
    </row>
    <row r="200" spans="1:13">
      <c r="A200" t="s">
        <v>230</v>
      </c>
      <c r="B200">
        <v>2022</v>
      </c>
      <c r="C200" t="s">
        <v>13</v>
      </c>
      <c r="D200" t="s">
        <v>24</v>
      </c>
      <c r="E200" t="s">
        <v>15</v>
      </c>
      <c r="F200" t="s">
        <v>16</v>
      </c>
      <c r="G200" t="s">
        <v>38</v>
      </c>
      <c r="H200">
        <v>974</v>
      </c>
      <c r="I200">
        <v>151</v>
      </c>
      <c r="J200">
        <v>25</v>
      </c>
      <c r="K200">
        <v>5</v>
      </c>
      <c r="L200">
        <v>67</v>
      </c>
      <c r="M200" t="s">
        <v>18</v>
      </c>
    </row>
    <row r="201" spans="1:13">
      <c r="A201" t="s">
        <v>231</v>
      </c>
      <c r="B201">
        <v>2022</v>
      </c>
      <c r="C201" t="s">
        <v>13</v>
      </c>
      <c r="D201" t="s">
        <v>14</v>
      </c>
      <c r="E201" t="s">
        <v>42</v>
      </c>
      <c r="F201" t="s">
        <v>21</v>
      </c>
      <c r="G201" t="s">
        <v>25</v>
      </c>
      <c r="H201">
        <v>1234</v>
      </c>
      <c r="I201">
        <v>157</v>
      </c>
      <c r="J201">
        <v>40</v>
      </c>
      <c r="K201">
        <v>1</v>
      </c>
      <c r="L201">
        <v>14</v>
      </c>
      <c r="M201" t="s">
        <v>18</v>
      </c>
    </row>
    <row r="202" spans="1:13">
      <c r="A202" t="s">
        <v>232</v>
      </c>
      <c r="B202">
        <v>2023</v>
      </c>
      <c r="C202" t="s">
        <v>45</v>
      </c>
      <c r="D202" t="s">
        <v>14</v>
      </c>
      <c r="E202" t="s">
        <v>29</v>
      </c>
      <c r="F202" t="s">
        <v>16</v>
      </c>
      <c r="G202" t="s">
        <v>25</v>
      </c>
      <c r="H202">
        <v>1207</v>
      </c>
      <c r="I202">
        <v>111</v>
      </c>
      <c r="J202">
        <v>62</v>
      </c>
      <c r="K202">
        <v>4</v>
      </c>
      <c r="L202">
        <v>16</v>
      </c>
      <c r="M202" t="s">
        <v>30</v>
      </c>
    </row>
    <row r="203" spans="1:13">
      <c r="A203" t="s">
        <v>233</v>
      </c>
      <c r="B203">
        <v>2023</v>
      </c>
      <c r="C203" t="s">
        <v>13</v>
      </c>
      <c r="D203" t="s">
        <v>35</v>
      </c>
      <c r="E203" t="s">
        <v>29</v>
      </c>
      <c r="F203" t="s">
        <v>16</v>
      </c>
      <c r="G203" t="s">
        <v>17</v>
      </c>
      <c r="H203">
        <v>2029</v>
      </c>
      <c r="I203">
        <v>241</v>
      </c>
      <c r="J203">
        <v>65</v>
      </c>
      <c r="K203">
        <v>2</v>
      </c>
      <c r="L203">
        <v>40</v>
      </c>
      <c r="M203" t="s">
        <v>18</v>
      </c>
    </row>
    <row r="204" spans="1:13">
      <c r="A204" t="s">
        <v>234</v>
      </c>
      <c r="B204">
        <v>2023</v>
      </c>
      <c r="C204" t="s">
        <v>20</v>
      </c>
      <c r="D204" t="s">
        <v>37</v>
      </c>
      <c r="E204" t="s">
        <v>32</v>
      </c>
      <c r="F204" t="s">
        <v>16</v>
      </c>
      <c r="G204" t="s">
        <v>17</v>
      </c>
      <c r="H204">
        <v>1242</v>
      </c>
      <c r="I204">
        <v>102</v>
      </c>
      <c r="J204">
        <v>52</v>
      </c>
      <c r="K204">
        <v>1</v>
      </c>
      <c r="L204">
        <v>2</v>
      </c>
      <c r="M204" t="s">
        <v>30</v>
      </c>
    </row>
    <row r="205" spans="1:13">
      <c r="A205" t="s">
        <v>235</v>
      </c>
      <c r="B205">
        <v>2023</v>
      </c>
      <c r="C205" t="s">
        <v>13</v>
      </c>
      <c r="D205" t="s">
        <v>28</v>
      </c>
      <c r="E205" t="s">
        <v>29</v>
      </c>
      <c r="F205" t="s">
        <v>21</v>
      </c>
      <c r="G205" t="s">
        <v>17</v>
      </c>
      <c r="H205">
        <v>958</v>
      </c>
      <c r="I205">
        <v>11</v>
      </c>
      <c r="J205">
        <v>28</v>
      </c>
      <c r="K205">
        <v>3</v>
      </c>
      <c r="L205">
        <v>82</v>
      </c>
      <c r="M205" t="s">
        <v>18</v>
      </c>
    </row>
    <row r="206" spans="1:13">
      <c r="A206" t="s">
        <v>236</v>
      </c>
      <c r="B206">
        <v>2023</v>
      </c>
      <c r="C206" t="s">
        <v>20</v>
      </c>
      <c r="D206" t="s">
        <v>37</v>
      </c>
      <c r="E206" t="s">
        <v>29</v>
      </c>
      <c r="F206" t="s">
        <v>21</v>
      </c>
      <c r="G206" t="s">
        <v>25</v>
      </c>
      <c r="H206">
        <v>1081</v>
      </c>
      <c r="I206">
        <v>7</v>
      </c>
      <c r="J206">
        <v>22</v>
      </c>
      <c r="K206">
        <v>5</v>
      </c>
      <c r="L206">
        <v>85</v>
      </c>
      <c r="M206" t="s">
        <v>30</v>
      </c>
    </row>
    <row r="207" spans="1:13">
      <c r="A207" t="s">
        <v>237</v>
      </c>
      <c r="B207">
        <v>2023</v>
      </c>
      <c r="C207" t="s">
        <v>13</v>
      </c>
      <c r="D207" t="s">
        <v>28</v>
      </c>
      <c r="E207" t="s">
        <v>42</v>
      </c>
      <c r="F207" t="s">
        <v>21</v>
      </c>
      <c r="G207" t="s">
        <v>38</v>
      </c>
      <c r="H207">
        <v>981</v>
      </c>
      <c r="I207">
        <v>182</v>
      </c>
      <c r="J207">
        <v>30</v>
      </c>
      <c r="K207">
        <v>2</v>
      </c>
      <c r="L207">
        <v>74</v>
      </c>
      <c r="M207" t="s">
        <v>18</v>
      </c>
    </row>
    <row r="208" spans="1:13">
      <c r="A208" t="s">
        <v>238</v>
      </c>
      <c r="B208">
        <v>2023</v>
      </c>
      <c r="C208" t="s">
        <v>45</v>
      </c>
      <c r="D208" t="s">
        <v>14</v>
      </c>
      <c r="E208" t="s">
        <v>29</v>
      </c>
      <c r="F208" t="s">
        <v>16</v>
      </c>
      <c r="G208" t="s">
        <v>25</v>
      </c>
      <c r="H208">
        <v>1127</v>
      </c>
      <c r="I208">
        <v>99</v>
      </c>
      <c r="J208">
        <v>21</v>
      </c>
      <c r="K208">
        <v>5</v>
      </c>
      <c r="L208">
        <v>6</v>
      </c>
      <c r="M208" t="s">
        <v>18</v>
      </c>
    </row>
    <row r="209" spans="1:13">
      <c r="A209" t="s">
        <v>239</v>
      </c>
      <c r="B209">
        <v>2023</v>
      </c>
      <c r="C209" t="s">
        <v>23</v>
      </c>
      <c r="D209" t="s">
        <v>14</v>
      </c>
      <c r="E209" t="s">
        <v>32</v>
      </c>
      <c r="F209" t="s">
        <v>16</v>
      </c>
      <c r="G209" t="s">
        <v>38</v>
      </c>
      <c r="H209">
        <v>1281</v>
      </c>
      <c r="I209">
        <v>165</v>
      </c>
      <c r="J209">
        <v>45</v>
      </c>
      <c r="K209">
        <v>2</v>
      </c>
      <c r="L209">
        <v>79</v>
      </c>
      <c r="M209" t="s">
        <v>18</v>
      </c>
    </row>
    <row r="210" spans="1:13">
      <c r="A210" t="s">
        <v>240</v>
      </c>
      <c r="B210">
        <v>2023</v>
      </c>
      <c r="C210" t="s">
        <v>45</v>
      </c>
      <c r="D210" t="s">
        <v>24</v>
      </c>
      <c r="E210" t="s">
        <v>42</v>
      </c>
      <c r="F210" t="s">
        <v>16</v>
      </c>
      <c r="G210" t="s">
        <v>25</v>
      </c>
      <c r="H210">
        <v>1951</v>
      </c>
      <c r="I210">
        <v>38</v>
      </c>
      <c r="J210">
        <v>36</v>
      </c>
      <c r="K210">
        <v>1</v>
      </c>
      <c r="L210">
        <v>66</v>
      </c>
      <c r="M210" t="s">
        <v>30</v>
      </c>
    </row>
    <row r="211" spans="1:13">
      <c r="A211" t="s">
        <v>241</v>
      </c>
      <c r="B211">
        <v>2023</v>
      </c>
      <c r="C211" t="s">
        <v>20</v>
      </c>
      <c r="D211" t="s">
        <v>24</v>
      </c>
      <c r="E211" t="s">
        <v>32</v>
      </c>
      <c r="F211" t="s">
        <v>16</v>
      </c>
      <c r="G211" t="s">
        <v>38</v>
      </c>
      <c r="H211">
        <v>1936</v>
      </c>
      <c r="I211">
        <v>84</v>
      </c>
      <c r="J211">
        <v>31</v>
      </c>
      <c r="K211">
        <v>2</v>
      </c>
      <c r="L211">
        <v>38</v>
      </c>
      <c r="M211" t="s">
        <v>18</v>
      </c>
    </row>
    <row r="212" spans="1:13">
      <c r="A212" t="s">
        <v>242</v>
      </c>
      <c r="B212">
        <v>2023</v>
      </c>
      <c r="C212" t="s">
        <v>45</v>
      </c>
      <c r="D212" t="s">
        <v>14</v>
      </c>
      <c r="E212" t="s">
        <v>29</v>
      </c>
      <c r="F212" t="s">
        <v>21</v>
      </c>
      <c r="G212" t="s">
        <v>38</v>
      </c>
      <c r="H212">
        <v>1132</v>
      </c>
      <c r="I212">
        <v>0</v>
      </c>
      <c r="J212">
        <v>46</v>
      </c>
      <c r="K212">
        <v>5</v>
      </c>
      <c r="L212">
        <v>21</v>
      </c>
      <c r="M212" t="s">
        <v>30</v>
      </c>
    </row>
    <row r="213" spans="1:13">
      <c r="A213" t="s">
        <v>243</v>
      </c>
      <c r="B213">
        <v>2023</v>
      </c>
      <c r="C213" t="s">
        <v>20</v>
      </c>
      <c r="D213" t="s">
        <v>14</v>
      </c>
      <c r="E213" t="s">
        <v>29</v>
      </c>
      <c r="F213" t="s">
        <v>16</v>
      </c>
      <c r="G213" t="s">
        <v>38</v>
      </c>
      <c r="H213">
        <v>1189</v>
      </c>
      <c r="I213">
        <v>108</v>
      </c>
      <c r="J213">
        <v>25</v>
      </c>
      <c r="K213">
        <v>1</v>
      </c>
      <c r="L213">
        <v>56</v>
      </c>
      <c r="M213" t="s">
        <v>18</v>
      </c>
    </row>
    <row r="214" spans="1:13">
      <c r="A214" t="s">
        <v>244</v>
      </c>
      <c r="B214">
        <v>2023</v>
      </c>
      <c r="C214" t="s">
        <v>13</v>
      </c>
      <c r="D214" t="s">
        <v>14</v>
      </c>
      <c r="E214" t="s">
        <v>15</v>
      </c>
      <c r="F214" t="s">
        <v>21</v>
      </c>
      <c r="G214" t="s">
        <v>38</v>
      </c>
      <c r="H214">
        <v>2071</v>
      </c>
      <c r="I214">
        <v>106</v>
      </c>
      <c r="J214">
        <v>30</v>
      </c>
      <c r="K214">
        <v>4</v>
      </c>
      <c r="L214">
        <v>20</v>
      </c>
      <c r="M214" t="s">
        <v>18</v>
      </c>
    </row>
    <row r="215" spans="1:13">
      <c r="A215" t="s">
        <v>245</v>
      </c>
      <c r="B215">
        <v>2023</v>
      </c>
      <c r="C215" t="s">
        <v>20</v>
      </c>
      <c r="D215" t="s">
        <v>35</v>
      </c>
      <c r="E215" t="s">
        <v>15</v>
      </c>
      <c r="F215" t="s">
        <v>21</v>
      </c>
      <c r="G215" t="s">
        <v>17</v>
      </c>
      <c r="H215">
        <v>1995</v>
      </c>
      <c r="I215">
        <v>172</v>
      </c>
      <c r="J215">
        <v>47</v>
      </c>
      <c r="K215">
        <v>4</v>
      </c>
      <c r="L215">
        <v>33</v>
      </c>
      <c r="M215" t="s">
        <v>18</v>
      </c>
    </row>
    <row r="216" spans="1:13">
      <c r="A216" t="s">
        <v>246</v>
      </c>
      <c r="B216">
        <v>2023</v>
      </c>
      <c r="C216" t="s">
        <v>20</v>
      </c>
      <c r="D216" t="s">
        <v>35</v>
      </c>
      <c r="E216" t="s">
        <v>29</v>
      </c>
      <c r="F216" t="s">
        <v>21</v>
      </c>
      <c r="G216" t="s">
        <v>38</v>
      </c>
      <c r="H216">
        <v>1055</v>
      </c>
      <c r="I216">
        <v>144</v>
      </c>
      <c r="J216">
        <v>24</v>
      </c>
      <c r="K216">
        <v>4</v>
      </c>
      <c r="L216">
        <v>19</v>
      </c>
      <c r="M216" t="s">
        <v>18</v>
      </c>
    </row>
    <row r="217" spans="1:13">
      <c r="A217" t="s">
        <v>247</v>
      </c>
      <c r="B217">
        <v>2023</v>
      </c>
      <c r="C217" t="s">
        <v>45</v>
      </c>
      <c r="D217" t="s">
        <v>14</v>
      </c>
      <c r="E217" t="s">
        <v>29</v>
      </c>
      <c r="F217" t="s">
        <v>16</v>
      </c>
      <c r="G217" t="s">
        <v>17</v>
      </c>
      <c r="H217">
        <v>1867</v>
      </c>
      <c r="I217">
        <v>100</v>
      </c>
      <c r="J217">
        <v>24</v>
      </c>
      <c r="K217">
        <v>4</v>
      </c>
      <c r="L217">
        <v>27</v>
      </c>
      <c r="M217" t="s">
        <v>18</v>
      </c>
    </row>
    <row r="218" spans="1:13">
      <c r="A218" t="s">
        <v>248</v>
      </c>
      <c r="B218">
        <v>2023</v>
      </c>
      <c r="C218" t="s">
        <v>23</v>
      </c>
      <c r="D218" t="s">
        <v>35</v>
      </c>
      <c r="E218" t="s">
        <v>42</v>
      </c>
      <c r="F218" t="s">
        <v>21</v>
      </c>
      <c r="G218" t="s">
        <v>17</v>
      </c>
      <c r="H218">
        <v>1262</v>
      </c>
      <c r="I218">
        <v>164</v>
      </c>
      <c r="J218">
        <v>21</v>
      </c>
      <c r="K218">
        <v>2</v>
      </c>
      <c r="L218">
        <v>44</v>
      </c>
      <c r="M218" t="s">
        <v>18</v>
      </c>
    </row>
    <row r="219" spans="1:13">
      <c r="A219" t="s">
        <v>249</v>
      </c>
      <c r="B219">
        <v>2023</v>
      </c>
      <c r="C219" t="s">
        <v>13</v>
      </c>
      <c r="D219" t="s">
        <v>35</v>
      </c>
      <c r="E219" t="s">
        <v>32</v>
      </c>
      <c r="F219" t="s">
        <v>21</v>
      </c>
      <c r="G219" t="s">
        <v>17</v>
      </c>
      <c r="H219">
        <v>1470</v>
      </c>
      <c r="I219">
        <v>217</v>
      </c>
      <c r="J219">
        <v>65</v>
      </c>
      <c r="K219">
        <v>1</v>
      </c>
      <c r="L219">
        <v>12</v>
      </c>
      <c r="M219" t="s">
        <v>18</v>
      </c>
    </row>
    <row r="220" spans="1:13">
      <c r="A220" t="s">
        <v>250</v>
      </c>
      <c r="B220">
        <v>2023</v>
      </c>
      <c r="C220" t="s">
        <v>23</v>
      </c>
      <c r="D220" t="s">
        <v>35</v>
      </c>
      <c r="E220" t="s">
        <v>42</v>
      </c>
      <c r="F220" t="s">
        <v>16</v>
      </c>
      <c r="G220" t="s">
        <v>17</v>
      </c>
      <c r="H220">
        <v>920</v>
      </c>
      <c r="I220">
        <v>151</v>
      </c>
      <c r="J220">
        <v>59</v>
      </c>
      <c r="K220">
        <v>1</v>
      </c>
      <c r="L220">
        <v>45</v>
      </c>
      <c r="M220" t="s">
        <v>18</v>
      </c>
    </row>
    <row r="221" spans="1:13">
      <c r="A221" t="s">
        <v>251</v>
      </c>
      <c r="B221">
        <v>2023</v>
      </c>
      <c r="C221" t="s">
        <v>23</v>
      </c>
      <c r="D221" t="s">
        <v>14</v>
      </c>
      <c r="E221" t="s">
        <v>32</v>
      </c>
      <c r="F221" t="s">
        <v>21</v>
      </c>
      <c r="G221" t="s">
        <v>38</v>
      </c>
      <c r="H221">
        <v>1871</v>
      </c>
      <c r="I221">
        <v>44</v>
      </c>
      <c r="J221">
        <v>64</v>
      </c>
      <c r="K221">
        <v>3</v>
      </c>
      <c r="L221">
        <v>55</v>
      </c>
      <c r="M221" t="s">
        <v>18</v>
      </c>
    </row>
    <row r="222" spans="1:13">
      <c r="A222" t="s">
        <v>252</v>
      </c>
      <c r="B222">
        <v>2023</v>
      </c>
      <c r="C222" t="s">
        <v>20</v>
      </c>
      <c r="D222" t="s">
        <v>35</v>
      </c>
      <c r="E222" t="s">
        <v>42</v>
      </c>
      <c r="F222" t="s">
        <v>16</v>
      </c>
      <c r="G222" t="s">
        <v>17</v>
      </c>
      <c r="H222">
        <v>1056</v>
      </c>
      <c r="I222">
        <v>36</v>
      </c>
      <c r="J222">
        <v>27</v>
      </c>
      <c r="K222">
        <v>2</v>
      </c>
      <c r="L222">
        <v>12</v>
      </c>
      <c r="M222" t="s">
        <v>18</v>
      </c>
    </row>
    <row r="223" spans="1:13">
      <c r="A223" t="s">
        <v>253</v>
      </c>
      <c r="B223">
        <v>2023</v>
      </c>
      <c r="C223" t="s">
        <v>13</v>
      </c>
      <c r="D223" t="s">
        <v>35</v>
      </c>
      <c r="E223" t="s">
        <v>15</v>
      </c>
      <c r="F223" t="s">
        <v>16</v>
      </c>
      <c r="G223" t="s">
        <v>38</v>
      </c>
      <c r="H223">
        <v>2048</v>
      </c>
      <c r="I223">
        <v>196</v>
      </c>
      <c r="J223">
        <v>53</v>
      </c>
      <c r="K223">
        <v>4</v>
      </c>
      <c r="L223">
        <v>15</v>
      </c>
      <c r="M223" t="s">
        <v>18</v>
      </c>
    </row>
    <row r="224" spans="1:13">
      <c r="A224" t="s">
        <v>254</v>
      </c>
      <c r="B224">
        <v>2023</v>
      </c>
      <c r="C224" t="s">
        <v>20</v>
      </c>
      <c r="D224" t="s">
        <v>14</v>
      </c>
      <c r="E224" t="s">
        <v>32</v>
      </c>
      <c r="F224" t="s">
        <v>16</v>
      </c>
      <c r="G224" t="s">
        <v>17</v>
      </c>
      <c r="H224">
        <v>1144</v>
      </c>
      <c r="I224">
        <v>23</v>
      </c>
      <c r="J224">
        <v>33</v>
      </c>
      <c r="K224">
        <v>4</v>
      </c>
      <c r="L224">
        <v>36</v>
      </c>
      <c r="M224" t="s">
        <v>18</v>
      </c>
    </row>
    <row r="225" spans="1:13">
      <c r="A225" t="s">
        <v>255</v>
      </c>
      <c r="B225">
        <v>2023</v>
      </c>
      <c r="C225" t="s">
        <v>20</v>
      </c>
      <c r="D225" t="s">
        <v>14</v>
      </c>
      <c r="E225" t="s">
        <v>15</v>
      </c>
      <c r="F225" t="s">
        <v>21</v>
      </c>
      <c r="G225" t="s">
        <v>38</v>
      </c>
      <c r="H225">
        <v>1810</v>
      </c>
      <c r="I225">
        <v>185</v>
      </c>
      <c r="J225">
        <v>43</v>
      </c>
      <c r="K225">
        <v>2</v>
      </c>
      <c r="L225">
        <v>7</v>
      </c>
      <c r="M225" t="s">
        <v>18</v>
      </c>
    </row>
    <row r="226" spans="1:13">
      <c r="A226" t="s">
        <v>256</v>
      </c>
      <c r="B226">
        <v>2023</v>
      </c>
      <c r="C226" t="s">
        <v>20</v>
      </c>
      <c r="D226" t="s">
        <v>28</v>
      </c>
      <c r="E226" t="s">
        <v>29</v>
      </c>
      <c r="F226" t="s">
        <v>21</v>
      </c>
      <c r="G226" t="s">
        <v>25</v>
      </c>
      <c r="H226">
        <v>1556</v>
      </c>
      <c r="I226">
        <v>36</v>
      </c>
      <c r="J226">
        <v>60</v>
      </c>
      <c r="K226">
        <v>3</v>
      </c>
      <c r="L226">
        <v>42</v>
      </c>
      <c r="M226" t="s">
        <v>18</v>
      </c>
    </row>
    <row r="227" spans="1:13">
      <c r="A227" t="s">
        <v>257</v>
      </c>
      <c r="B227">
        <v>2023</v>
      </c>
      <c r="C227" t="s">
        <v>20</v>
      </c>
      <c r="D227" t="s">
        <v>28</v>
      </c>
      <c r="E227" t="s">
        <v>29</v>
      </c>
      <c r="F227" t="s">
        <v>16</v>
      </c>
      <c r="G227" t="s">
        <v>25</v>
      </c>
      <c r="H227">
        <v>1559</v>
      </c>
      <c r="I227">
        <v>110</v>
      </c>
      <c r="J227">
        <v>59</v>
      </c>
      <c r="K227">
        <v>3</v>
      </c>
      <c r="L227">
        <v>2</v>
      </c>
      <c r="M227" t="s">
        <v>30</v>
      </c>
    </row>
    <row r="228" spans="1:13">
      <c r="A228" t="s">
        <v>258</v>
      </c>
      <c r="B228">
        <v>2023</v>
      </c>
      <c r="C228" t="s">
        <v>23</v>
      </c>
      <c r="D228" t="s">
        <v>24</v>
      </c>
      <c r="E228" t="s">
        <v>32</v>
      </c>
      <c r="F228" t="s">
        <v>21</v>
      </c>
      <c r="G228" t="s">
        <v>17</v>
      </c>
      <c r="H228">
        <v>915</v>
      </c>
      <c r="I228">
        <v>22</v>
      </c>
      <c r="J228">
        <v>25</v>
      </c>
      <c r="K228">
        <v>1</v>
      </c>
      <c r="L228">
        <v>0</v>
      </c>
      <c r="M228" t="s">
        <v>18</v>
      </c>
    </row>
    <row r="229" spans="1:13">
      <c r="A229" t="s">
        <v>259</v>
      </c>
      <c r="B229">
        <v>2023</v>
      </c>
      <c r="C229" t="s">
        <v>45</v>
      </c>
      <c r="D229" t="s">
        <v>37</v>
      </c>
      <c r="E229" t="s">
        <v>15</v>
      </c>
      <c r="F229" t="s">
        <v>16</v>
      </c>
      <c r="G229" t="s">
        <v>25</v>
      </c>
      <c r="H229">
        <v>1184</v>
      </c>
      <c r="I229">
        <v>7</v>
      </c>
      <c r="J229">
        <v>43</v>
      </c>
      <c r="K229">
        <v>1</v>
      </c>
      <c r="L229">
        <v>45</v>
      </c>
      <c r="M229" t="s">
        <v>30</v>
      </c>
    </row>
    <row r="230" spans="1:13">
      <c r="A230" t="s">
        <v>260</v>
      </c>
      <c r="B230">
        <v>2023</v>
      </c>
      <c r="C230" t="s">
        <v>45</v>
      </c>
      <c r="D230" t="s">
        <v>37</v>
      </c>
      <c r="E230" t="s">
        <v>15</v>
      </c>
      <c r="F230" t="s">
        <v>21</v>
      </c>
      <c r="G230" t="s">
        <v>17</v>
      </c>
      <c r="H230">
        <v>1361</v>
      </c>
      <c r="I230">
        <v>207</v>
      </c>
      <c r="J230">
        <v>34</v>
      </c>
      <c r="K230">
        <v>5</v>
      </c>
      <c r="L230">
        <v>31</v>
      </c>
      <c r="M230" t="s">
        <v>18</v>
      </c>
    </row>
    <row r="231" spans="1:13">
      <c r="A231" t="s">
        <v>261</v>
      </c>
      <c r="B231">
        <v>2023</v>
      </c>
      <c r="C231" t="s">
        <v>23</v>
      </c>
      <c r="D231" t="s">
        <v>24</v>
      </c>
      <c r="E231" t="s">
        <v>15</v>
      </c>
      <c r="F231" t="s">
        <v>21</v>
      </c>
      <c r="G231" t="s">
        <v>25</v>
      </c>
      <c r="H231">
        <v>1185</v>
      </c>
      <c r="I231">
        <v>126</v>
      </c>
      <c r="J231">
        <v>41</v>
      </c>
      <c r="K231">
        <v>2</v>
      </c>
      <c r="L231">
        <v>66</v>
      </c>
      <c r="M231" t="s">
        <v>18</v>
      </c>
    </row>
    <row r="232" spans="1:13">
      <c r="A232" t="s">
        <v>262</v>
      </c>
      <c r="B232">
        <v>2023</v>
      </c>
      <c r="C232" t="s">
        <v>23</v>
      </c>
      <c r="D232" t="s">
        <v>35</v>
      </c>
      <c r="E232" t="s">
        <v>15</v>
      </c>
      <c r="F232" t="s">
        <v>21</v>
      </c>
      <c r="G232" t="s">
        <v>38</v>
      </c>
      <c r="H232">
        <v>1240</v>
      </c>
      <c r="I232">
        <v>73</v>
      </c>
      <c r="J232">
        <v>54</v>
      </c>
      <c r="K232">
        <v>5</v>
      </c>
      <c r="L232">
        <v>64</v>
      </c>
      <c r="M232" t="s">
        <v>18</v>
      </c>
    </row>
    <row r="233" spans="1:13">
      <c r="A233" t="s">
        <v>263</v>
      </c>
      <c r="B233">
        <v>2023</v>
      </c>
      <c r="C233" t="s">
        <v>45</v>
      </c>
      <c r="D233" t="s">
        <v>35</v>
      </c>
      <c r="E233" t="s">
        <v>29</v>
      </c>
      <c r="F233" t="s">
        <v>16</v>
      </c>
      <c r="G233" t="s">
        <v>17</v>
      </c>
      <c r="H233">
        <v>1620</v>
      </c>
      <c r="I233">
        <v>38</v>
      </c>
      <c r="J233">
        <v>40</v>
      </c>
      <c r="K233">
        <v>5</v>
      </c>
      <c r="L233">
        <v>46</v>
      </c>
      <c r="M233" t="s">
        <v>30</v>
      </c>
    </row>
    <row r="234" spans="1:13">
      <c r="A234" t="s">
        <v>264</v>
      </c>
      <c r="B234">
        <v>2023</v>
      </c>
      <c r="C234" t="s">
        <v>45</v>
      </c>
      <c r="D234" t="s">
        <v>37</v>
      </c>
      <c r="E234" t="s">
        <v>29</v>
      </c>
      <c r="F234" t="s">
        <v>16</v>
      </c>
      <c r="G234" t="s">
        <v>38</v>
      </c>
      <c r="H234">
        <v>1162</v>
      </c>
      <c r="I234">
        <v>143</v>
      </c>
      <c r="J234">
        <v>58</v>
      </c>
      <c r="K234">
        <v>4</v>
      </c>
      <c r="L234">
        <v>36</v>
      </c>
      <c r="M234" t="s">
        <v>18</v>
      </c>
    </row>
    <row r="235" spans="1:13">
      <c r="A235" t="s">
        <v>265</v>
      </c>
      <c r="B235">
        <v>2023</v>
      </c>
      <c r="C235" t="s">
        <v>23</v>
      </c>
      <c r="D235" t="s">
        <v>14</v>
      </c>
      <c r="E235" t="s">
        <v>15</v>
      </c>
      <c r="F235" t="s">
        <v>21</v>
      </c>
      <c r="G235" t="s">
        <v>38</v>
      </c>
      <c r="H235">
        <v>1655</v>
      </c>
      <c r="I235">
        <v>7</v>
      </c>
      <c r="J235">
        <v>19</v>
      </c>
      <c r="K235">
        <v>4</v>
      </c>
      <c r="L235">
        <v>81</v>
      </c>
      <c r="M235" t="s">
        <v>30</v>
      </c>
    </row>
    <row r="236" spans="1:13">
      <c r="A236" t="s">
        <v>266</v>
      </c>
      <c r="B236">
        <v>2023</v>
      </c>
      <c r="C236" t="s">
        <v>45</v>
      </c>
      <c r="D236" t="s">
        <v>14</v>
      </c>
      <c r="E236" t="s">
        <v>42</v>
      </c>
      <c r="F236" t="s">
        <v>16</v>
      </c>
      <c r="G236" t="s">
        <v>25</v>
      </c>
      <c r="H236">
        <v>1436</v>
      </c>
      <c r="I236">
        <v>37</v>
      </c>
      <c r="J236">
        <v>63</v>
      </c>
      <c r="K236">
        <v>4</v>
      </c>
      <c r="L236">
        <v>29</v>
      </c>
      <c r="M236" t="s">
        <v>18</v>
      </c>
    </row>
    <row r="237" spans="1:13">
      <c r="A237" t="s">
        <v>267</v>
      </c>
      <c r="B237">
        <v>2023</v>
      </c>
      <c r="C237" t="s">
        <v>13</v>
      </c>
      <c r="D237" t="s">
        <v>35</v>
      </c>
      <c r="E237" t="s">
        <v>15</v>
      </c>
      <c r="F237" t="s">
        <v>16</v>
      </c>
      <c r="G237" t="s">
        <v>17</v>
      </c>
      <c r="H237">
        <v>961</v>
      </c>
      <c r="I237">
        <v>31</v>
      </c>
      <c r="J237">
        <v>18</v>
      </c>
      <c r="K237">
        <v>2</v>
      </c>
      <c r="L237">
        <v>71</v>
      </c>
      <c r="M237" t="s">
        <v>18</v>
      </c>
    </row>
    <row r="238" spans="1:13">
      <c r="A238" t="s">
        <v>268</v>
      </c>
      <c r="B238">
        <v>2023</v>
      </c>
      <c r="C238" t="s">
        <v>13</v>
      </c>
      <c r="D238" t="s">
        <v>35</v>
      </c>
      <c r="E238" t="s">
        <v>42</v>
      </c>
      <c r="F238" t="s">
        <v>16</v>
      </c>
      <c r="G238" t="s">
        <v>17</v>
      </c>
      <c r="H238">
        <v>1124</v>
      </c>
      <c r="I238">
        <v>118</v>
      </c>
      <c r="J238">
        <v>18</v>
      </c>
      <c r="K238">
        <v>4</v>
      </c>
      <c r="L238">
        <v>57</v>
      </c>
      <c r="M238" t="s">
        <v>18</v>
      </c>
    </row>
    <row r="239" spans="1:13">
      <c r="A239" t="s">
        <v>269</v>
      </c>
      <c r="B239">
        <v>2023</v>
      </c>
      <c r="C239" t="s">
        <v>23</v>
      </c>
      <c r="D239" t="s">
        <v>14</v>
      </c>
      <c r="E239" t="s">
        <v>29</v>
      </c>
      <c r="F239" t="s">
        <v>21</v>
      </c>
      <c r="G239" t="s">
        <v>38</v>
      </c>
      <c r="H239">
        <v>1263</v>
      </c>
      <c r="I239">
        <v>134</v>
      </c>
      <c r="J239">
        <v>18</v>
      </c>
      <c r="K239">
        <v>2</v>
      </c>
      <c r="L239">
        <v>70</v>
      </c>
      <c r="M239" t="s">
        <v>30</v>
      </c>
    </row>
    <row r="240" spans="1:13">
      <c r="A240" t="s">
        <v>270</v>
      </c>
      <c r="B240">
        <v>2023</v>
      </c>
      <c r="C240" t="s">
        <v>20</v>
      </c>
      <c r="D240" t="s">
        <v>14</v>
      </c>
      <c r="E240" t="s">
        <v>32</v>
      </c>
      <c r="F240" t="s">
        <v>21</v>
      </c>
      <c r="G240" t="s">
        <v>17</v>
      </c>
      <c r="H240">
        <v>937</v>
      </c>
      <c r="I240">
        <v>0</v>
      </c>
      <c r="J240">
        <v>40</v>
      </c>
      <c r="K240">
        <v>2</v>
      </c>
      <c r="L240">
        <v>65</v>
      </c>
      <c r="M240" t="s">
        <v>30</v>
      </c>
    </row>
    <row r="241" spans="1:13">
      <c r="A241" t="s">
        <v>271</v>
      </c>
      <c r="B241">
        <v>2023</v>
      </c>
      <c r="C241" t="s">
        <v>45</v>
      </c>
      <c r="D241" t="s">
        <v>24</v>
      </c>
      <c r="E241" t="s">
        <v>32</v>
      </c>
      <c r="F241" t="s">
        <v>16</v>
      </c>
      <c r="G241" t="s">
        <v>38</v>
      </c>
      <c r="H241">
        <v>1438</v>
      </c>
      <c r="I241">
        <v>130</v>
      </c>
      <c r="J241">
        <v>25</v>
      </c>
      <c r="K241">
        <v>1</v>
      </c>
      <c r="L241">
        <v>24</v>
      </c>
      <c r="M241" t="s">
        <v>18</v>
      </c>
    </row>
    <row r="242" spans="1:13">
      <c r="A242" t="s">
        <v>272</v>
      </c>
      <c r="B242">
        <v>2023</v>
      </c>
      <c r="C242" t="s">
        <v>20</v>
      </c>
      <c r="D242" t="s">
        <v>35</v>
      </c>
      <c r="E242" t="s">
        <v>42</v>
      </c>
      <c r="F242" t="s">
        <v>16</v>
      </c>
      <c r="G242" t="s">
        <v>17</v>
      </c>
      <c r="H242">
        <v>1681</v>
      </c>
      <c r="I242">
        <v>65</v>
      </c>
      <c r="J242">
        <v>53</v>
      </c>
      <c r="K242">
        <v>4</v>
      </c>
      <c r="L242">
        <v>64</v>
      </c>
      <c r="M242" t="s">
        <v>18</v>
      </c>
    </row>
    <row r="243" spans="1:13">
      <c r="A243" t="s">
        <v>273</v>
      </c>
      <c r="B243">
        <v>2023</v>
      </c>
      <c r="C243" t="s">
        <v>13</v>
      </c>
      <c r="D243" t="s">
        <v>24</v>
      </c>
      <c r="E243" t="s">
        <v>29</v>
      </c>
      <c r="F243" t="s">
        <v>16</v>
      </c>
      <c r="G243" t="s">
        <v>38</v>
      </c>
      <c r="H243">
        <v>1673</v>
      </c>
      <c r="I243">
        <v>187</v>
      </c>
      <c r="J243">
        <v>47</v>
      </c>
      <c r="K243">
        <v>5</v>
      </c>
      <c r="L243">
        <v>10</v>
      </c>
      <c r="M243" t="s">
        <v>18</v>
      </c>
    </row>
    <row r="244" spans="1:13">
      <c r="A244" t="s">
        <v>274</v>
      </c>
      <c r="B244">
        <v>2023</v>
      </c>
      <c r="C244" t="s">
        <v>23</v>
      </c>
      <c r="D244" t="s">
        <v>35</v>
      </c>
      <c r="E244" t="s">
        <v>15</v>
      </c>
      <c r="F244" t="s">
        <v>16</v>
      </c>
      <c r="G244" t="s">
        <v>25</v>
      </c>
      <c r="H244">
        <v>1780</v>
      </c>
      <c r="I244">
        <v>29</v>
      </c>
      <c r="J244">
        <v>46</v>
      </c>
      <c r="K244">
        <v>2</v>
      </c>
      <c r="L244">
        <v>52</v>
      </c>
      <c r="M244" t="s">
        <v>30</v>
      </c>
    </row>
    <row r="245" spans="1:13">
      <c r="A245" t="s">
        <v>275</v>
      </c>
      <c r="B245">
        <v>2023</v>
      </c>
      <c r="C245" t="s">
        <v>45</v>
      </c>
      <c r="D245" t="s">
        <v>14</v>
      </c>
      <c r="E245" t="s">
        <v>29</v>
      </c>
      <c r="F245" t="s">
        <v>21</v>
      </c>
      <c r="G245" t="s">
        <v>38</v>
      </c>
      <c r="H245">
        <v>1374</v>
      </c>
      <c r="I245">
        <v>112</v>
      </c>
      <c r="J245">
        <v>33</v>
      </c>
      <c r="K245">
        <v>5</v>
      </c>
      <c r="L245">
        <v>34</v>
      </c>
      <c r="M245" t="s">
        <v>18</v>
      </c>
    </row>
    <row r="246" spans="1:13">
      <c r="A246" t="s">
        <v>276</v>
      </c>
      <c r="B246">
        <v>2023</v>
      </c>
      <c r="C246" t="s">
        <v>23</v>
      </c>
      <c r="D246" t="s">
        <v>35</v>
      </c>
      <c r="E246" t="s">
        <v>15</v>
      </c>
      <c r="F246" t="s">
        <v>21</v>
      </c>
      <c r="G246" t="s">
        <v>25</v>
      </c>
      <c r="H246">
        <v>2051</v>
      </c>
      <c r="I246">
        <v>34</v>
      </c>
      <c r="J246">
        <v>36</v>
      </c>
      <c r="K246">
        <v>5</v>
      </c>
      <c r="L246">
        <v>39</v>
      </c>
      <c r="M246" t="s">
        <v>18</v>
      </c>
    </row>
    <row r="247" spans="1:13">
      <c r="A247" t="s">
        <v>277</v>
      </c>
      <c r="B247">
        <v>2023</v>
      </c>
      <c r="C247" t="s">
        <v>23</v>
      </c>
      <c r="D247" t="s">
        <v>35</v>
      </c>
      <c r="E247" t="s">
        <v>32</v>
      </c>
      <c r="F247" t="s">
        <v>16</v>
      </c>
      <c r="G247" t="s">
        <v>17</v>
      </c>
      <c r="H247">
        <v>1325</v>
      </c>
      <c r="I247">
        <v>180</v>
      </c>
      <c r="J247">
        <v>24</v>
      </c>
      <c r="K247">
        <v>1</v>
      </c>
      <c r="L247">
        <v>56</v>
      </c>
      <c r="M247" t="s">
        <v>18</v>
      </c>
    </row>
    <row r="248" spans="1:13">
      <c r="A248" t="s">
        <v>278</v>
      </c>
      <c r="B248">
        <v>2023</v>
      </c>
      <c r="C248" t="s">
        <v>23</v>
      </c>
      <c r="D248" t="s">
        <v>28</v>
      </c>
      <c r="E248" t="s">
        <v>29</v>
      </c>
      <c r="F248" t="s">
        <v>16</v>
      </c>
      <c r="G248" t="s">
        <v>17</v>
      </c>
      <c r="H248">
        <v>1435</v>
      </c>
      <c r="I248">
        <v>163</v>
      </c>
      <c r="J248">
        <v>34</v>
      </c>
      <c r="K248">
        <v>3</v>
      </c>
      <c r="L248">
        <v>63</v>
      </c>
      <c r="M248" t="s">
        <v>18</v>
      </c>
    </row>
    <row r="249" spans="1:13">
      <c r="A249" t="s">
        <v>279</v>
      </c>
      <c r="B249">
        <v>2023</v>
      </c>
      <c r="C249" t="s">
        <v>20</v>
      </c>
      <c r="D249" t="s">
        <v>28</v>
      </c>
      <c r="E249" t="s">
        <v>42</v>
      </c>
      <c r="F249" t="s">
        <v>16</v>
      </c>
      <c r="G249" t="s">
        <v>38</v>
      </c>
      <c r="H249">
        <v>1466</v>
      </c>
      <c r="I249">
        <v>176</v>
      </c>
      <c r="J249">
        <v>24</v>
      </c>
      <c r="K249">
        <v>4</v>
      </c>
      <c r="L249">
        <v>18</v>
      </c>
      <c r="M249" t="s">
        <v>30</v>
      </c>
    </row>
    <row r="250" spans="1:13">
      <c r="A250" t="s">
        <v>280</v>
      </c>
      <c r="B250">
        <v>2023</v>
      </c>
      <c r="C250" t="s">
        <v>45</v>
      </c>
      <c r="D250" t="s">
        <v>37</v>
      </c>
      <c r="E250" t="s">
        <v>15</v>
      </c>
      <c r="F250" t="s">
        <v>16</v>
      </c>
      <c r="G250" t="s">
        <v>38</v>
      </c>
      <c r="H250">
        <v>1910</v>
      </c>
      <c r="I250">
        <v>40</v>
      </c>
      <c r="J250">
        <v>58</v>
      </c>
      <c r="K250">
        <v>2</v>
      </c>
      <c r="L250">
        <v>15</v>
      </c>
      <c r="M250" t="s">
        <v>18</v>
      </c>
    </row>
    <row r="251" spans="1:13">
      <c r="A251" t="s">
        <v>281</v>
      </c>
      <c r="B251">
        <v>2023</v>
      </c>
      <c r="C251" t="s">
        <v>13</v>
      </c>
      <c r="D251" t="s">
        <v>35</v>
      </c>
      <c r="E251" t="s">
        <v>29</v>
      </c>
      <c r="F251" t="s">
        <v>21</v>
      </c>
      <c r="G251" t="s">
        <v>25</v>
      </c>
      <c r="H251">
        <v>1013</v>
      </c>
      <c r="I251">
        <v>47</v>
      </c>
      <c r="J251">
        <v>34</v>
      </c>
      <c r="K251">
        <v>5</v>
      </c>
      <c r="L251">
        <v>42</v>
      </c>
      <c r="M251" t="s">
        <v>18</v>
      </c>
    </row>
    <row r="252" spans="1:13">
      <c r="A252" t="s">
        <v>282</v>
      </c>
      <c r="B252">
        <v>2023</v>
      </c>
      <c r="C252" t="s">
        <v>45</v>
      </c>
      <c r="D252" t="s">
        <v>24</v>
      </c>
      <c r="E252" t="s">
        <v>15</v>
      </c>
      <c r="F252" t="s">
        <v>21</v>
      </c>
      <c r="G252" t="s">
        <v>25</v>
      </c>
      <c r="H252">
        <v>1968</v>
      </c>
      <c r="I252">
        <v>228</v>
      </c>
      <c r="J252">
        <v>30</v>
      </c>
      <c r="K252">
        <v>3</v>
      </c>
      <c r="L252">
        <v>87</v>
      </c>
      <c r="M252" t="s">
        <v>18</v>
      </c>
    </row>
    <row r="253" spans="1:13">
      <c r="A253" t="s">
        <v>283</v>
      </c>
      <c r="B253">
        <v>2023</v>
      </c>
      <c r="C253" t="s">
        <v>45</v>
      </c>
      <c r="D253" t="s">
        <v>28</v>
      </c>
      <c r="E253" t="s">
        <v>29</v>
      </c>
      <c r="F253" t="s">
        <v>16</v>
      </c>
      <c r="G253" t="s">
        <v>17</v>
      </c>
      <c r="H253">
        <v>1691</v>
      </c>
      <c r="I253">
        <v>14</v>
      </c>
      <c r="J253">
        <v>42</v>
      </c>
      <c r="K253">
        <v>4</v>
      </c>
      <c r="L253">
        <v>7</v>
      </c>
      <c r="M253" t="s">
        <v>30</v>
      </c>
    </row>
    <row r="254" spans="1:13">
      <c r="A254" t="s">
        <v>284</v>
      </c>
      <c r="B254">
        <v>2023</v>
      </c>
      <c r="C254" t="s">
        <v>23</v>
      </c>
      <c r="D254" t="s">
        <v>37</v>
      </c>
      <c r="E254" t="s">
        <v>42</v>
      </c>
      <c r="F254" t="s">
        <v>16</v>
      </c>
      <c r="G254" t="s">
        <v>17</v>
      </c>
      <c r="H254">
        <v>1120</v>
      </c>
      <c r="I254">
        <v>47</v>
      </c>
      <c r="J254">
        <v>43</v>
      </c>
      <c r="K254">
        <v>5</v>
      </c>
      <c r="L254">
        <v>20</v>
      </c>
      <c r="M254" t="s">
        <v>18</v>
      </c>
    </row>
    <row r="255" spans="1:13">
      <c r="A255" t="s">
        <v>285</v>
      </c>
      <c r="B255">
        <v>2023</v>
      </c>
      <c r="C255" t="s">
        <v>13</v>
      </c>
      <c r="D255" t="s">
        <v>35</v>
      </c>
      <c r="E255" t="s">
        <v>29</v>
      </c>
      <c r="F255" t="s">
        <v>21</v>
      </c>
      <c r="G255" t="s">
        <v>38</v>
      </c>
      <c r="H255">
        <v>2062</v>
      </c>
      <c r="I255">
        <v>77</v>
      </c>
      <c r="J255">
        <v>59</v>
      </c>
      <c r="K255">
        <v>3</v>
      </c>
      <c r="L255">
        <v>89</v>
      </c>
      <c r="M255" t="s">
        <v>18</v>
      </c>
    </row>
    <row r="256" spans="1:13">
      <c r="A256" t="s">
        <v>286</v>
      </c>
      <c r="B256">
        <v>2023</v>
      </c>
      <c r="C256" t="s">
        <v>45</v>
      </c>
      <c r="D256" t="s">
        <v>24</v>
      </c>
      <c r="E256" t="s">
        <v>32</v>
      </c>
      <c r="F256" t="s">
        <v>16</v>
      </c>
      <c r="G256" t="s">
        <v>17</v>
      </c>
      <c r="H256">
        <v>1772</v>
      </c>
      <c r="I256">
        <v>119</v>
      </c>
      <c r="J256">
        <v>43</v>
      </c>
      <c r="K256">
        <v>1</v>
      </c>
      <c r="L256">
        <v>83</v>
      </c>
      <c r="M256" t="s">
        <v>18</v>
      </c>
    </row>
    <row r="257" spans="1:13">
      <c r="A257" t="s">
        <v>287</v>
      </c>
      <c r="B257">
        <v>2023</v>
      </c>
      <c r="C257" t="s">
        <v>45</v>
      </c>
      <c r="D257" t="s">
        <v>35</v>
      </c>
      <c r="E257" t="s">
        <v>29</v>
      </c>
      <c r="F257" t="s">
        <v>16</v>
      </c>
      <c r="G257" t="s">
        <v>38</v>
      </c>
      <c r="H257">
        <v>1263</v>
      </c>
      <c r="I257">
        <v>240</v>
      </c>
      <c r="J257">
        <v>45</v>
      </c>
      <c r="K257">
        <v>4</v>
      </c>
      <c r="L257">
        <v>8</v>
      </c>
      <c r="M257" t="s">
        <v>30</v>
      </c>
    </row>
    <row r="258" spans="1:13">
      <c r="A258" t="s">
        <v>288</v>
      </c>
      <c r="B258">
        <v>2023</v>
      </c>
      <c r="C258" t="s">
        <v>23</v>
      </c>
      <c r="D258" t="s">
        <v>28</v>
      </c>
      <c r="E258" t="s">
        <v>15</v>
      </c>
      <c r="F258" t="s">
        <v>16</v>
      </c>
      <c r="G258" t="s">
        <v>17</v>
      </c>
      <c r="H258">
        <v>1147</v>
      </c>
      <c r="I258">
        <v>146</v>
      </c>
      <c r="J258">
        <v>63</v>
      </c>
      <c r="K258">
        <v>5</v>
      </c>
      <c r="L258">
        <v>43</v>
      </c>
      <c r="M258" t="s">
        <v>18</v>
      </c>
    </row>
    <row r="259" spans="1:13">
      <c r="A259" t="s">
        <v>289</v>
      </c>
      <c r="B259">
        <v>2023</v>
      </c>
      <c r="C259" t="s">
        <v>45</v>
      </c>
      <c r="D259" t="s">
        <v>28</v>
      </c>
      <c r="E259" t="s">
        <v>29</v>
      </c>
      <c r="F259" t="s">
        <v>16</v>
      </c>
      <c r="G259" t="s">
        <v>17</v>
      </c>
      <c r="H259">
        <v>1852</v>
      </c>
      <c r="I259">
        <v>34</v>
      </c>
      <c r="J259">
        <v>38</v>
      </c>
      <c r="K259">
        <v>4</v>
      </c>
      <c r="L259">
        <v>51</v>
      </c>
      <c r="M259" t="s">
        <v>18</v>
      </c>
    </row>
    <row r="260" spans="1:13">
      <c r="A260" t="s">
        <v>290</v>
      </c>
      <c r="B260">
        <v>2023</v>
      </c>
      <c r="C260" t="s">
        <v>13</v>
      </c>
      <c r="D260" t="s">
        <v>24</v>
      </c>
      <c r="E260" t="s">
        <v>32</v>
      </c>
      <c r="F260" t="s">
        <v>16</v>
      </c>
      <c r="G260" t="s">
        <v>38</v>
      </c>
      <c r="H260">
        <v>1269</v>
      </c>
      <c r="I260">
        <v>0</v>
      </c>
      <c r="J260">
        <v>51</v>
      </c>
      <c r="K260">
        <v>4</v>
      </c>
      <c r="L260">
        <v>45</v>
      </c>
      <c r="M260" t="s">
        <v>18</v>
      </c>
    </row>
    <row r="261" spans="1:13">
      <c r="A261" t="s">
        <v>291</v>
      </c>
      <c r="B261">
        <v>2023</v>
      </c>
      <c r="C261" t="s">
        <v>13</v>
      </c>
      <c r="D261" t="s">
        <v>28</v>
      </c>
      <c r="E261" t="s">
        <v>42</v>
      </c>
      <c r="F261" t="s">
        <v>16</v>
      </c>
      <c r="G261" t="s">
        <v>25</v>
      </c>
      <c r="H261">
        <v>1118</v>
      </c>
      <c r="I261">
        <v>45</v>
      </c>
      <c r="J261">
        <v>44</v>
      </c>
      <c r="K261">
        <v>5</v>
      </c>
      <c r="L261">
        <v>23</v>
      </c>
      <c r="M261" t="s">
        <v>18</v>
      </c>
    </row>
    <row r="262" spans="1:13">
      <c r="A262" t="s">
        <v>292</v>
      </c>
      <c r="B262">
        <v>2023</v>
      </c>
      <c r="C262" t="s">
        <v>20</v>
      </c>
      <c r="D262" t="s">
        <v>37</v>
      </c>
      <c r="E262" t="s">
        <v>15</v>
      </c>
      <c r="F262" t="s">
        <v>16</v>
      </c>
      <c r="G262" t="s">
        <v>17</v>
      </c>
      <c r="H262">
        <v>1279</v>
      </c>
      <c r="I262">
        <v>20</v>
      </c>
      <c r="J262">
        <v>17</v>
      </c>
      <c r="K262">
        <v>4</v>
      </c>
      <c r="L262">
        <v>67</v>
      </c>
      <c r="M262" t="s">
        <v>18</v>
      </c>
    </row>
    <row r="263" spans="1:13">
      <c r="A263" t="s">
        <v>293</v>
      </c>
      <c r="B263">
        <v>2023</v>
      </c>
      <c r="C263" t="s">
        <v>45</v>
      </c>
      <c r="D263" t="s">
        <v>35</v>
      </c>
      <c r="E263" t="s">
        <v>42</v>
      </c>
      <c r="F263" t="s">
        <v>21</v>
      </c>
      <c r="G263" t="s">
        <v>38</v>
      </c>
      <c r="H263">
        <v>1340</v>
      </c>
      <c r="I263">
        <v>141</v>
      </c>
      <c r="J263">
        <v>59</v>
      </c>
      <c r="K263">
        <v>3</v>
      </c>
      <c r="L263">
        <v>39</v>
      </c>
      <c r="M263" t="s">
        <v>18</v>
      </c>
    </row>
    <row r="264" spans="1:13">
      <c r="A264" t="s">
        <v>294</v>
      </c>
      <c r="B264">
        <v>2023</v>
      </c>
      <c r="C264" t="s">
        <v>13</v>
      </c>
      <c r="D264" t="s">
        <v>37</v>
      </c>
      <c r="E264" t="s">
        <v>42</v>
      </c>
      <c r="F264" t="s">
        <v>16</v>
      </c>
      <c r="G264" t="s">
        <v>25</v>
      </c>
      <c r="H264">
        <v>1432</v>
      </c>
      <c r="I264">
        <v>197</v>
      </c>
      <c r="J264">
        <v>61</v>
      </c>
      <c r="K264">
        <v>5</v>
      </c>
      <c r="L264">
        <v>36</v>
      </c>
      <c r="M264" t="s">
        <v>30</v>
      </c>
    </row>
    <row r="265" spans="1:13">
      <c r="A265" t="s">
        <v>295</v>
      </c>
      <c r="B265">
        <v>2023</v>
      </c>
      <c r="C265" t="s">
        <v>13</v>
      </c>
      <c r="D265" t="s">
        <v>35</v>
      </c>
      <c r="E265" t="s">
        <v>32</v>
      </c>
      <c r="F265" t="s">
        <v>16</v>
      </c>
      <c r="G265" t="s">
        <v>38</v>
      </c>
      <c r="H265">
        <v>1524</v>
      </c>
      <c r="I265">
        <v>39</v>
      </c>
      <c r="J265">
        <v>64</v>
      </c>
      <c r="K265">
        <v>4</v>
      </c>
      <c r="L265">
        <v>55</v>
      </c>
      <c r="M265" t="s">
        <v>30</v>
      </c>
    </row>
    <row r="266" spans="1:13">
      <c r="A266" t="s">
        <v>296</v>
      </c>
      <c r="B266">
        <v>2023</v>
      </c>
      <c r="C266" t="s">
        <v>13</v>
      </c>
      <c r="D266" t="s">
        <v>35</v>
      </c>
      <c r="E266" t="s">
        <v>42</v>
      </c>
      <c r="F266" t="s">
        <v>21</v>
      </c>
      <c r="G266" t="s">
        <v>17</v>
      </c>
      <c r="H266">
        <v>1067</v>
      </c>
      <c r="I266">
        <v>144</v>
      </c>
      <c r="J266">
        <v>54</v>
      </c>
      <c r="K266">
        <v>3</v>
      </c>
      <c r="L266">
        <v>55</v>
      </c>
      <c r="M266" t="s">
        <v>18</v>
      </c>
    </row>
    <row r="267" spans="1:13">
      <c r="A267" t="s">
        <v>297</v>
      </c>
      <c r="B267">
        <v>2023</v>
      </c>
      <c r="C267" t="s">
        <v>45</v>
      </c>
      <c r="D267" t="s">
        <v>28</v>
      </c>
      <c r="E267" t="s">
        <v>29</v>
      </c>
      <c r="F267" t="s">
        <v>21</v>
      </c>
      <c r="G267" t="s">
        <v>17</v>
      </c>
      <c r="H267">
        <v>1109</v>
      </c>
      <c r="I267">
        <v>129</v>
      </c>
      <c r="J267">
        <v>33</v>
      </c>
      <c r="K267">
        <v>3</v>
      </c>
      <c r="L267">
        <v>73</v>
      </c>
      <c r="M267" t="s">
        <v>18</v>
      </c>
    </row>
    <row r="268" spans="1:13">
      <c r="A268" t="s">
        <v>298</v>
      </c>
      <c r="B268">
        <v>2023</v>
      </c>
      <c r="C268" t="s">
        <v>20</v>
      </c>
      <c r="D268" t="s">
        <v>37</v>
      </c>
      <c r="E268" t="s">
        <v>32</v>
      </c>
      <c r="F268" t="s">
        <v>16</v>
      </c>
      <c r="G268" t="s">
        <v>17</v>
      </c>
      <c r="H268">
        <v>1896</v>
      </c>
      <c r="I268">
        <v>113</v>
      </c>
      <c r="J268">
        <v>50</v>
      </c>
      <c r="K268">
        <v>2</v>
      </c>
      <c r="L268">
        <v>14</v>
      </c>
      <c r="M268" t="s">
        <v>18</v>
      </c>
    </row>
    <row r="269" spans="1:13">
      <c r="A269" t="s">
        <v>299</v>
      </c>
      <c r="B269">
        <v>2023</v>
      </c>
      <c r="C269" t="s">
        <v>20</v>
      </c>
      <c r="D269" t="s">
        <v>37</v>
      </c>
      <c r="E269" t="s">
        <v>32</v>
      </c>
      <c r="F269" t="s">
        <v>21</v>
      </c>
      <c r="G269" t="s">
        <v>17</v>
      </c>
      <c r="H269">
        <v>910</v>
      </c>
      <c r="I269">
        <v>14</v>
      </c>
      <c r="J269">
        <v>56</v>
      </c>
      <c r="K269">
        <v>3</v>
      </c>
      <c r="L269">
        <v>38</v>
      </c>
      <c r="M269" t="s">
        <v>18</v>
      </c>
    </row>
    <row r="270" spans="1:13">
      <c r="A270" t="s">
        <v>300</v>
      </c>
      <c r="B270">
        <v>2023</v>
      </c>
      <c r="C270" t="s">
        <v>23</v>
      </c>
      <c r="D270" t="s">
        <v>37</v>
      </c>
      <c r="E270" t="s">
        <v>29</v>
      </c>
      <c r="F270" t="s">
        <v>21</v>
      </c>
      <c r="G270" t="s">
        <v>25</v>
      </c>
      <c r="H270">
        <v>1506</v>
      </c>
      <c r="I270">
        <v>190</v>
      </c>
      <c r="J270">
        <v>46</v>
      </c>
      <c r="K270">
        <v>2</v>
      </c>
      <c r="L270">
        <v>83</v>
      </c>
      <c r="M270" t="s">
        <v>30</v>
      </c>
    </row>
    <row r="271" spans="1:13">
      <c r="A271" t="s">
        <v>301</v>
      </c>
      <c r="B271">
        <v>2023</v>
      </c>
      <c r="C271" t="s">
        <v>20</v>
      </c>
      <c r="D271" t="s">
        <v>28</v>
      </c>
      <c r="E271" t="s">
        <v>15</v>
      </c>
      <c r="F271" t="s">
        <v>21</v>
      </c>
      <c r="G271" t="s">
        <v>17</v>
      </c>
      <c r="H271">
        <v>1205</v>
      </c>
      <c r="I271">
        <v>157</v>
      </c>
      <c r="J271">
        <v>23</v>
      </c>
      <c r="K271">
        <v>4</v>
      </c>
      <c r="L271">
        <v>39</v>
      </c>
      <c r="M271" t="s">
        <v>18</v>
      </c>
    </row>
    <row r="272" spans="1:13">
      <c r="A272" t="s">
        <v>302</v>
      </c>
      <c r="B272">
        <v>2023</v>
      </c>
      <c r="C272" t="s">
        <v>45</v>
      </c>
      <c r="D272" t="s">
        <v>28</v>
      </c>
      <c r="E272" t="s">
        <v>29</v>
      </c>
      <c r="F272" t="s">
        <v>16</v>
      </c>
      <c r="G272" t="s">
        <v>25</v>
      </c>
      <c r="H272">
        <v>933</v>
      </c>
      <c r="I272">
        <v>68</v>
      </c>
      <c r="J272">
        <v>27</v>
      </c>
      <c r="K272">
        <v>4</v>
      </c>
      <c r="L272">
        <v>82</v>
      </c>
      <c r="M272" t="s">
        <v>30</v>
      </c>
    </row>
    <row r="273" spans="1:13">
      <c r="A273" t="s">
        <v>303</v>
      </c>
      <c r="B273">
        <v>2023</v>
      </c>
      <c r="C273" t="s">
        <v>20</v>
      </c>
      <c r="D273" t="s">
        <v>37</v>
      </c>
      <c r="E273" t="s">
        <v>32</v>
      </c>
      <c r="F273" t="s">
        <v>16</v>
      </c>
      <c r="G273" t="s">
        <v>38</v>
      </c>
      <c r="H273">
        <v>1121</v>
      </c>
      <c r="I273">
        <v>204</v>
      </c>
      <c r="J273">
        <v>58</v>
      </c>
      <c r="K273">
        <v>3</v>
      </c>
      <c r="L273">
        <v>16</v>
      </c>
      <c r="M273" t="s">
        <v>30</v>
      </c>
    </row>
    <row r="274" spans="1:13">
      <c r="A274" t="s">
        <v>304</v>
      </c>
      <c r="B274">
        <v>2023</v>
      </c>
      <c r="C274" t="s">
        <v>45</v>
      </c>
      <c r="D274" t="s">
        <v>37</v>
      </c>
      <c r="E274" t="s">
        <v>15</v>
      </c>
      <c r="F274" t="s">
        <v>16</v>
      </c>
      <c r="G274" t="s">
        <v>25</v>
      </c>
      <c r="H274">
        <v>1373</v>
      </c>
      <c r="I274">
        <v>199</v>
      </c>
      <c r="J274">
        <v>50</v>
      </c>
      <c r="K274">
        <v>2</v>
      </c>
      <c r="L274">
        <v>83</v>
      </c>
      <c r="M274" t="s">
        <v>18</v>
      </c>
    </row>
    <row r="275" spans="1:13">
      <c r="A275" t="s">
        <v>305</v>
      </c>
      <c r="B275">
        <v>2023</v>
      </c>
      <c r="C275" t="s">
        <v>20</v>
      </c>
      <c r="D275" t="s">
        <v>28</v>
      </c>
      <c r="E275" t="s">
        <v>32</v>
      </c>
      <c r="F275" t="s">
        <v>16</v>
      </c>
      <c r="G275" t="s">
        <v>25</v>
      </c>
      <c r="H275">
        <v>1091</v>
      </c>
      <c r="I275">
        <v>179</v>
      </c>
      <c r="J275">
        <v>44</v>
      </c>
      <c r="K275">
        <v>1</v>
      </c>
      <c r="L275">
        <v>81</v>
      </c>
      <c r="M275" t="s">
        <v>18</v>
      </c>
    </row>
    <row r="276" spans="1:13">
      <c r="A276" t="s">
        <v>306</v>
      </c>
      <c r="B276">
        <v>2023</v>
      </c>
      <c r="C276" t="s">
        <v>45</v>
      </c>
      <c r="D276" t="s">
        <v>35</v>
      </c>
      <c r="E276" t="s">
        <v>15</v>
      </c>
      <c r="F276" t="s">
        <v>21</v>
      </c>
      <c r="G276" t="s">
        <v>17</v>
      </c>
      <c r="H276">
        <v>1070</v>
      </c>
      <c r="I276">
        <v>5</v>
      </c>
      <c r="J276">
        <v>36</v>
      </c>
      <c r="K276">
        <v>4</v>
      </c>
      <c r="L276">
        <v>27</v>
      </c>
      <c r="M276" t="s">
        <v>30</v>
      </c>
    </row>
    <row r="277" spans="1:13">
      <c r="A277" t="s">
        <v>307</v>
      </c>
      <c r="B277">
        <v>2023</v>
      </c>
      <c r="C277" t="s">
        <v>45</v>
      </c>
      <c r="D277" t="s">
        <v>35</v>
      </c>
      <c r="E277" t="s">
        <v>32</v>
      </c>
      <c r="F277" t="s">
        <v>21</v>
      </c>
      <c r="G277" t="s">
        <v>25</v>
      </c>
      <c r="H277">
        <v>1757</v>
      </c>
      <c r="I277">
        <v>166</v>
      </c>
      <c r="J277">
        <v>64</v>
      </c>
      <c r="K277">
        <v>3</v>
      </c>
      <c r="L277">
        <v>4</v>
      </c>
      <c r="M277" t="s">
        <v>18</v>
      </c>
    </row>
    <row r="278" spans="1:13">
      <c r="A278" t="s">
        <v>308</v>
      </c>
      <c r="B278">
        <v>2023</v>
      </c>
      <c r="C278" t="s">
        <v>23</v>
      </c>
      <c r="D278" t="s">
        <v>14</v>
      </c>
      <c r="E278" t="s">
        <v>32</v>
      </c>
      <c r="F278" t="s">
        <v>16</v>
      </c>
      <c r="G278" t="s">
        <v>17</v>
      </c>
      <c r="H278">
        <v>1047</v>
      </c>
      <c r="I278">
        <v>138</v>
      </c>
      <c r="J278">
        <v>42</v>
      </c>
      <c r="K278">
        <v>2</v>
      </c>
      <c r="L278">
        <v>71</v>
      </c>
      <c r="M278" t="s">
        <v>30</v>
      </c>
    </row>
    <row r="279" spans="1:13">
      <c r="A279" t="s">
        <v>309</v>
      </c>
      <c r="B279">
        <v>2023</v>
      </c>
      <c r="C279" t="s">
        <v>23</v>
      </c>
      <c r="D279" t="s">
        <v>37</v>
      </c>
      <c r="E279" t="s">
        <v>29</v>
      </c>
      <c r="F279" t="s">
        <v>16</v>
      </c>
      <c r="G279" t="s">
        <v>25</v>
      </c>
      <c r="H279">
        <v>1169</v>
      </c>
      <c r="I279">
        <v>188</v>
      </c>
      <c r="J279">
        <v>47</v>
      </c>
      <c r="K279">
        <v>4</v>
      </c>
      <c r="L279">
        <v>74</v>
      </c>
      <c r="M279" t="s">
        <v>18</v>
      </c>
    </row>
    <row r="280" spans="1:13">
      <c r="A280" t="s">
        <v>310</v>
      </c>
      <c r="B280">
        <v>2023</v>
      </c>
      <c r="C280" t="s">
        <v>23</v>
      </c>
      <c r="D280" t="s">
        <v>24</v>
      </c>
      <c r="E280" t="s">
        <v>32</v>
      </c>
      <c r="F280" t="s">
        <v>16</v>
      </c>
      <c r="G280" t="s">
        <v>25</v>
      </c>
      <c r="H280">
        <v>1582</v>
      </c>
      <c r="I280">
        <v>99</v>
      </c>
      <c r="J280">
        <v>22</v>
      </c>
      <c r="K280">
        <v>5</v>
      </c>
      <c r="L280">
        <v>26</v>
      </c>
      <c r="M280" t="s">
        <v>18</v>
      </c>
    </row>
    <row r="281" spans="1:13">
      <c r="A281" t="s">
        <v>311</v>
      </c>
      <c r="B281">
        <v>2023</v>
      </c>
      <c r="C281" t="s">
        <v>45</v>
      </c>
      <c r="D281" t="s">
        <v>28</v>
      </c>
      <c r="E281" t="s">
        <v>15</v>
      </c>
      <c r="F281" t="s">
        <v>21</v>
      </c>
      <c r="G281" t="s">
        <v>38</v>
      </c>
      <c r="H281">
        <v>1436</v>
      </c>
      <c r="I281">
        <v>236</v>
      </c>
      <c r="J281">
        <v>41</v>
      </c>
      <c r="K281">
        <v>5</v>
      </c>
      <c r="L281">
        <v>6</v>
      </c>
      <c r="M281" t="s">
        <v>18</v>
      </c>
    </row>
    <row r="282" spans="1:13">
      <c r="A282" t="s">
        <v>312</v>
      </c>
      <c r="B282">
        <v>2023</v>
      </c>
      <c r="C282" t="s">
        <v>13</v>
      </c>
      <c r="D282" t="s">
        <v>14</v>
      </c>
      <c r="E282" t="s">
        <v>15</v>
      </c>
      <c r="F282" t="s">
        <v>16</v>
      </c>
      <c r="G282" t="s">
        <v>38</v>
      </c>
      <c r="H282">
        <v>1224</v>
      </c>
      <c r="I282">
        <v>246</v>
      </c>
      <c r="J282">
        <v>53</v>
      </c>
      <c r="K282">
        <v>1</v>
      </c>
      <c r="L282">
        <v>17</v>
      </c>
      <c r="M282" t="s">
        <v>18</v>
      </c>
    </row>
    <row r="283" spans="1:13">
      <c r="A283" t="s">
        <v>313</v>
      </c>
      <c r="B283">
        <v>2023</v>
      </c>
      <c r="C283" t="s">
        <v>45</v>
      </c>
      <c r="D283" t="s">
        <v>14</v>
      </c>
      <c r="E283" t="s">
        <v>15</v>
      </c>
      <c r="F283" t="s">
        <v>16</v>
      </c>
      <c r="G283" t="s">
        <v>38</v>
      </c>
      <c r="H283">
        <v>1612</v>
      </c>
      <c r="I283">
        <v>46</v>
      </c>
      <c r="J283">
        <v>56</v>
      </c>
      <c r="K283">
        <v>1</v>
      </c>
      <c r="L283">
        <v>86</v>
      </c>
      <c r="M283" t="s">
        <v>30</v>
      </c>
    </row>
    <row r="284" spans="1:13">
      <c r="A284" t="s">
        <v>314</v>
      </c>
      <c r="B284">
        <v>2023</v>
      </c>
      <c r="C284" t="s">
        <v>20</v>
      </c>
      <c r="D284" t="s">
        <v>35</v>
      </c>
      <c r="E284" t="s">
        <v>42</v>
      </c>
      <c r="F284" t="s">
        <v>16</v>
      </c>
      <c r="G284" t="s">
        <v>17</v>
      </c>
      <c r="H284">
        <v>1477</v>
      </c>
      <c r="I284">
        <v>85</v>
      </c>
      <c r="J284">
        <v>47</v>
      </c>
      <c r="K284">
        <v>3</v>
      </c>
      <c r="L284">
        <v>38</v>
      </c>
      <c r="M284" t="s">
        <v>18</v>
      </c>
    </row>
    <row r="285" spans="1:13">
      <c r="A285" t="s">
        <v>315</v>
      </c>
      <c r="B285">
        <v>2023</v>
      </c>
      <c r="C285" t="s">
        <v>13</v>
      </c>
      <c r="D285" t="s">
        <v>14</v>
      </c>
      <c r="E285" t="s">
        <v>15</v>
      </c>
      <c r="F285" t="s">
        <v>16</v>
      </c>
      <c r="G285" t="s">
        <v>38</v>
      </c>
      <c r="H285">
        <v>1241</v>
      </c>
      <c r="I285">
        <v>45</v>
      </c>
      <c r="J285">
        <v>41</v>
      </c>
      <c r="K285">
        <v>4</v>
      </c>
      <c r="L285">
        <v>26</v>
      </c>
      <c r="M285" t="s">
        <v>18</v>
      </c>
    </row>
    <row r="286" spans="1:13">
      <c r="A286" t="s">
        <v>316</v>
      </c>
      <c r="B286">
        <v>2023</v>
      </c>
      <c r="C286" t="s">
        <v>20</v>
      </c>
      <c r="D286" t="s">
        <v>28</v>
      </c>
      <c r="E286" t="s">
        <v>29</v>
      </c>
      <c r="F286" t="s">
        <v>16</v>
      </c>
      <c r="G286" t="s">
        <v>17</v>
      </c>
      <c r="H286">
        <v>1040</v>
      </c>
      <c r="I286">
        <v>178</v>
      </c>
      <c r="J286">
        <v>50</v>
      </c>
      <c r="K286">
        <v>2</v>
      </c>
      <c r="L286">
        <v>1</v>
      </c>
      <c r="M286" t="s">
        <v>18</v>
      </c>
    </row>
    <row r="287" spans="1:13">
      <c r="A287" t="s">
        <v>317</v>
      </c>
      <c r="B287">
        <v>2023</v>
      </c>
      <c r="C287" t="s">
        <v>20</v>
      </c>
      <c r="D287" t="s">
        <v>28</v>
      </c>
      <c r="E287" t="s">
        <v>32</v>
      </c>
      <c r="F287" t="s">
        <v>21</v>
      </c>
      <c r="G287" t="s">
        <v>25</v>
      </c>
      <c r="H287">
        <v>1756</v>
      </c>
      <c r="I287">
        <v>196</v>
      </c>
      <c r="J287">
        <v>19</v>
      </c>
      <c r="K287">
        <v>2</v>
      </c>
      <c r="L287">
        <v>87</v>
      </c>
      <c r="M287" t="s">
        <v>18</v>
      </c>
    </row>
    <row r="288" spans="1:13">
      <c r="A288" t="s">
        <v>318</v>
      </c>
      <c r="B288">
        <v>2023</v>
      </c>
      <c r="C288" t="s">
        <v>13</v>
      </c>
      <c r="D288" t="s">
        <v>28</v>
      </c>
      <c r="E288" t="s">
        <v>29</v>
      </c>
      <c r="F288" t="s">
        <v>21</v>
      </c>
      <c r="G288" t="s">
        <v>38</v>
      </c>
      <c r="H288">
        <v>2007</v>
      </c>
      <c r="I288">
        <v>213</v>
      </c>
      <c r="J288">
        <v>64</v>
      </c>
      <c r="K288">
        <v>5</v>
      </c>
      <c r="L288">
        <v>12</v>
      </c>
      <c r="M288" t="s">
        <v>30</v>
      </c>
    </row>
    <row r="289" spans="1:13">
      <c r="A289" t="s">
        <v>319</v>
      </c>
      <c r="B289">
        <v>2023</v>
      </c>
      <c r="C289" t="s">
        <v>23</v>
      </c>
      <c r="D289" t="s">
        <v>28</v>
      </c>
      <c r="E289" t="s">
        <v>15</v>
      </c>
      <c r="F289" t="s">
        <v>16</v>
      </c>
      <c r="G289" t="s">
        <v>17</v>
      </c>
      <c r="H289">
        <v>1155</v>
      </c>
      <c r="I289">
        <v>177</v>
      </c>
      <c r="J289">
        <v>53</v>
      </c>
      <c r="K289">
        <v>2</v>
      </c>
      <c r="L289">
        <v>38</v>
      </c>
      <c r="M289" t="s">
        <v>18</v>
      </c>
    </row>
    <row r="290" spans="1:13">
      <c r="A290" t="s">
        <v>320</v>
      </c>
      <c r="B290">
        <v>2023</v>
      </c>
      <c r="C290" t="s">
        <v>13</v>
      </c>
      <c r="D290" t="s">
        <v>14</v>
      </c>
      <c r="E290" t="s">
        <v>32</v>
      </c>
      <c r="F290" t="s">
        <v>21</v>
      </c>
      <c r="G290" t="s">
        <v>17</v>
      </c>
      <c r="H290">
        <v>1642</v>
      </c>
      <c r="I290">
        <v>246</v>
      </c>
      <c r="J290">
        <v>65</v>
      </c>
      <c r="K290">
        <v>1</v>
      </c>
      <c r="L290">
        <v>32</v>
      </c>
      <c r="M290" t="s">
        <v>18</v>
      </c>
    </row>
    <row r="291" spans="1:13">
      <c r="A291" t="s">
        <v>321</v>
      </c>
      <c r="B291">
        <v>2023</v>
      </c>
      <c r="C291" t="s">
        <v>23</v>
      </c>
      <c r="D291" t="s">
        <v>14</v>
      </c>
      <c r="E291" t="s">
        <v>15</v>
      </c>
      <c r="F291" t="s">
        <v>21</v>
      </c>
      <c r="G291" t="s">
        <v>17</v>
      </c>
      <c r="H291">
        <v>1181</v>
      </c>
      <c r="I291">
        <v>90</v>
      </c>
      <c r="J291">
        <v>56</v>
      </c>
      <c r="K291">
        <v>1</v>
      </c>
      <c r="L291">
        <v>10</v>
      </c>
      <c r="M291" t="s">
        <v>18</v>
      </c>
    </row>
    <row r="292" spans="1:13">
      <c r="A292" t="s">
        <v>322</v>
      </c>
      <c r="B292">
        <v>2023</v>
      </c>
      <c r="C292" t="s">
        <v>23</v>
      </c>
      <c r="D292" t="s">
        <v>28</v>
      </c>
      <c r="E292" t="s">
        <v>29</v>
      </c>
      <c r="F292" t="s">
        <v>21</v>
      </c>
      <c r="G292" t="s">
        <v>38</v>
      </c>
      <c r="H292">
        <v>1682</v>
      </c>
      <c r="I292">
        <v>30</v>
      </c>
      <c r="J292">
        <v>51</v>
      </c>
      <c r="K292">
        <v>2</v>
      </c>
      <c r="L292">
        <v>13</v>
      </c>
      <c r="M292" t="s">
        <v>18</v>
      </c>
    </row>
    <row r="293" spans="1:13">
      <c r="A293" t="s">
        <v>323</v>
      </c>
      <c r="B293">
        <v>2023</v>
      </c>
      <c r="C293" t="s">
        <v>20</v>
      </c>
      <c r="D293" t="s">
        <v>24</v>
      </c>
      <c r="E293" t="s">
        <v>29</v>
      </c>
      <c r="F293" t="s">
        <v>21</v>
      </c>
      <c r="G293" t="s">
        <v>25</v>
      </c>
      <c r="H293">
        <v>982</v>
      </c>
      <c r="I293">
        <v>84</v>
      </c>
      <c r="J293">
        <v>60</v>
      </c>
      <c r="K293">
        <v>1</v>
      </c>
      <c r="L293">
        <v>81</v>
      </c>
      <c r="M293" t="s">
        <v>30</v>
      </c>
    </row>
    <row r="294" spans="1:13">
      <c r="A294" t="s">
        <v>324</v>
      </c>
      <c r="B294">
        <v>2023</v>
      </c>
      <c r="C294" t="s">
        <v>23</v>
      </c>
      <c r="D294" t="s">
        <v>28</v>
      </c>
      <c r="E294" t="s">
        <v>29</v>
      </c>
      <c r="F294" t="s">
        <v>16</v>
      </c>
      <c r="G294" t="s">
        <v>25</v>
      </c>
      <c r="H294">
        <v>1095</v>
      </c>
      <c r="I294">
        <v>106</v>
      </c>
      <c r="J294">
        <v>46</v>
      </c>
      <c r="K294">
        <v>5</v>
      </c>
      <c r="L294">
        <v>38</v>
      </c>
      <c r="M294" t="s">
        <v>18</v>
      </c>
    </row>
    <row r="295" spans="1:13">
      <c r="A295" t="s">
        <v>325</v>
      </c>
      <c r="B295">
        <v>2023</v>
      </c>
      <c r="C295" t="s">
        <v>45</v>
      </c>
      <c r="D295" t="s">
        <v>14</v>
      </c>
      <c r="E295" t="s">
        <v>15</v>
      </c>
      <c r="F295" t="s">
        <v>21</v>
      </c>
      <c r="G295" t="s">
        <v>38</v>
      </c>
      <c r="H295">
        <v>1541</v>
      </c>
      <c r="I295">
        <v>8</v>
      </c>
      <c r="J295">
        <v>44</v>
      </c>
      <c r="K295">
        <v>2</v>
      </c>
      <c r="L295">
        <v>39</v>
      </c>
      <c r="M295" t="s">
        <v>18</v>
      </c>
    </row>
    <row r="296" spans="1:13">
      <c r="A296" t="s">
        <v>326</v>
      </c>
      <c r="B296">
        <v>2023</v>
      </c>
      <c r="C296" t="s">
        <v>23</v>
      </c>
      <c r="D296" t="s">
        <v>28</v>
      </c>
      <c r="E296" t="s">
        <v>42</v>
      </c>
      <c r="F296" t="s">
        <v>21</v>
      </c>
      <c r="G296" t="s">
        <v>38</v>
      </c>
      <c r="H296">
        <v>1068</v>
      </c>
      <c r="I296">
        <v>11</v>
      </c>
      <c r="J296">
        <v>40</v>
      </c>
      <c r="K296">
        <v>2</v>
      </c>
      <c r="L296">
        <v>65</v>
      </c>
      <c r="M296" t="s">
        <v>18</v>
      </c>
    </row>
    <row r="297" spans="1:13">
      <c r="A297" t="s">
        <v>327</v>
      </c>
      <c r="B297">
        <v>2023</v>
      </c>
      <c r="C297" t="s">
        <v>13</v>
      </c>
      <c r="D297" t="s">
        <v>24</v>
      </c>
      <c r="E297" t="s">
        <v>42</v>
      </c>
      <c r="F297" t="s">
        <v>21</v>
      </c>
      <c r="G297" t="s">
        <v>17</v>
      </c>
      <c r="H297">
        <v>1944</v>
      </c>
      <c r="I297">
        <v>222</v>
      </c>
      <c r="J297">
        <v>62</v>
      </c>
      <c r="K297">
        <v>3</v>
      </c>
      <c r="L297">
        <v>34</v>
      </c>
      <c r="M297" t="s">
        <v>18</v>
      </c>
    </row>
    <row r="298" spans="1:13">
      <c r="A298" t="s">
        <v>328</v>
      </c>
      <c r="B298">
        <v>2023</v>
      </c>
      <c r="C298" t="s">
        <v>20</v>
      </c>
      <c r="D298" t="s">
        <v>37</v>
      </c>
      <c r="E298" t="s">
        <v>42</v>
      </c>
      <c r="F298" t="s">
        <v>21</v>
      </c>
      <c r="G298" t="s">
        <v>38</v>
      </c>
      <c r="H298">
        <v>1680</v>
      </c>
      <c r="I298">
        <v>85</v>
      </c>
      <c r="J298">
        <v>19</v>
      </c>
      <c r="K298">
        <v>1</v>
      </c>
      <c r="L298">
        <v>9</v>
      </c>
      <c r="M298" t="s">
        <v>18</v>
      </c>
    </row>
    <row r="299" spans="1:13">
      <c r="A299" t="s">
        <v>329</v>
      </c>
      <c r="B299">
        <v>2023</v>
      </c>
      <c r="C299" t="s">
        <v>13</v>
      </c>
      <c r="D299" t="s">
        <v>14</v>
      </c>
      <c r="E299" t="s">
        <v>15</v>
      </c>
      <c r="F299" t="s">
        <v>21</v>
      </c>
      <c r="G299" t="s">
        <v>25</v>
      </c>
      <c r="H299">
        <v>1275</v>
      </c>
      <c r="I299">
        <v>230</v>
      </c>
      <c r="J299">
        <v>38</v>
      </c>
      <c r="K299">
        <v>4</v>
      </c>
      <c r="L299">
        <v>74</v>
      </c>
      <c r="M299" t="s">
        <v>18</v>
      </c>
    </row>
    <row r="300" spans="1:13">
      <c r="A300" t="s">
        <v>330</v>
      </c>
      <c r="B300">
        <v>2023</v>
      </c>
      <c r="C300" t="s">
        <v>45</v>
      </c>
      <c r="D300" t="s">
        <v>28</v>
      </c>
      <c r="E300" t="s">
        <v>32</v>
      </c>
      <c r="F300" t="s">
        <v>21</v>
      </c>
      <c r="G300" t="s">
        <v>17</v>
      </c>
      <c r="H300">
        <v>1324</v>
      </c>
      <c r="I300">
        <v>116</v>
      </c>
      <c r="J300">
        <v>29</v>
      </c>
      <c r="K300">
        <v>3</v>
      </c>
      <c r="L300">
        <v>60</v>
      </c>
      <c r="M300" t="s">
        <v>30</v>
      </c>
    </row>
    <row r="301" spans="1:13">
      <c r="A301" t="s">
        <v>331</v>
      </c>
      <c r="B301">
        <v>2023</v>
      </c>
      <c r="C301" t="s">
        <v>23</v>
      </c>
      <c r="D301" t="s">
        <v>24</v>
      </c>
      <c r="E301" t="s">
        <v>15</v>
      </c>
      <c r="F301" t="s">
        <v>21</v>
      </c>
      <c r="G301" t="s">
        <v>25</v>
      </c>
      <c r="H301">
        <v>1844</v>
      </c>
      <c r="I301">
        <v>130</v>
      </c>
      <c r="J301">
        <v>22</v>
      </c>
      <c r="K301">
        <v>1</v>
      </c>
      <c r="L301">
        <v>6</v>
      </c>
      <c r="M301" t="s">
        <v>18</v>
      </c>
    </row>
    <row r="302" spans="1:13">
      <c r="A302" t="s">
        <v>332</v>
      </c>
      <c r="B302">
        <v>2023</v>
      </c>
      <c r="C302" t="s">
        <v>20</v>
      </c>
      <c r="D302" t="s">
        <v>37</v>
      </c>
      <c r="E302" t="s">
        <v>29</v>
      </c>
      <c r="F302" t="s">
        <v>16</v>
      </c>
      <c r="G302" t="s">
        <v>38</v>
      </c>
      <c r="H302">
        <v>1662</v>
      </c>
      <c r="I302">
        <v>118</v>
      </c>
      <c r="J302">
        <v>32</v>
      </c>
      <c r="K302">
        <v>3</v>
      </c>
      <c r="L302">
        <v>14</v>
      </c>
      <c r="M302" t="s">
        <v>18</v>
      </c>
    </row>
    <row r="303" spans="1:13">
      <c r="A303" t="s">
        <v>333</v>
      </c>
      <c r="B303">
        <v>2023</v>
      </c>
      <c r="C303" t="s">
        <v>45</v>
      </c>
      <c r="D303" t="s">
        <v>24</v>
      </c>
      <c r="E303" t="s">
        <v>15</v>
      </c>
      <c r="F303" t="s">
        <v>16</v>
      </c>
      <c r="G303" t="s">
        <v>25</v>
      </c>
      <c r="H303">
        <v>2051</v>
      </c>
      <c r="I303">
        <v>96</v>
      </c>
      <c r="J303">
        <v>48</v>
      </c>
      <c r="K303">
        <v>2</v>
      </c>
      <c r="L303">
        <v>27</v>
      </c>
      <c r="M303" t="s">
        <v>18</v>
      </c>
    </row>
    <row r="304" spans="1:13">
      <c r="A304" t="s">
        <v>334</v>
      </c>
      <c r="B304">
        <v>2023</v>
      </c>
      <c r="C304" t="s">
        <v>23</v>
      </c>
      <c r="D304" t="s">
        <v>28</v>
      </c>
      <c r="E304" t="s">
        <v>32</v>
      </c>
      <c r="F304" t="s">
        <v>21</v>
      </c>
      <c r="G304" t="s">
        <v>25</v>
      </c>
      <c r="H304">
        <v>1144</v>
      </c>
      <c r="I304">
        <v>175</v>
      </c>
      <c r="J304">
        <v>22</v>
      </c>
      <c r="K304">
        <v>2</v>
      </c>
      <c r="L304">
        <v>22</v>
      </c>
      <c r="M304" t="s">
        <v>18</v>
      </c>
    </row>
    <row r="305" spans="1:13">
      <c r="A305" t="s">
        <v>335</v>
      </c>
      <c r="B305">
        <v>2023</v>
      </c>
      <c r="C305" t="s">
        <v>23</v>
      </c>
      <c r="D305" t="s">
        <v>24</v>
      </c>
      <c r="E305" t="s">
        <v>32</v>
      </c>
      <c r="F305" t="s">
        <v>21</v>
      </c>
      <c r="G305" t="s">
        <v>25</v>
      </c>
      <c r="H305">
        <v>996</v>
      </c>
      <c r="I305">
        <v>45</v>
      </c>
      <c r="J305">
        <v>48</v>
      </c>
      <c r="K305">
        <v>2</v>
      </c>
      <c r="L305">
        <v>28</v>
      </c>
      <c r="M305" t="s">
        <v>18</v>
      </c>
    </row>
    <row r="306" spans="1:13">
      <c r="A306" t="s">
        <v>336</v>
      </c>
      <c r="B306">
        <v>2023</v>
      </c>
      <c r="C306" t="s">
        <v>45</v>
      </c>
      <c r="D306" t="s">
        <v>35</v>
      </c>
      <c r="E306" t="s">
        <v>42</v>
      </c>
      <c r="F306" t="s">
        <v>16</v>
      </c>
      <c r="G306" t="s">
        <v>38</v>
      </c>
      <c r="H306">
        <v>1582</v>
      </c>
      <c r="I306">
        <v>113</v>
      </c>
      <c r="J306">
        <v>26</v>
      </c>
      <c r="K306">
        <v>1</v>
      </c>
      <c r="L306">
        <v>29</v>
      </c>
      <c r="M306" t="s">
        <v>18</v>
      </c>
    </row>
    <row r="307" spans="1:13">
      <c r="A307" t="s">
        <v>337</v>
      </c>
      <c r="B307">
        <v>2023</v>
      </c>
      <c r="C307" t="s">
        <v>23</v>
      </c>
      <c r="D307" t="s">
        <v>35</v>
      </c>
      <c r="E307" t="s">
        <v>32</v>
      </c>
      <c r="F307" t="s">
        <v>16</v>
      </c>
      <c r="G307" t="s">
        <v>17</v>
      </c>
      <c r="H307">
        <v>1680</v>
      </c>
      <c r="I307">
        <v>73</v>
      </c>
      <c r="J307">
        <v>61</v>
      </c>
      <c r="K307">
        <v>1</v>
      </c>
      <c r="L307">
        <v>45</v>
      </c>
      <c r="M307" t="s">
        <v>30</v>
      </c>
    </row>
    <row r="308" spans="1:13">
      <c r="A308" t="s">
        <v>338</v>
      </c>
      <c r="B308">
        <v>2023</v>
      </c>
      <c r="C308" t="s">
        <v>45</v>
      </c>
      <c r="D308" t="s">
        <v>24</v>
      </c>
      <c r="E308" t="s">
        <v>32</v>
      </c>
      <c r="F308" t="s">
        <v>16</v>
      </c>
      <c r="G308" t="s">
        <v>17</v>
      </c>
      <c r="H308">
        <v>1895</v>
      </c>
      <c r="I308">
        <v>53</v>
      </c>
      <c r="J308">
        <v>60</v>
      </c>
      <c r="K308">
        <v>4</v>
      </c>
      <c r="L308">
        <v>29</v>
      </c>
      <c r="M308" t="s">
        <v>18</v>
      </c>
    </row>
    <row r="309" spans="1:13">
      <c r="A309" t="s">
        <v>339</v>
      </c>
      <c r="B309">
        <v>2023</v>
      </c>
      <c r="C309" t="s">
        <v>20</v>
      </c>
      <c r="D309" t="s">
        <v>24</v>
      </c>
      <c r="E309" t="s">
        <v>42</v>
      </c>
      <c r="F309" t="s">
        <v>21</v>
      </c>
      <c r="G309" t="s">
        <v>25</v>
      </c>
      <c r="H309">
        <v>1618</v>
      </c>
      <c r="I309">
        <v>178</v>
      </c>
      <c r="J309">
        <v>18</v>
      </c>
      <c r="K309">
        <v>2</v>
      </c>
      <c r="L309">
        <v>43</v>
      </c>
      <c r="M309" t="s">
        <v>18</v>
      </c>
    </row>
    <row r="310" spans="1:13">
      <c r="A310" t="s">
        <v>340</v>
      </c>
      <c r="B310">
        <v>2023</v>
      </c>
      <c r="C310" t="s">
        <v>23</v>
      </c>
      <c r="D310" t="s">
        <v>24</v>
      </c>
      <c r="E310" t="s">
        <v>15</v>
      </c>
      <c r="F310" t="s">
        <v>16</v>
      </c>
      <c r="G310" t="s">
        <v>17</v>
      </c>
      <c r="H310">
        <v>1371</v>
      </c>
      <c r="I310">
        <v>95</v>
      </c>
      <c r="J310">
        <v>56</v>
      </c>
      <c r="K310">
        <v>4</v>
      </c>
      <c r="L310">
        <v>78</v>
      </c>
      <c r="M310" t="s">
        <v>18</v>
      </c>
    </row>
    <row r="311" spans="1:13">
      <c r="A311" t="s">
        <v>341</v>
      </c>
      <c r="B311">
        <v>2023</v>
      </c>
      <c r="C311" t="s">
        <v>20</v>
      </c>
      <c r="D311" t="s">
        <v>37</v>
      </c>
      <c r="E311" t="s">
        <v>32</v>
      </c>
      <c r="F311" t="s">
        <v>16</v>
      </c>
      <c r="G311" t="s">
        <v>38</v>
      </c>
      <c r="H311">
        <v>1347</v>
      </c>
      <c r="I311">
        <v>194</v>
      </c>
      <c r="J311">
        <v>21</v>
      </c>
      <c r="K311">
        <v>4</v>
      </c>
      <c r="L311">
        <v>76</v>
      </c>
      <c r="M311" t="s">
        <v>18</v>
      </c>
    </row>
    <row r="312" spans="1:13">
      <c r="A312" t="s">
        <v>342</v>
      </c>
      <c r="B312">
        <v>2023</v>
      </c>
      <c r="C312" t="s">
        <v>23</v>
      </c>
      <c r="D312" t="s">
        <v>28</v>
      </c>
      <c r="E312" t="s">
        <v>32</v>
      </c>
      <c r="F312" t="s">
        <v>21</v>
      </c>
      <c r="G312" t="s">
        <v>25</v>
      </c>
      <c r="H312">
        <v>985</v>
      </c>
      <c r="I312">
        <v>118</v>
      </c>
      <c r="J312">
        <v>33</v>
      </c>
      <c r="K312">
        <v>3</v>
      </c>
      <c r="L312">
        <v>41</v>
      </c>
      <c r="M312" t="s">
        <v>18</v>
      </c>
    </row>
    <row r="313" spans="1:13">
      <c r="A313" t="s">
        <v>343</v>
      </c>
      <c r="B313">
        <v>2023</v>
      </c>
      <c r="C313" t="s">
        <v>23</v>
      </c>
      <c r="D313" t="s">
        <v>37</v>
      </c>
      <c r="E313" t="s">
        <v>42</v>
      </c>
      <c r="F313" t="s">
        <v>16</v>
      </c>
      <c r="G313" t="s">
        <v>38</v>
      </c>
      <c r="H313">
        <v>1660</v>
      </c>
      <c r="I313">
        <v>70</v>
      </c>
      <c r="J313">
        <v>64</v>
      </c>
      <c r="K313">
        <v>2</v>
      </c>
      <c r="L313">
        <v>4</v>
      </c>
      <c r="M313" t="s">
        <v>18</v>
      </c>
    </row>
    <row r="314" spans="1:13">
      <c r="A314" t="s">
        <v>344</v>
      </c>
      <c r="B314">
        <v>2023</v>
      </c>
      <c r="C314" t="s">
        <v>13</v>
      </c>
      <c r="D314" t="s">
        <v>37</v>
      </c>
      <c r="E314" t="s">
        <v>29</v>
      </c>
      <c r="F314" t="s">
        <v>16</v>
      </c>
      <c r="G314" t="s">
        <v>38</v>
      </c>
      <c r="H314">
        <v>909</v>
      </c>
      <c r="I314">
        <v>64</v>
      </c>
      <c r="J314">
        <v>42</v>
      </c>
      <c r="K314">
        <v>2</v>
      </c>
      <c r="L314">
        <v>26</v>
      </c>
      <c r="M314" t="s">
        <v>18</v>
      </c>
    </row>
    <row r="315" spans="1:13">
      <c r="A315" t="s">
        <v>345</v>
      </c>
      <c r="B315">
        <v>2023</v>
      </c>
      <c r="C315" t="s">
        <v>23</v>
      </c>
      <c r="D315" t="s">
        <v>28</v>
      </c>
      <c r="E315" t="s">
        <v>42</v>
      </c>
      <c r="F315" t="s">
        <v>21</v>
      </c>
      <c r="G315" t="s">
        <v>25</v>
      </c>
      <c r="H315">
        <v>1307</v>
      </c>
      <c r="I315">
        <v>142</v>
      </c>
      <c r="J315">
        <v>60</v>
      </c>
      <c r="K315">
        <v>1</v>
      </c>
      <c r="L315">
        <v>0</v>
      </c>
      <c r="M315" t="s">
        <v>18</v>
      </c>
    </row>
    <row r="316" spans="1:13">
      <c r="A316" t="s">
        <v>346</v>
      </c>
      <c r="B316">
        <v>2023</v>
      </c>
      <c r="C316" t="s">
        <v>13</v>
      </c>
      <c r="D316" t="s">
        <v>35</v>
      </c>
      <c r="E316" t="s">
        <v>15</v>
      </c>
      <c r="F316" t="s">
        <v>16</v>
      </c>
      <c r="G316" t="s">
        <v>38</v>
      </c>
      <c r="H316">
        <v>1875</v>
      </c>
      <c r="I316">
        <v>88</v>
      </c>
      <c r="J316">
        <v>39</v>
      </c>
      <c r="K316">
        <v>4</v>
      </c>
      <c r="L316">
        <v>64</v>
      </c>
      <c r="M316" t="s">
        <v>18</v>
      </c>
    </row>
    <row r="317" spans="1:13">
      <c r="A317" t="s">
        <v>347</v>
      </c>
      <c r="B317">
        <v>2023</v>
      </c>
      <c r="C317" t="s">
        <v>45</v>
      </c>
      <c r="D317" t="s">
        <v>37</v>
      </c>
      <c r="E317" t="s">
        <v>29</v>
      </c>
      <c r="F317" t="s">
        <v>21</v>
      </c>
      <c r="G317" t="s">
        <v>25</v>
      </c>
      <c r="H317">
        <v>1195</v>
      </c>
      <c r="I317">
        <v>66</v>
      </c>
      <c r="J317">
        <v>65</v>
      </c>
      <c r="K317">
        <v>2</v>
      </c>
      <c r="L317">
        <v>28</v>
      </c>
      <c r="M317" t="s">
        <v>18</v>
      </c>
    </row>
    <row r="318" spans="1:13">
      <c r="A318" t="s">
        <v>348</v>
      </c>
      <c r="B318">
        <v>2023</v>
      </c>
      <c r="C318" t="s">
        <v>45</v>
      </c>
      <c r="D318" t="s">
        <v>24</v>
      </c>
      <c r="E318" t="s">
        <v>32</v>
      </c>
      <c r="F318" t="s">
        <v>21</v>
      </c>
      <c r="G318" t="s">
        <v>38</v>
      </c>
      <c r="H318">
        <v>1352</v>
      </c>
      <c r="I318">
        <v>44</v>
      </c>
      <c r="J318">
        <v>49</v>
      </c>
      <c r="K318">
        <v>4</v>
      </c>
      <c r="L318">
        <v>38</v>
      </c>
      <c r="M318" t="s">
        <v>18</v>
      </c>
    </row>
    <row r="319" spans="1:13">
      <c r="A319" t="s">
        <v>349</v>
      </c>
      <c r="B319">
        <v>2023</v>
      </c>
      <c r="C319" t="s">
        <v>23</v>
      </c>
      <c r="D319" t="s">
        <v>28</v>
      </c>
      <c r="E319" t="s">
        <v>15</v>
      </c>
      <c r="F319" t="s">
        <v>21</v>
      </c>
      <c r="G319" t="s">
        <v>17</v>
      </c>
      <c r="H319">
        <v>1480</v>
      </c>
      <c r="I319">
        <v>235</v>
      </c>
      <c r="J319">
        <v>62</v>
      </c>
      <c r="K319">
        <v>1</v>
      </c>
      <c r="L319">
        <v>89</v>
      </c>
      <c r="M319" t="s">
        <v>18</v>
      </c>
    </row>
    <row r="320" spans="1:13">
      <c r="A320" t="s">
        <v>350</v>
      </c>
      <c r="B320">
        <v>2023</v>
      </c>
      <c r="C320" t="s">
        <v>45</v>
      </c>
      <c r="D320" t="s">
        <v>14</v>
      </c>
      <c r="E320" t="s">
        <v>42</v>
      </c>
      <c r="F320" t="s">
        <v>21</v>
      </c>
      <c r="G320" t="s">
        <v>25</v>
      </c>
      <c r="H320">
        <v>949</v>
      </c>
      <c r="I320">
        <v>163</v>
      </c>
      <c r="J320">
        <v>55</v>
      </c>
      <c r="K320">
        <v>4</v>
      </c>
      <c r="L320">
        <v>48</v>
      </c>
      <c r="M320" t="s">
        <v>18</v>
      </c>
    </row>
    <row r="321" spans="1:13">
      <c r="A321" t="s">
        <v>351</v>
      </c>
      <c r="B321">
        <v>2023</v>
      </c>
      <c r="C321" t="s">
        <v>20</v>
      </c>
      <c r="D321" t="s">
        <v>37</v>
      </c>
      <c r="E321" t="s">
        <v>29</v>
      </c>
      <c r="F321" t="s">
        <v>16</v>
      </c>
      <c r="G321" t="s">
        <v>25</v>
      </c>
      <c r="H321">
        <v>1335</v>
      </c>
      <c r="I321">
        <v>196</v>
      </c>
      <c r="J321">
        <v>29</v>
      </c>
      <c r="K321">
        <v>4</v>
      </c>
      <c r="L321">
        <v>21</v>
      </c>
      <c r="M321" t="s">
        <v>18</v>
      </c>
    </row>
    <row r="322" spans="1:13">
      <c r="A322" t="s">
        <v>352</v>
      </c>
      <c r="B322">
        <v>2023</v>
      </c>
      <c r="C322" t="s">
        <v>13</v>
      </c>
      <c r="D322" t="s">
        <v>14</v>
      </c>
      <c r="E322" t="s">
        <v>32</v>
      </c>
      <c r="F322" t="s">
        <v>21</v>
      </c>
      <c r="G322" t="s">
        <v>25</v>
      </c>
      <c r="H322">
        <v>1240</v>
      </c>
      <c r="I322">
        <v>135</v>
      </c>
      <c r="J322">
        <v>45</v>
      </c>
      <c r="K322">
        <v>5</v>
      </c>
      <c r="L322">
        <v>64</v>
      </c>
      <c r="M322" t="s">
        <v>30</v>
      </c>
    </row>
    <row r="323" spans="1:13">
      <c r="A323" t="s">
        <v>353</v>
      </c>
      <c r="B323">
        <v>2023</v>
      </c>
      <c r="C323" t="s">
        <v>23</v>
      </c>
      <c r="D323" t="s">
        <v>14</v>
      </c>
      <c r="E323" t="s">
        <v>29</v>
      </c>
      <c r="F323" t="s">
        <v>16</v>
      </c>
      <c r="G323" t="s">
        <v>38</v>
      </c>
      <c r="H323">
        <v>2092</v>
      </c>
      <c r="I323">
        <v>158</v>
      </c>
      <c r="J323">
        <v>59</v>
      </c>
      <c r="K323">
        <v>2</v>
      </c>
      <c r="L323">
        <v>39</v>
      </c>
      <c r="M323" t="s">
        <v>18</v>
      </c>
    </row>
    <row r="324" spans="1:13">
      <c r="A324" t="s">
        <v>354</v>
      </c>
      <c r="B324">
        <v>2023</v>
      </c>
      <c r="C324" t="s">
        <v>13</v>
      </c>
      <c r="D324" t="s">
        <v>14</v>
      </c>
      <c r="E324" t="s">
        <v>42</v>
      </c>
      <c r="F324" t="s">
        <v>16</v>
      </c>
      <c r="G324" t="s">
        <v>25</v>
      </c>
      <c r="H324">
        <v>1864</v>
      </c>
      <c r="I324">
        <v>128</v>
      </c>
      <c r="J324">
        <v>39</v>
      </c>
      <c r="K324">
        <v>3</v>
      </c>
      <c r="L324">
        <v>78</v>
      </c>
      <c r="M324" t="s">
        <v>18</v>
      </c>
    </row>
    <row r="325" spans="1:13">
      <c r="A325" t="s">
        <v>355</v>
      </c>
      <c r="B325">
        <v>2023</v>
      </c>
      <c r="C325" t="s">
        <v>23</v>
      </c>
      <c r="D325" t="s">
        <v>37</v>
      </c>
      <c r="E325" t="s">
        <v>29</v>
      </c>
      <c r="F325" t="s">
        <v>16</v>
      </c>
      <c r="G325" t="s">
        <v>17</v>
      </c>
      <c r="H325">
        <v>1191</v>
      </c>
      <c r="I325">
        <v>107</v>
      </c>
      <c r="J325">
        <v>30</v>
      </c>
      <c r="K325">
        <v>1</v>
      </c>
      <c r="L325">
        <v>30</v>
      </c>
      <c r="M325" t="s">
        <v>18</v>
      </c>
    </row>
    <row r="326" spans="1:13">
      <c r="A326" t="s">
        <v>356</v>
      </c>
      <c r="B326">
        <v>2023</v>
      </c>
      <c r="C326" t="s">
        <v>13</v>
      </c>
      <c r="D326" t="s">
        <v>28</v>
      </c>
      <c r="E326" t="s">
        <v>32</v>
      </c>
      <c r="F326" t="s">
        <v>21</v>
      </c>
      <c r="G326" t="s">
        <v>17</v>
      </c>
      <c r="H326">
        <v>914</v>
      </c>
      <c r="I326">
        <v>175</v>
      </c>
      <c r="J326">
        <v>20</v>
      </c>
      <c r="K326">
        <v>4</v>
      </c>
      <c r="L326">
        <v>70</v>
      </c>
      <c r="M326" t="s">
        <v>30</v>
      </c>
    </row>
    <row r="327" spans="1:13">
      <c r="A327" t="s">
        <v>357</v>
      </c>
      <c r="B327">
        <v>2023</v>
      </c>
      <c r="C327" t="s">
        <v>13</v>
      </c>
      <c r="D327" t="s">
        <v>28</v>
      </c>
      <c r="E327" t="s">
        <v>15</v>
      </c>
      <c r="F327" t="s">
        <v>16</v>
      </c>
      <c r="G327" t="s">
        <v>38</v>
      </c>
      <c r="H327">
        <v>1018</v>
      </c>
      <c r="I327">
        <v>126</v>
      </c>
      <c r="J327">
        <v>38</v>
      </c>
      <c r="K327">
        <v>3</v>
      </c>
      <c r="L327">
        <v>20</v>
      </c>
      <c r="M327" t="s">
        <v>18</v>
      </c>
    </row>
    <row r="328" spans="1:13">
      <c r="A328" t="s">
        <v>358</v>
      </c>
      <c r="B328">
        <v>2023</v>
      </c>
      <c r="C328" t="s">
        <v>23</v>
      </c>
      <c r="D328" t="s">
        <v>37</v>
      </c>
      <c r="E328" t="s">
        <v>32</v>
      </c>
      <c r="F328" t="s">
        <v>21</v>
      </c>
      <c r="G328" t="s">
        <v>38</v>
      </c>
      <c r="H328">
        <v>1410</v>
      </c>
      <c r="I328">
        <v>230</v>
      </c>
      <c r="J328">
        <v>64</v>
      </c>
      <c r="K328">
        <v>1</v>
      </c>
      <c r="L328">
        <v>23</v>
      </c>
      <c r="M328" t="s">
        <v>18</v>
      </c>
    </row>
    <row r="329" spans="1:13">
      <c r="A329" t="s">
        <v>359</v>
      </c>
      <c r="B329">
        <v>2023</v>
      </c>
      <c r="C329" t="s">
        <v>13</v>
      </c>
      <c r="D329" t="s">
        <v>37</v>
      </c>
      <c r="E329" t="s">
        <v>15</v>
      </c>
      <c r="F329" t="s">
        <v>21</v>
      </c>
      <c r="G329" t="s">
        <v>25</v>
      </c>
      <c r="H329">
        <v>1047</v>
      </c>
      <c r="I329">
        <v>231</v>
      </c>
      <c r="J329">
        <v>42</v>
      </c>
      <c r="K329">
        <v>4</v>
      </c>
      <c r="L329">
        <v>60</v>
      </c>
      <c r="M329" t="s">
        <v>18</v>
      </c>
    </row>
    <row r="330" spans="1:13">
      <c r="A330" t="s">
        <v>360</v>
      </c>
      <c r="B330">
        <v>2023</v>
      </c>
      <c r="C330" t="s">
        <v>23</v>
      </c>
      <c r="D330" t="s">
        <v>28</v>
      </c>
      <c r="E330" t="s">
        <v>15</v>
      </c>
      <c r="F330" t="s">
        <v>21</v>
      </c>
      <c r="G330" t="s">
        <v>38</v>
      </c>
      <c r="H330">
        <v>1449</v>
      </c>
      <c r="I330">
        <v>190</v>
      </c>
      <c r="J330">
        <v>28</v>
      </c>
      <c r="K330">
        <v>3</v>
      </c>
      <c r="L330">
        <v>49</v>
      </c>
      <c r="M330" t="s">
        <v>18</v>
      </c>
    </row>
    <row r="331" spans="1:13">
      <c r="A331" t="s">
        <v>361</v>
      </c>
      <c r="B331">
        <v>2023</v>
      </c>
      <c r="C331" t="s">
        <v>45</v>
      </c>
      <c r="D331" t="s">
        <v>24</v>
      </c>
      <c r="E331" t="s">
        <v>15</v>
      </c>
      <c r="F331" t="s">
        <v>16</v>
      </c>
      <c r="G331" t="s">
        <v>17</v>
      </c>
      <c r="H331">
        <v>1552</v>
      </c>
      <c r="I331">
        <v>168</v>
      </c>
      <c r="J331">
        <v>32</v>
      </c>
      <c r="K331">
        <v>2</v>
      </c>
      <c r="L331">
        <v>56</v>
      </c>
      <c r="M331" t="s">
        <v>18</v>
      </c>
    </row>
    <row r="332" spans="1:13">
      <c r="A332" t="s">
        <v>362</v>
      </c>
      <c r="B332">
        <v>2023</v>
      </c>
      <c r="C332" t="s">
        <v>13</v>
      </c>
      <c r="D332" t="s">
        <v>37</v>
      </c>
      <c r="E332" t="s">
        <v>15</v>
      </c>
      <c r="F332" t="s">
        <v>16</v>
      </c>
      <c r="G332" t="s">
        <v>17</v>
      </c>
      <c r="H332">
        <v>1671</v>
      </c>
      <c r="I332">
        <v>119</v>
      </c>
      <c r="J332">
        <v>60</v>
      </c>
      <c r="K332">
        <v>1</v>
      </c>
      <c r="L332">
        <v>82</v>
      </c>
      <c r="M332" t="s">
        <v>18</v>
      </c>
    </row>
    <row r="333" spans="1:13">
      <c r="A333" t="s">
        <v>363</v>
      </c>
      <c r="B333">
        <v>2023</v>
      </c>
      <c r="C333" t="s">
        <v>20</v>
      </c>
      <c r="D333" t="s">
        <v>24</v>
      </c>
      <c r="E333" t="s">
        <v>42</v>
      </c>
      <c r="F333" t="s">
        <v>21</v>
      </c>
      <c r="G333" t="s">
        <v>25</v>
      </c>
      <c r="H333">
        <v>1065</v>
      </c>
      <c r="I333">
        <v>192</v>
      </c>
      <c r="J333">
        <v>17</v>
      </c>
      <c r="K333">
        <v>4</v>
      </c>
      <c r="L333">
        <v>9</v>
      </c>
      <c r="M333" t="s">
        <v>30</v>
      </c>
    </row>
    <row r="334" spans="1:13">
      <c r="A334" t="s">
        <v>364</v>
      </c>
      <c r="B334">
        <v>2023</v>
      </c>
      <c r="C334" t="s">
        <v>13</v>
      </c>
      <c r="D334" t="s">
        <v>24</v>
      </c>
      <c r="E334" t="s">
        <v>42</v>
      </c>
      <c r="F334" t="s">
        <v>21</v>
      </c>
      <c r="G334" t="s">
        <v>38</v>
      </c>
      <c r="H334">
        <v>1422</v>
      </c>
      <c r="I334">
        <v>116</v>
      </c>
      <c r="J334">
        <v>23</v>
      </c>
      <c r="K334">
        <v>5</v>
      </c>
      <c r="L334">
        <v>29</v>
      </c>
      <c r="M334" t="s">
        <v>18</v>
      </c>
    </row>
    <row r="335" spans="1:13">
      <c r="A335" t="s">
        <v>365</v>
      </c>
      <c r="B335">
        <v>2023</v>
      </c>
      <c r="C335" t="s">
        <v>45</v>
      </c>
      <c r="D335" t="s">
        <v>24</v>
      </c>
      <c r="E335" t="s">
        <v>32</v>
      </c>
      <c r="F335" t="s">
        <v>21</v>
      </c>
      <c r="G335" t="s">
        <v>25</v>
      </c>
      <c r="H335">
        <v>1458</v>
      </c>
      <c r="I335">
        <v>97</v>
      </c>
      <c r="J335">
        <v>32</v>
      </c>
      <c r="K335">
        <v>5</v>
      </c>
      <c r="L335">
        <v>10</v>
      </c>
      <c r="M335" t="s">
        <v>18</v>
      </c>
    </row>
    <row r="336" spans="1:13">
      <c r="A336" t="s">
        <v>366</v>
      </c>
      <c r="B336">
        <v>2023</v>
      </c>
      <c r="C336" t="s">
        <v>20</v>
      </c>
      <c r="D336" t="s">
        <v>28</v>
      </c>
      <c r="E336" t="s">
        <v>29</v>
      </c>
      <c r="F336" t="s">
        <v>16</v>
      </c>
      <c r="G336" t="s">
        <v>25</v>
      </c>
      <c r="H336">
        <v>1542</v>
      </c>
      <c r="I336">
        <v>43</v>
      </c>
      <c r="J336">
        <v>22</v>
      </c>
      <c r="K336">
        <v>4</v>
      </c>
      <c r="L336">
        <v>53</v>
      </c>
      <c r="M336" t="s">
        <v>18</v>
      </c>
    </row>
    <row r="337" spans="1:13">
      <c r="A337" t="s">
        <v>367</v>
      </c>
      <c r="B337">
        <v>2023</v>
      </c>
      <c r="C337" t="s">
        <v>20</v>
      </c>
      <c r="D337" t="s">
        <v>37</v>
      </c>
      <c r="E337" t="s">
        <v>32</v>
      </c>
      <c r="F337" t="s">
        <v>21</v>
      </c>
      <c r="G337" t="s">
        <v>17</v>
      </c>
      <c r="H337">
        <v>1898</v>
      </c>
      <c r="I337">
        <v>24</v>
      </c>
      <c r="J337">
        <v>37</v>
      </c>
      <c r="K337">
        <v>5</v>
      </c>
      <c r="L337">
        <v>70</v>
      </c>
      <c r="M337" t="s">
        <v>18</v>
      </c>
    </row>
    <row r="338" spans="1:13">
      <c r="A338" t="s">
        <v>368</v>
      </c>
      <c r="B338">
        <v>2023</v>
      </c>
      <c r="C338" t="s">
        <v>45</v>
      </c>
      <c r="D338" t="s">
        <v>35</v>
      </c>
      <c r="E338" t="s">
        <v>29</v>
      </c>
      <c r="F338" t="s">
        <v>16</v>
      </c>
      <c r="G338" t="s">
        <v>38</v>
      </c>
      <c r="H338">
        <v>1156</v>
      </c>
      <c r="I338">
        <v>109</v>
      </c>
      <c r="J338">
        <v>61</v>
      </c>
      <c r="K338">
        <v>2</v>
      </c>
      <c r="L338">
        <v>65</v>
      </c>
      <c r="M338" t="s">
        <v>18</v>
      </c>
    </row>
    <row r="339" spans="1:13">
      <c r="A339" t="s">
        <v>369</v>
      </c>
      <c r="B339">
        <v>2023</v>
      </c>
      <c r="C339" t="s">
        <v>20</v>
      </c>
      <c r="D339" t="s">
        <v>35</v>
      </c>
      <c r="E339" t="s">
        <v>32</v>
      </c>
      <c r="F339" t="s">
        <v>21</v>
      </c>
      <c r="G339" t="s">
        <v>38</v>
      </c>
      <c r="H339">
        <v>1642</v>
      </c>
      <c r="I339">
        <v>243</v>
      </c>
      <c r="J339">
        <v>29</v>
      </c>
      <c r="K339">
        <v>3</v>
      </c>
      <c r="L339">
        <v>16</v>
      </c>
      <c r="M339" t="s">
        <v>18</v>
      </c>
    </row>
    <row r="340" spans="1:13">
      <c r="A340" t="s">
        <v>370</v>
      </c>
      <c r="B340">
        <v>2023</v>
      </c>
      <c r="C340" t="s">
        <v>20</v>
      </c>
      <c r="D340" t="s">
        <v>24</v>
      </c>
      <c r="E340" t="s">
        <v>42</v>
      </c>
      <c r="F340" t="s">
        <v>16</v>
      </c>
      <c r="G340" t="s">
        <v>17</v>
      </c>
      <c r="H340">
        <v>1386</v>
      </c>
      <c r="I340">
        <v>207</v>
      </c>
      <c r="J340">
        <v>30</v>
      </c>
      <c r="K340">
        <v>2</v>
      </c>
      <c r="L340">
        <v>2</v>
      </c>
      <c r="M340" t="s">
        <v>18</v>
      </c>
    </row>
    <row r="341" spans="1:13">
      <c r="A341" t="s">
        <v>371</v>
      </c>
      <c r="B341">
        <v>2023</v>
      </c>
      <c r="C341" t="s">
        <v>20</v>
      </c>
      <c r="D341" t="s">
        <v>28</v>
      </c>
      <c r="E341" t="s">
        <v>29</v>
      </c>
      <c r="F341" t="s">
        <v>16</v>
      </c>
      <c r="G341" t="s">
        <v>17</v>
      </c>
      <c r="H341">
        <v>1907</v>
      </c>
      <c r="I341">
        <v>79</v>
      </c>
      <c r="J341">
        <v>43</v>
      </c>
      <c r="K341">
        <v>2</v>
      </c>
      <c r="L341">
        <v>14</v>
      </c>
      <c r="M341" t="s">
        <v>30</v>
      </c>
    </row>
    <row r="342" spans="1:13">
      <c r="A342" t="s">
        <v>372</v>
      </c>
      <c r="B342">
        <v>2023</v>
      </c>
      <c r="C342" t="s">
        <v>20</v>
      </c>
      <c r="D342" t="s">
        <v>24</v>
      </c>
      <c r="E342" t="s">
        <v>29</v>
      </c>
      <c r="F342" t="s">
        <v>16</v>
      </c>
      <c r="G342" t="s">
        <v>25</v>
      </c>
      <c r="H342">
        <v>1525</v>
      </c>
      <c r="I342">
        <v>24</v>
      </c>
      <c r="J342">
        <v>36</v>
      </c>
      <c r="K342">
        <v>1</v>
      </c>
      <c r="L342">
        <v>28</v>
      </c>
      <c r="M342" t="s">
        <v>30</v>
      </c>
    </row>
    <row r="343" spans="1:13">
      <c r="A343" t="s">
        <v>373</v>
      </c>
      <c r="B343">
        <v>2023</v>
      </c>
      <c r="C343" t="s">
        <v>23</v>
      </c>
      <c r="D343" t="s">
        <v>24</v>
      </c>
      <c r="E343" t="s">
        <v>32</v>
      </c>
      <c r="F343" t="s">
        <v>16</v>
      </c>
      <c r="G343" t="s">
        <v>38</v>
      </c>
      <c r="H343">
        <v>1098</v>
      </c>
      <c r="I343">
        <v>121</v>
      </c>
      <c r="J343">
        <v>54</v>
      </c>
      <c r="K343">
        <v>1</v>
      </c>
      <c r="L343">
        <v>28</v>
      </c>
      <c r="M343" t="s">
        <v>18</v>
      </c>
    </row>
    <row r="344" spans="1:13">
      <c r="A344" t="s">
        <v>374</v>
      </c>
      <c r="B344">
        <v>2023</v>
      </c>
      <c r="C344" t="s">
        <v>20</v>
      </c>
      <c r="D344" t="s">
        <v>24</v>
      </c>
      <c r="E344" t="s">
        <v>29</v>
      </c>
      <c r="F344" t="s">
        <v>21</v>
      </c>
      <c r="G344" t="s">
        <v>25</v>
      </c>
      <c r="H344">
        <v>2079</v>
      </c>
      <c r="I344">
        <v>105</v>
      </c>
      <c r="J344">
        <v>45</v>
      </c>
      <c r="K344">
        <v>1</v>
      </c>
      <c r="L344">
        <v>38</v>
      </c>
      <c r="M344" t="s">
        <v>18</v>
      </c>
    </row>
    <row r="345" spans="1:13">
      <c r="A345" t="s">
        <v>375</v>
      </c>
      <c r="B345">
        <v>2023</v>
      </c>
      <c r="C345" t="s">
        <v>45</v>
      </c>
      <c r="D345" t="s">
        <v>28</v>
      </c>
      <c r="E345" t="s">
        <v>29</v>
      </c>
      <c r="F345" t="s">
        <v>21</v>
      </c>
      <c r="G345" t="s">
        <v>25</v>
      </c>
      <c r="H345">
        <v>1589</v>
      </c>
      <c r="I345">
        <v>52</v>
      </c>
      <c r="J345">
        <v>48</v>
      </c>
      <c r="K345">
        <v>2</v>
      </c>
      <c r="L345">
        <v>14</v>
      </c>
      <c r="M345" t="s">
        <v>18</v>
      </c>
    </row>
    <row r="346" spans="1:13">
      <c r="A346" t="s">
        <v>376</v>
      </c>
      <c r="B346">
        <v>2023</v>
      </c>
      <c r="C346" t="s">
        <v>23</v>
      </c>
      <c r="D346" t="s">
        <v>35</v>
      </c>
      <c r="E346" t="s">
        <v>15</v>
      </c>
      <c r="F346" t="s">
        <v>16</v>
      </c>
      <c r="G346" t="s">
        <v>38</v>
      </c>
      <c r="H346">
        <v>1561</v>
      </c>
      <c r="I346">
        <v>33</v>
      </c>
      <c r="J346">
        <v>19</v>
      </c>
      <c r="K346">
        <v>3</v>
      </c>
      <c r="L346">
        <v>49</v>
      </c>
      <c r="M346" t="s">
        <v>18</v>
      </c>
    </row>
    <row r="347" spans="1:13">
      <c r="A347" t="s">
        <v>377</v>
      </c>
      <c r="B347">
        <v>2023</v>
      </c>
      <c r="C347" t="s">
        <v>45</v>
      </c>
      <c r="D347" t="s">
        <v>37</v>
      </c>
      <c r="E347" t="s">
        <v>29</v>
      </c>
      <c r="F347" t="s">
        <v>21</v>
      </c>
      <c r="G347" t="s">
        <v>17</v>
      </c>
      <c r="H347">
        <v>1460</v>
      </c>
      <c r="I347">
        <v>3</v>
      </c>
      <c r="J347">
        <v>43</v>
      </c>
      <c r="K347">
        <v>5</v>
      </c>
      <c r="L347">
        <v>7</v>
      </c>
      <c r="M347" t="s">
        <v>18</v>
      </c>
    </row>
    <row r="348" spans="1:13">
      <c r="A348" t="s">
        <v>378</v>
      </c>
      <c r="B348">
        <v>2023</v>
      </c>
      <c r="C348" t="s">
        <v>45</v>
      </c>
      <c r="D348" t="s">
        <v>35</v>
      </c>
      <c r="E348" t="s">
        <v>32</v>
      </c>
      <c r="F348" t="s">
        <v>21</v>
      </c>
      <c r="G348" t="s">
        <v>38</v>
      </c>
      <c r="H348">
        <v>1630</v>
      </c>
      <c r="I348">
        <v>142</v>
      </c>
      <c r="J348">
        <v>22</v>
      </c>
      <c r="K348">
        <v>3</v>
      </c>
      <c r="L348">
        <v>58</v>
      </c>
      <c r="M348" t="s">
        <v>30</v>
      </c>
    </row>
    <row r="349" spans="1:13">
      <c r="A349" t="s">
        <v>379</v>
      </c>
      <c r="B349">
        <v>2023</v>
      </c>
      <c r="C349" t="s">
        <v>20</v>
      </c>
      <c r="D349" t="s">
        <v>28</v>
      </c>
      <c r="E349" t="s">
        <v>42</v>
      </c>
      <c r="F349" t="s">
        <v>21</v>
      </c>
      <c r="G349" t="s">
        <v>38</v>
      </c>
      <c r="H349">
        <v>2093</v>
      </c>
      <c r="I349">
        <v>151</v>
      </c>
      <c r="J349">
        <v>42</v>
      </c>
      <c r="K349">
        <v>3</v>
      </c>
      <c r="L349">
        <v>31</v>
      </c>
      <c r="M349" t="s">
        <v>18</v>
      </c>
    </row>
    <row r="350" spans="1:13">
      <c r="A350" t="s">
        <v>380</v>
      </c>
      <c r="B350">
        <v>2023</v>
      </c>
      <c r="C350" t="s">
        <v>20</v>
      </c>
      <c r="D350" t="s">
        <v>37</v>
      </c>
      <c r="E350" t="s">
        <v>42</v>
      </c>
      <c r="F350" t="s">
        <v>16</v>
      </c>
      <c r="G350" t="s">
        <v>38</v>
      </c>
      <c r="H350">
        <v>1781</v>
      </c>
      <c r="I350">
        <v>79</v>
      </c>
      <c r="J350">
        <v>60</v>
      </c>
      <c r="K350">
        <v>4</v>
      </c>
      <c r="L350">
        <v>85</v>
      </c>
      <c r="M350" t="s">
        <v>30</v>
      </c>
    </row>
    <row r="351" spans="1:13">
      <c r="A351" t="s">
        <v>381</v>
      </c>
      <c r="B351">
        <v>2023</v>
      </c>
      <c r="C351" t="s">
        <v>23</v>
      </c>
      <c r="D351" t="s">
        <v>37</v>
      </c>
      <c r="E351" t="s">
        <v>15</v>
      </c>
      <c r="F351" t="s">
        <v>16</v>
      </c>
      <c r="G351" t="s">
        <v>25</v>
      </c>
      <c r="H351">
        <v>1602</v>
      </c>
      <c r="I351">
        <v>175</v>
      </c>
      <c r="J351">
        <v>57</v>
      </c>
      <c r="K351">
        <v>2</v>
      </c>
      <c r="L351">
        <v>18</v>
      </c>
      <c r="M351" t="s">
        <v>18</v>
      </c>
    </row>
    <row r="352" spans="1:13">
      <c r="A352" t="s">
        <v>382</v>
      </c>
      <c r="B352">
        <v>2023</v>
      </c>
      <c r="C352" t="s">
        <v>23</v>
      </c>
      <c r="D352" t="s">
        <v>28</v>
      </c>
      <c r="E352" t="s">
        <v>42</v>
      </c>
      <c r="F352" t="s">
        <v>16</v>
      </c>
      <c r="G352" t="s">
        <v>38</v>
      </c>
      <c r="H352">
        <v>1243</v>
      </c>
      <c r="I352">
        <v>177</v>
      </c>
      <c r="J352">
        <v>27</v>
      </c>
      <c r="K352">
        <v>1</v>
      </c>
      <c r="L352">
        <v>72</v>
      </c>
      <c r="M352" t="s">
        <v>18</v>
      </c>
    </row>
    <row r="353" spans="1:13">
      <c r="A353" t="s">
        <v>383</v>
      </c>
      <c r="B353">
        <v>2023</v>
      </c>
      <c r="C353" t="s">
        <v>45</v>
      </c>
      <c r="D353" t="s">
        <v>28</v>
      </c>
      <c r="E353" t="s">
        <v>29</v>
      </c>
      <c r="F353" t="s">
        <v>16</v>
      </c>
      <c r="G353" t="s">
        <v>25</v>
      </c>
      <c r="H353">
        <v>1822</v>
      </c>
      <c r="I353">
        <v>208</v>
      </c>
      <c r="J353">
        <v>18</v>
      </c>
      <c r="K353">
        <v>1</v>
      </c>
      <c r="L353">
        <v>6</v>
      </c>
      <c r="M353" t="s">
        <v>18</v>
      </c>
    </row>
    <row r="354" spans="1:13">
      <c r="A354" t="s">
        <v>384</v>
      </c>
      <c r="B354">
        <v>2023</v>
      </c>
      <c r="C354" t="s">
        <v>45</v>
      </c>
      <c r="D354" t="s">
        <v>14</v>
      </c>
      <c r="E354" t="s">
        <v>15</v>
      </c>
      <c r="F354" t="s">
        <v>21</v>
      </c>
      <c r="G354" t="s">
        <v>17</v>
      </c>
      <c r="H354">
        <v>1238</v>
      </c>
      <c r="I354">
        <v>244</v>
      </c>
      <c r="J354">
        <v>65</v>
      </c>
      <c r="K354">
        <v>4</v>
      </c>
      <c r="L354">
        <v>0</v>
      </c>
      <c r="M354" t="s">
        <v>18</v>
      </c>
    </row>
    <row r="355" spans="1:13">
      <c r="A355" t="s">
        <v>385</v>
      </c>
      <c r="B355">
        <v>2023</v>
      </c>
      <c r="C355" t="s">
        <v>13</v>
      </c>
      <c r="D355" t="s">
        <v>24</v>
      </c>
      <c r="E355" t="s">
        <v>29</v>
      </c>
      <c r="F355" t="s">
        <v>16</v>
      </c>
      <c r="G355" t="s">
        <v>38</v>
      </c>
      <c r="H355">
        <v>1449</v>
      </c>
      <c r="I355">
        <v>231</v>
      </c>
      <c r="J355">
        <v>40</v>
      </c>
      <c r="K355">
        <v>4</v>
      </c>
      <c r="L355">
        <v>69</v>
      </c>
      <c r="M355" t="s">
        <v>30</v>
      </c>
    </row>
    <row r="356" spans="1:13">
      <c r="A356" t="s">
        <v>386</v>
      </c>
      <c r="B356">
        <v>2023</v>
      </c>
      <c r="C356" t="s">
        <v>23</v>
      </c>
      <c r="D356" t="s">
        <v>24</v>
      </c>
      <c r="E356" t="s">
        <v>29</v>
      </c>
      <c r="F356" t="s">
        <v>16</v>
      </c>
      <c r="G356" t="s">
        <v>38</v>
      </c>
      <c r="H356">
        <v>1772</v>
      </c>
      <c r="I356">
        <v>221</v>
      </c>
      <c r="J356">
        <v>45</v>
      </c>
      <c r="K356">
        <v>5</v>
      </c>
      <c r="L356">
        <v>89</v>
      </c>
      <c r="M356" t="s">
        <v>30</v>
      </c>
    </row>
    <row r="357" spans="1:13">
      <c r="A357" t="s">
        <v>387</v>
      </c>
      <c r="B357">
        <v>2023</v>
      </c>
      <c r="C357" t="s">
        <v>23</v>
      </c>
      <c r="D357" t="s">
        <v>24</v>
      </c>
      <c r="E357" t="s">
        <v>15</v>
      </c>
      <c r="F357" t="s">
        <v>16</v>
      </c>
      <c r="G357" t="s">
        <v>38</v>
      </c>
      <c r="H357">
        <v>1427</v>
      </c>
      <c r="I357">
        <v>115</v>
      </c>
      <c r="J357">
        <v>40</v>
      </c>
      <c r="K357">
        <v>4</v>
      </c>
      <c r="L357">
        <v>12</v>
      </c>
      <c r="M357" t="s">
        <v>30</v>
      </c>
    </row>
    <row r="358" spans="1:13">
      <c r="A358" t="s">
        <v>388</v>
      </c>
      <c r="B358">
        <v>2023</v>
      </c>
      <c r="C358" t="s">
        <v>23</v>
      </c>
      <c r="D358" t="s">
        <v>28</v>
      </c>
      <c r="E358" t="s">
        <v>15</v>
      </c>
      <c r="F358" t="s">
        <v>21</v>
      </c>
      <c r="G358" t="s">
        <v>17</v>
      </c>
      <c r="H358">
        <v>1840</v>
      </c>
      <c r="I358">
        <v>129</v>
      </c>
      <c r="J358">
        <v>31</v>
      </c>
      <c r="K358">
        <v>4</v>
      </c>
      <c r="L358">
        <v>21</v>
      </c>
      <c r="M358" t="s">
        <v>30</v>
      </c>
    </row>
    <row r="359" spans="1:13">
      <c r="A359" t="s">
        <v>389</v>
      </c>
      <c r="B359">
        <v>2023</v>
      </c>
      <c r="C359" t="s">
        <v>13</v>
      </c>
      <c r="D359" t="s">
        <v>28</v>
      </c>
      <c r="E359" t="s">
        <v>15</v>
      </c>
      <c r="F359" t="s">
        <v>21</v>
      </c>
      <c r="G359" t="s">
        <v>25</v>
      </c>
      <c r="H359">
        <v>2021</v>
      </c>
      <c r="I359">
        <v>68</v>
      </c>
      <c r="J359">
        <v>44</v>
      </c>
      <c r="K359">
        <v>4</v>
      </c>
      <c r="L359">
        <v>7</v>
      </c>
      <c r="M359" t="s">
        <v>18</v>
      </c>
    </row>
    <row r="360" spans="1:13">
      <c r="A360" t="s">
        <v>390</v>
      </c>
      <c r="B360">
        <v>2023</v>
      </c>
      <c r="C360" t="s">
        <v>45</v>
      </c>
      <c r="D360" t="s">
        <v>14</v>
      </c>
      <c r="E360" t="s">
        <v>42</v>
      </c>
      <c r="F360" t="s">
        <v>16</v>
      </c>
      <c r="G360" t="s">
        <v>25</v>
      </c>
      <c r="H360">
        <v>1861</v>
      </c>
      <c r="I360">
        <v>35</v>
      </c>
      <c r="J360">
        <v>38</v>
      </c>
      <c r="K360">
        <v>5</v>
      </c>
      <c r="L360">
        <v>30</v>
      </c>
      <c r="M360" t="s">
        <v>18</v>
      </c>
    </row>
    <row r="361" spans="1:13">
      <c r="A361" t="s">
        <v>391</v>
      </c>
      <c r="B361">
        <v>2023</v>
      </c>
      <c r="C361" t="s">
        <v>13</v>
      </c>
      <c r="D361" t="s">
        <v>28</v>
      </c>
      <c r="E361" t="s">
        <v>42</v>
      </c>
      <c r="F361" t="s">
        <v>16</v>
      </c>
      <c r="G361" t="s">
        <v>17</v>
      </c>
      <c r="H361">
        <v>1369</v>
      </c>
      <c r="I361">
        <v>42</v>
      </c>
      <c r="J361">
        <v>27</v>
      </c>
      <c r="K361">
        <v>1</v>
      </c>
      <c r="L361">
        <v>14</v>
      </c>
      <c r="M361" t="s">
        <v>18</v>
      </c>
    </row>
    <row r="362" spans="1:13">
      <c r="A362" t="s">
        <v>392</v>
      </c>
      <c r="B362">
        <v>2023</v>
      </c>
      <c r="C362" t="s">
        <v>20</v>
      </c>
      <c r="D362" t="s">
        <v>24</v>
      </c>
      <c r="E362" t="s">
        <v>32</v>
      </c>
      <c r="F362" t="s">
        <v>16</v>
      </c>
      <c r="G362" t="s">
        <v>17</v>
      </c>
      <c r="H362">
        <v>1318</v>
      </c>
      <c r="I362">
        <v>183</v>
      </c>
      <c r="J362">
        <v>22</v>
      </c>
      <c r="K362">
        <v>5</v>
      </c>
      <c r="L362">
        <v>82</v>
      </c>
      <c r="M362" t="s">
        <v>18</v>
      </c>
    </row>
    <row r="363" spans="1:13">
      <c r="A363" t="s">
        <v>393</v>
      </c>
      <c r="B363">
        <v>2023</v>
      </c>
      <c r="C363" t="s">
        <v>13</v>
      </c>
      <c r="D363" t="s">
        <v>37</v>
      </c>
      <c r="E363" t="s">
        <v>15</v>
      </c>
      <c r="F363" t="s">
        <v>21</v>
      </c>
      <c r="G363" t="s">
        <v>17</v>
      </c>
      <c r="H363">
        <v>1061</v>
      </c>
      <c r="I363">
        <v>46</v>
      </c>
      <c r="J363">
        <v>35</v>
      </c>
      <c r="K363">
        <v>4</v>
      </c>
      <c r="L363">
        <v>83</v>
      </c>
      <c r="M363" t="s">
        <v>30</v>
      </c>
    </row>
    <row r="364" spans="1:13">
      <c r="A364" t="s">
        <v>394</v>
      </c>
      <c r="B364">
        <v>2023</v>
      </c>
      <c r="C364" t="s">
        <v>45</v>
      </c>
      <c r="D364" t="s">
        <v>37</v>
      </c>
      <c r="E364" t="s">
        <v>29</v>
      </c>
      <c r="F364" t="s">
        <v>21</v>
      </c>
      <c r="G364" t="s">
        <v>38</v>
      </c>
      <c r="H364">
        <v>925</v>
      </c>
      <c r="I364">
        <v>230</v>
      </c>
      <c r="J364">
        <v>46</v>
      </c>
      <c r="K364">
        <v>2</v>
      </c>
      <c r="L364">
        <v>85</v>
      </c>
      <c r="M364" t="s">
        <v>18</v>
      </c>
    </row>
    <row r="365" spans="1:13">
      <c r="A365" t="s">
        <v>395</v>
      </c>
      <c r="B365">
        <v>2023</v>
      </c>
      <c r="C365" t="s">
        <v>45</v>
      </c>
      <c r="D365" t="s">
        <v>37</v>
      </c>
      <c r="E365" t="s">
        <v>15</v>
      </c>
      <c r="F365" t="s">
        <v>21</v>
      </c>
      <c r="G365" t="s">
        <v>38</v>
      </c>
      <c r="H365">
        <v>1753</v>
      </c>
      <c r="I365">
        <v>160</v>
      </c>
      <c r="J365">
        <v>18</v>
      </c>
      <c r="K365">
        <v>5</v>
      </c>
      <c r="L365">
        <v>6</v>
      </c>
      <c r="M365" t="s">
        <v>18</v>
      </c>
    </row>
    <row r="366" spans="1:13">
      <c r="A366" t="s">
        <v>396</v>
      </c>
      <c r="B366">
        <v>2023</v>
      </c>
      <c r="C366" t="s">
        <v>13</v>
      </c>
      <c r="D366" t="s">
        <v>28</v>
      </c>
      <c r="E366" t="s">
        <v>15</v>
      </c>
      <c r="F366" t="s">
        <v>16</v>
      </c>
      <c r="G366" t="s">
        <v>25</v>
      </c>
      <c r="H366">
        <v>1011</v>
      </c>
      <c r="I366">
        <v>213</v>
      </c>
      <c r="J366">
        <v>40</v>
      </c>
      <c r="K366">
        <v>1</v>
      </c>
      <c r="L366">
        <v>84</v>
      </c>
      <c r="M366" t="s">
        <v>18</v>
      </c>
    </row>
    <row r="367" spans="1:13">
      <c r="A367" t="s">
        <v>397</v>
      </c>
      <c r="B367">
        <v>2023</v>
      </c>
      <c r="C367" t="s">
        <v>13</v>
      </c>
      <c r="D367" t="s">
        <v>24</v>
      </c>
      <c r="E367" t="s">
        <v>15</v>
      </c>
      <c r="F367" t="s">
        <v>21</v>
      </c>
      <c r="G367" t="s">
        <v>17</v>
      </c>
      <c r="H367">
        <v>1904</v>
      </c>
      <c r="I367">
        <v>104</v>
      </c>
      <c r="J367">
        <v>41</v>
      </c>
      <c r="K367">
        <v>5</v>
      </c>
      <c r="L367">
        <v>84</v>
      </c>
      <c r="M367" t="s">
        <v>18</v>
      </c>
    </row>
    <row r="368" spans="1:13">
      <c r="A368" t="s">
        <v>398</v>
      </c>
      <c r="B368">
        <v>2023</v>
      </c>
      <c r="C368" t="s">
        <v>23</v>
      </c>
      <c r="D368" t="s">
        <v>14</v>
      </c>
      <c r="E368" t="s">
        <v>42</v>
      </c>
      <c r="F368" t="s">
        <v>16</v>
      </c>
      <c r="G368" t="s">
        <v>38</v>
      </c>
      <c r="H368">
        <v>2042</v>
      </c>
      <c r="I368">
        <v>241</v>
      </c>
      <c r="J368">
        <v>28</v>
      </c>
      <c r="K368">
        <v>4</v>
      </c>
      <c r="L368">
        <v>87</v>
      </c>
      <c r="M368" t="s">
        <v>18</v>
      </c>
    </row>
    <row r="369" spans="1:13">
      <c r="A369" t="s">
        <v>399</v>
      </c>
      <c r="B369">
        <v>2023</v>
      </c>
      <c r="C369" t="s">
        <v>20</v>
      </c>
      <c r="D369" t="s">
        <v>24</v>
      </c>
      <c r="E369" t="s">
        <v>42</v>
      </c>
      <c r="F369" t="s">
        <v>16</v>
      </c>
      <c r="G369" t="s">
        <v>38</v>
      </c>
      <c r="H369">
        <v>1228</v>
      </c>
      <c r="I369">
        <v>215</v>
      </c>
      <c r="J369">
        <v>53</v>
      </c>
      <c r="K369">
        <v>5</v>
      </c>
      <c r="L369">
        <v>7</v>
      </c>
      <c r="M369" t="s">
        <v>18</v>
      </c>
    </row>
    <row r="370" spans="1:13">
      <c r="A370" t="s">
        <v>400</v>
      </c>
      <c r="B370">
        <v>2023</v>
      </c>
      <c r="C370" t="s">
        <v>23</v>
      </c>
      <c r="D370" t="s">
        <v>14</v>
      </c>
      <c r="E370" t="s">
        <v>32</v>
      </c>
      <c r="F370" t="s">
        <v>16</v>
      </c>
      <c r="G370" t="s">
        <v>25</v>
      </c>
      <c r="H370">
        <v>2039</v>
      </c>
      <c r="I370">
        <v>118</v>
      </c>
      <c r="J370">
        <v>27</v>
      </c>
      <c r="K370">
        <v>3</v>
      </c>
      <c r="L370">
        <v>65</v>
      </c>
      <c r="M370" t="s">
        <v>18</v>
      </c>
    </row>
    <row r="371" spans="1:13">
      <c r="A371" t="s">
        <v>401</v>
      </c>
      <c r="B371">
        <v>2023</v>
      </c>
      <c r="C371" t="s">
        <v>20</v>
      </c>
      <c r="D371" t="s">
        <v>35</v>
      </c>
      <c r="E371" t="s">
        <v>29</v>
      </c>
      <c r="F371" t="s">
        <v>21</v>
      </c>
      <c r="G371" t="s">
        <v>25</v>
      </c>
      <c r="H371">
        <v>1902</v>
      </c>
      <c r="I371">
        <v>175</v>
      </c>
      <c r="J371">
        <v>24</v>
      </c>
      <c r="K371">
        <v>1</v>
      </c>
      <c r="L371">
        <v>64</v>
      </c>
      <c r="M371" t="s">
        <v>18</v>
      </c>
    </row>
    <row r="372" spans="1:13">
      <c r="A372" t="s">
        <v>402</v>
      </c>
      <c r="B372">
        <v>2023</v>
      </c>
      <c r="C372" t="s">
        <v>20</v>
      </c>
      <c r="D372" t="s">
        <v>35</v>
      </c>
      <c r="E372" t="s">
        <v>15</v>
      </c>
      <c r="F372" t="s">
        <v>16</v>
      </c>
      <c r="G372" t="s">
        <v>17</v>
      </c>
      <c r="H372">
        <v>1722</v>
      </c>
      <c r="I372">
        <v>159</v>
      </c>
      <c r="J372">
        <v>21</v>
      </c>
      <c r="K372">
        <v>4</v>
      </c>
      <c r="L372">
        <v>22</v>
      </c>
      <c r="M372" t="s">
        <v>18</v>
      </c>
    </row>
    <row r="373" spans="1:13">
      <c r="A373" t="s">
        <v>403</v>
      </c>
      <c r="B373">
        <v>2023</v>
      </c>
      <c r="C373" t="s">
        <v>45</v>
      </c>
      <c r="D373" t="s">
        <v>35</v>
      </c>
      <c r="E373" t="s">
        <v>29</v>
      </c>
      <c r="F373" t="s">
        <v>21</v>
      </c>
      <c r="G373" t="s">
        <v>38</v>
      </c>
      <c r="H373">
        <v>1640</v>
      </c>
      <c r="I373">
        <v>66</v>
      </c>
      <c r="J373">
        <v>40</v>
      </c>
      <c r="K373">
        <v>4</v>
      </c>
      <c r="L373">
        <v>20</v>
      </c>
      <c r="M373" t="s">
        <v>30</v>
      </c>
    </row>
    <row r="374" spans="1:13">
      <c r="A374" t="s">
        <v>404</v>
      </c>
      <c r="B374">
        <v>2023</v>
      </c>
      <c r="C374" t="s">
        <v>13</v>
      </c>
      <c r="D374" t="s">
        <v>35</v>
      </c>
      <c r="E374" t="s">
        <v>42</v>
      </c>
      <c r="F374" t="s">
        <v>16</v>
      </c>
      <c r="G374" t="s">
        <v>38</v>
      </c>
      <c r="H374">
        <v>1006</v>
      </c>
      <c r="I374">
        <v>237</v>
      </c>
      <c r="J374">
        <v>36</v>
      </c>
      <c r="K374">
        <v>4</v>
      </c>
      <c r="L374">
        <v>81</v>
      </c>
      <c r="M374" t="s">
        <v>18</v>
      </c>
    </row>
    <row r="375" spans="1:13">
      <c r="A375" t="s">
        <v>405</v>
      </c>
      <c r="B375">
        <v>2023</v>
      </c>
      <c r="C375" t="s">
        <v>23</v>
      </c>
      <c r="D375" t="s">
        <v>14</v>
      </c>
      <c r="E375" t="s">
        <v>32</v>
      </c>
      <c r="F375" t="s">
        <v>16</v>
      </c>
      <c r="G375" t="s">
        <v>38</v>
      </c>
      <c r="H375">
        <v>1480</v>
      </c>
      <c r="I375">
        <v>69</v>
      </c>
      <c r="J375">
        <v>65</v>
      </c>
      <c r="K375">
        <v>1</v>
      </c>
      <c r="L375">
        <v>59</v>
      </c>
      <c r="M375" t="s">
        <v>30</v>
      </c>
    </row>
    <row r="376" spans="1:13">
      <c r="A376" t="s">
        <v>406</v>
      </c>
      <c r="B376">
        <v>2023</v>
      </c>
      <c r="C376" t="s">
        <v>13</v>
      </c>
      <c r="D376" t="s">
        <v>35</v>
      </c>
      <c r="E376" t="s">
        <v>32</v>
      </c>
      <c r="F376" t="s">
        <v>21</v>
      </c>
      <c r="G376" t="s">
        <v>25</v>
      </c>
      <c r="H376">
        <v>1837</v>
      </c>
      <c r="I376">
        <v>169</v>
      </c>
      <c r="J376">
        <v>61</v>
      </c>
      <c r="K376">
        <v>1</v>
      </c>
      <c r="L376">
        <v>6</v>
      </c>
      <c r="M376" t="s">
        <v>18</v>
      </c>
    </row>
    <row r="377" spans="1:13">
      <c r="A377" t="s">
        <v>407</v>
      </c>
      <c r="B377">
        <v>2023</v>
      </c>
      <c r="C377" t="s">
        <v>45</v>
      </c>
      <c r="D377" t="s">
        <v>14</v>
      </c>
      <c r="E377" t="s">
        <v>42</v>
      </c>
      <c r="F377" t="s">
        <v>16</v>
      </c>
      <c r="G377" t="s">
        <v>38</v>
      </c>
      <c r="H377">
        <v>1442</v>
      </c>
      <c r="I377">
        <v>137</v>
      </c>
      <c r="J377">
        <v>59</v>
      </c>
      <c r="K377">
        <v>3</v>
      </c>
      <c r="L377">
        <v>27</v>
      </c>
      <c r="M377" t="s">
        <v>30</v>
      </c>
    </row>
    <row r="378" spans="1:13">
      <c r="A378" t="s">
        <v>408</v>
      </c>
      <c r="B378">
        <v>2023</v>
      </c>
      <c r="C378" t="s">
        <v>23</v>
      </c>
      <c r="D378" t="s">
        <v>14</v>
      </c>
      <c r="E378" t="s">
        <v>29</v>
      </c>
      <c r="F378" t="s">
        <v>21</v>
      </c>
      <c r="G378" t="s">
        <v>17</v>
      </c>
      <c r="H378">
        <v>1470</v>
      </c>
      <c r="I378">
        <v>195</v>
      </c>
      <c r="J378">
        <v>38</v>
      </c>
      <c r="K378">
        <v>2</v>
      </c>
      <c r="L378">
        <v>28</v>
      </c>
      <c r="M378" t="s">
        <v>18</v>
      </c>
    </row>
    <row r="379" spans="1:13">
      <c r="A379" t="s">
        <v>409</v>
      </c>
      <c r="B379">
        <v>2023</v>
      </c>
      <c r="C379" t="s">
        <v>45</v>
      </c>
      <c r="D379" t="s">
        <v>35</v>
      </c>
      <c r="E379" t="s">
        <v>29</v>
      </c>
      <c r="F379" t="s">
        <v>21</v>
      </c>
      <c r="G379" t="s">
        <v>38</v>
      </c>
      <c r="H379">
        <v>1948</v>
      </c>
      <c r="I379">
        <v>37</v>
      </c>
      <c r="J379">
        <v>19</v>
      </c>
      <c r="K379">
        <v>3</v>
      </c>
      <c r="L379">
        <v>56</v>
      </c>
      <c r="M379" t="s">
        <v>18</v>
      </c>
    </row>
    <row r="380" spans="1:13">
      <c r="A380" t="s">
        <v>410</v>
      </c>
      <c r="B380">
        <v>2023</v>
      </c>
      <c r="C380" t="s">
        <v>45</v>
      </c>
      <c r="D380" t="s">
        <v>24</v>
      </c>
      <c r="E380" t="s">
        <v>29</v>
      </c>
      <c r="F380" t="s">
        <v>16</v>
      </c>
      <c r="G380" t="s">
        <v>25</v>
      </c>
      <c r="H380">
        <v>1256</v>
      </c>
      <c r="I380">
        <v>181</v>
      </c>
      <c r="J380">
        <v>55</v>
      </c>
      <c r="K380">
        <v>1</v>
      </c>
      <c r="L380">
        <v>89</v>
      </c>
      <c r="M380" t="s">
        <v>18</v>
      </c>
    </row>
    <row r="381" spans="1:13">
      <c r="A381" t="s">
        <v>411</v>
      </c>
      <c r="B381">
        <v>2023</v>
      </c>
      <c r="C381" t="s">
        <v>20</v>
      </c>
      <c r="D381" t="s">
        <v>14</v>
      </c>
      <c r="E381" t="s">
        <v>42</v>
      </c>
      <c r="F381" t="s">
        <v>21</v>
      </c>
      <c r="G381" t="s">
        <v>17</v>
      </c>
      <c r="H381">
        <v>1944</v>
      </c>
      <c r="I381">
        <v>20</v>
      </c>
      <c r="J381">
        <v>24</v>
      </c>
      <c r="K381">
        <v>2</v>
      </c>
      <c r="L381">
        <v>68</v>
      </c>
      <c r="M381" t="s">
        <v>18</v>
      </c>
    </row>
    <row r="382" spans="1:13">
      <c r="A382" t="s">
        <v>412</v>
      </c>
      <c r="B382">
        <v>2023</v>
      </c>
      <c r="C382" t="s">
        <v>13</v>
      </c>
      <c r="D382" t="s">
        <v>14</v>
      </c>
      <c r="E382" t="s">
        <v>32</v>
      </c>
      <c r="F382" t="s">
        <v>21</v>
      </c>
      <c r="G382" t="s">
        <v>38</v>
      </c>
      <c r="H382">
        <v>1248</v>
      </c>
      <c r="I382">
        <v>33</v>
      </c>
      <c r="J382">
        <v>31</v>
      </c>
      <c r="K382">
        <v>3</v>
      </c>
      <c r="L382">
        <v>56</v>
      </c>
      <c r="M382" t="s">
        <v>30</v>
      </c>
    </row>
    <row r="383" spans="1:13">
      <c r="A383" t="s">
        <v>413</v>
      </c>
      <c r="B383">
        <v>2023</v>
      </c>
      <c r="C383" t="s">
        <v>45</v>
      </c>
      <c r="D383" t="s">
        <v>28</v>
      </c>
      <c r="E383" t="s">
        <v>15</v>
      </c>
      <c r="F383" t="s">
        <v>16</v>
      </c>
      <c r="G383" t="s">
        <v>17</v>
      </c>
      <c r="H383">
        <v>1309</v>
      </c>
      <c r="I383">
        <v>52</v>
      </c>
      <c r="J383">
        <v>49</v>
      </c>
      <c r="K383">
        <v>3</v>
      </c>
      <c r="L383">
        <v>2</v>
      </c>
      <c r="M383" t="s">
        <v>18</v>
      </c>
    </row>
    <row r="384" spans="1:13">
      <c r="A384" t="s">
        <v>414</v>
      </c>
      <c r="B384">
        <v>2023</v>
      </c>
      <c r="C384" t="s">
        <v>13</v>
      </c>
      <c r="D384" t="s">
        <v>28</v>
      </c>
      <c r="E384" t="s">
        <v>29</v>
      </c>
      <c r="F384" t="s">
        <v>16</v>
      </c>
      <c r="G384" t="s">
        <v>17</v>
      </c>
      <c r="H384">
        <v>1876</v>
      </c>
      <c r="I384">
        <v>60</v>
      </c>
      <c r="J384">
        <v>43</v>
      </c>
      <c r="K384">
        <v>5</v>
      </c>
      <c r="L384">
        <v>75</v>
      </c>
      <c r="M384" t="s">
        <v>30</v>
      </c>
    </row>
    <row r="385" spans="1:13">
      <c r="A385" t="s">
        <v>415</v>
      </c>
      <c r="B385">
        <v>2023</v>
      </c>
      <c r="C385" t="s">
        <v>20</v>
      </c>
      <c r="D385" t="s">
        <v>24</v>
      </c>
      <c r="E385" t="s">
        <v>42</v>
      </c>
      <c r="F385" t="s">
        <v>16</v>
      </c>
      <c r="G385" t="s">
        <v>17</v>
      </c>
      <c r="H385">
        <v>1601</v>
      </c>
      <c r="I385">
        <v>77</v>
      </c>
      <c r="J385">
        <v>57</v>
      </c>
      <c r="K385">
        <v>5</v>
      </c>
      <c r="L385">
        <v>82</v>
      </c>
      <c r="M385" t="s">
        <v>18</v>
      </c>
    </row>
    <row r="386" spans="1:13">
      <c r="A386" t="s">
        <v>416</v>
      </c>
      <c r="B386">
        <v>2023</v>
      </c>
      <c r="C386" t="s">
        <v>45</v>
      </c>
      <c r="D386" t="s">
        <v>37</v>
      </c>
      <c r="E386" t="s">
        <v>42</v>
      </c>
      <c r="F386" t="s">
        <v>16</v>
      </c>
      <c r="G386" t="s">
        <v>38</v>
      </c>
      <c r="H386">
        <v>1225</v>
      </c>
      <c r="I386">
        <v>131</v>
      </c>
      <c r="J386">
        <v>26</v>
      </c>
      <c r="K386">
        <v>3</v>
      </c>
      <c r="L386">
        <v>48</v>
      </c>
      <c r="M386" t="s">
        <v>30</v>
      </c>
    </row>
    <row r="387" spans="1:13">
      <c r="A387" t="s">
        <v>417</v>
      </c>
      <c r="B387">
        <v>2023</v>
      </c>
      <c r="C387" t="s">
        <v>45</v>
      </c>
      <c r="D387" t="s">
        <v>37</v>
      </c>
      <c r="E387" t="s">
        <v>32</v>
      </c>
      <c r="F387" t="s">
        <v>16</v>
      </c>
      <c r="G387" t="s">
        <v>25</v>
      </c>
      <c r="H387">
        <v>1236</v>
      </c>
      <c r="I387">
        <v>165</v>
      </c>
      <c r="J387">
        <v>35</v>
      </c>
      <c r="K387">
        <v>1</v>
      </c>
      <c r="L387">
        <v>80</v>
      </c>
      <c r="M387" t="s">
        <v>30</v>
      </c>
    </row>
    <row r="388" spans="1:13">
      <c r="A388" t="s">
        <v>418</v>
      </c>
      <c r="B388">
        <v>2023</v>
      </c>
      <c r="C388" t="s">
        <v>20</v>
      </c>
      <c r="D388" t="s">
        <v>37</v>
      </c>
      <c r="E388" t="s">
        <v>15</v>
      </c>
      <c r="F388" t="s">
        <v>21</v>
      </c>
      <c r="G388" t="s">
        <v>38</v>
      </c>
      <c r="H388">
        <v>1604</v>
      </c>
      <c r="I388">
        <v>145</v>
      </c>
      <c r="J388">
        <v>18</v>
      </c>
      <c r="K388">
        <v>5</v>
      </c>
      <c r="L388">
        <v>30</v>
      </c>
      <c r="M388" t="s">
        <v>18</v>
      </c>
    </row>
    <row r="389" spans="1:13">
      <c r="A389" t="s">
        <v>419</v>
      </c>
      <c r="B389">
        <v>2023</v>
      </c>
      <c r="C389" t="s">
        <v>20</v>
      </c>
      <c r="D389" t="s">
        <v>14</v>
      </c>
      <c r="E389" t="s">
        <v>42</v>
      </c>
      <c r="F389" t="s">
        <v>16</v>
      </c>
      <c r="G389" t="s">
        <v>25</v>
      </c>
      <c r="H389">
        <v>1842</v>
      </c>
      <c r="I389">
        <v>129</v>
      </c>
      <c r="J389">
        <v>30</v>
      </c>
      <c r="K389">
        <v>5</v>
      </c>
      <c r="L389">
        <v>44</v>
      </c>
      <c r="M389" t="s">
        <v>18</v>
      </c>
    </row>
    <row r="390" spans="1:13">
      <c r="A390" t="s">
        <v>420</v>
      </c>
      <c r="B390">
        <v>2023</v>
      </c>
      <c r="C390" t="s">
        <v>13</v>
      </c>
      <c r="D390" t="s">
        <v>35</v>
      </c>
      <c r="E390" t="s">
        <v>15</v>
      </c>
      <c r="F390" t="s">
        <v>21</v>
      </c>
      <c r="G390" t="s">
        <v>25</v>
      </c>
      <c r="H390">
        <v>1163</v>
      </c>
      <c r="I390">
        <v>61</v>
      </c>
      <c r="J390">
        <v>20</v>
      </c>
      <c r="K390">
        <v>3</v>
      </c>
      <c r="L390">
        <v>32</v>
      </c>
      <c r="M390" t="s">
        <v>18</v>
      </c>
    </row>
    <row r="391" spans="1:13">
      <c r="A391" t="s">
        <v>421</v>
      </c>
      <c r="B391">
        <v>2023</v>
      </c>
      <c r="C391" t="s">
        <v>45</v>
      </c>
      <c r="D391" t="s">
        <v>37</v>
      </c>
      <c r="E391" t="s">
        <v>29</v>
      </c>
      <c r="F391" t="s">
        <v>16</v>
      </c>
      <c r="G391" t="s">
        <v>25</v>
      </c>
      <c r="H391">
        <v>1414</v>
      </c>
      <c r="I391">
        <v>83</v>
      </c>
      <c r="J391">
        <v>21</v>
      </c>
      <c r="K391">
        <v>4</v>
      </c>
      <c r="L391">
        <v>4</v>
      </c>
      <c r="M391" t="s">
        <v>18</v>
      </c>
    </row>
    <row r="392" spans="1:13">
      <c r="A392" t="s">
        <v>422</v>
      </c>
      <c r="B392">
        <v>2023</v>
      </c>
      <c r="C392" t="s">
        <v>20</v>
      </c>
      <c r="D392" t="s">
        <v>35</v>
      </c>
      <c r="E392" t="s">
        <v>42</v>
      </c>
      <c r="F392" t="s">
        <v>21</v>
      </c>
      <c r="G392" t="s">
        <v>25</v>
      </c>
      <c r="H392">
        <v>1170</v>
      </c>
      <c r="I392">
        <v>88</v>
      </c>
      <c r="J392">
        <v>41</v>
      </c>
      <c r="K392">
        <v>2</v>
      </c>
      <c r="L392">
        <v>85</v>
      </c>
      <c r="M392" t="s">
        <v>18</v>
      </c>
    </row>
    <row r="393" spans="1:13">
      <c r="A393" t="s">
        <v>423</v>
      </c>
      <c r="B393">
        <v>2023</v>
      </c>
      <c r="C393" t="s">
        <v>45</v>
      </c>
      <c r="D393" t="s">
        <v>24</v>
      </c>
      <c r="E393" t="s">
        <v>42</v>
      </c>
      <c r="F393" t="s">
        <v>16</v>
      </c>
      <c r="G393" t="s">
        <v>25</v>
      </c>
      <c r="H393">
        <v>1413</v>
      </c>
      <c r="I393">
        <v>215</v>
      </c>
      <c r="J393">
        <v>52</v>
      </c>
      <c r="K393">
        <v>2</v>
      </c>
      <c r="L393">
        <v>44</v>
      </c>
      <c r="M393" t="s">
        <v>18</v>
      </c>
    </row>
    <row r="394" spans="1:13">
      <c r="A394" t="s">
        <v>424</v>
      </c>
      <c r="B394">
        <v>2023</v>
      </c>
      <c r="C394" t="s">
        <v>23</v>
      </c>
      <c r="D394" t="s">
        <v>14</v>
      </c>
      <c r="E394" t="s">
        <v>42</v>
      </c>
      <c r="F394" t="s">
        <v>21</v>
      </c>
      <c r="G394" t="s">
        <v>25</v>
      </c>
      <c r="H394">
        <v>1125</v>
      </c>
      <c r="I394">
        <v>48</v>
      </c>
      <c r="J394">
        <v>45</v>
      </c>
      <c r="K394">
        <v>5</v>
      </c>
      <c r="L394">
        <v>45</v>
      </c>
      <c r="M394" t="s">
        <v>18</v>
      </c>
    </row>
    <row r="395" spans="1:13">
      <c r="A395" t="s">
        <v>425</v>
      </c>
      <c r="B395">
        <v>2023</v>
      </c>
      <c r="C395" t="s">
        <v>20</v>
      </c>
      <c r="D395" t="s">
        <v>28</v>
      </c>
      <c r="E395" t="s">
        <v>15</v>
      </c>
      <c r="F395" t="s">
        <v>16</v>
      </c>
      <c r="G395" t="s">
        <v>25</v>
      </c>
      <c r="H395">
        <v>1039</v>
      </c>
      <c r="I395">
        <v>201</v>
      </c>
      <c r="J395">
        <v>34</v>
      </c>
      <c r="K395">
        <v>1</v>
      </c>
      <c r="L395">
        <v>38</v>
      </c>
      <c r="M395" t="s">
        <v>18</v>
      </c>
    </row>
    <row r="396" spans="1:13">
      <c r="A396" t="s">
        <v>426</v>
      </c>
      <c r="B396">
        <v>2023</v>
      </c>
      <c r="C396" t="s">
        <v>23</v>
      </c>
      <c r="D396" t="s">
        <v>24</v>
      </c>
      <c r="E396" t="s">
        <v>32</v>
      </c>
      <c r="F396" t="s">
        <v>16</v>
      </c>
      <c r="G396" t="s">
        <v>38</v>
      </c>
      <c r="H396">
        <v>1524</v>
      </c>
      <c r="I396">
        <v>90</v>
      </c>
      <c r="J396">
        <v>27</v>
      </c>
      <c r="K396">
        <v>4</v>
      </c>
      <c r="L396">
        <v>66</v>
      </c>
      <c r="M396" t="s">
        <v>18</v>
      </c>
    </row>
    <row r="397" spans="1:13">
      <c r="A397" t="s">
        <v>427</v>
      </c>
      <c r="B397">
        <v>2023</v>
      </c>
      <c r="C397" t="s">
        <v>23</v>
      </c>
      <c r="D397" t="s">
        <v>37</v>
      </c>
      <c r="E397" t="s">
        <v>42</v>
      </c>
      <c r="F397" t="s">
        <v>16</v>
      </c>
      <c r="G397" t="s">
        <v>17</v>
      </c>
      <c r="H397">
        <v>950</v>
      </c>
      <c r="I397">
        <v>139</v>
      </c>
      <c r="J397">
        <v>31</v>
      </c>
      <c r="K397">
        <v>3</v>
      </c>
      <c r="L397">
        <v>57</v>
      </c>
      <c r="M397" t="s">
        <v>18</v>
      </c>
    </row>
    <row r="398" spans="1:13">
      <c r="A398" t="s">
        <v>428</v>
      </c>
      <c r="B398">
        <v>2023</v>
      </c>
      <c r="C398" t="s">
        <v>20</v>
      </c>
      <c r="D398" t="s">
        <v>24</v>
      </c>
      <c r="E398" t="s">
        <v>42</v>
      </c>
      <c r="F398" t="s">
        <v>21</v>
      </c>
      <c r="G398" t="s">
        <v>17</v>
      </c>
      <c r="H398">
        <v>1047</v>
      </c>
      <c r="I398">
        <v>1</v>
      </c>
      <c r="J398">
        <v>27</v>
      </c>
      <c r="K398">
        <v>3</v>
      </c>
      <c r="L398">
        <v>7</v>
      </c>
      <c r="M398" t="s">
        <v>18</v>
      </c>
    </row>
    <row r="399" spans="1:13">
      <c r="A399" t="s">
        <v>429</v>
      </c>
      <c r="B399">
        <v>2023</v>
      </c>
      <c r="C399" t="s">
        <v>20</v>
      </c>
      <c r="D399" t="s">
        <v>35</v>
      </c>
      <c r="E399" t="s">
        <v>29</v>
      </c>
      <c r="F399" t="s">
        <v>21</v>
      </c>
      <c r="G399" t="s">
        <v>25</v>
      </c>
      <c r="H399">
        <v>1087</v>
      </c>
      <c r="I399">
        <v>114</v>
      </c>
      <c r="J399">
        <v>28</v>
      </c>
      <c r="K399">
        <v>3</v>
      </c>
      <c r="L399">
        <v>2</v>
      </c>
      <c r="M399" t="s">
        <v>18</v>
      </c>
    </row>
    <row r="400" spans="1:13">
      <c r="A400" t="s">
        <v>430</v>
      </c>
      <c r="B400">
        <v>2023</v>
      </c>
      <c r="C400" t="s">
        <v>20</v>
      </c>
      <c r="D400" t="s">
        <v>37</v>
      </c>
      <c r="E400" t="s">
        <v>15</v>
      </c>
      <c r="F400" t="s">
        <v>16</v>
      </c>
      <c r="G400" t="s">
        <v>25</v>
      </c>
      <c r="H400">
        <v>1303</v>
      </c>
      <c r="I400">
        <v>185</v>
      </c>
      <c r="J400">
        <v>46</v>
      </c>
      <c r="K400">
        <v>2</v>
      </c>
      <c r="L400">
        <v>57</v>
      </c>
      <c r="M400" t="s">
        <v>18</v>
      </c>
    </row>
    <row r="401" spans="1:13">
      <c r="A401" t="s">
        <v>431</v>
      </c>
      <c r="B401">
        <v>2023</v>
      </c>
      <c r="C401" t="s">
        <v>13</v>
      </c>
      <c r="D401" t="s">
        <v>37</v>
      </c>
      <c r="E401" t="s">
        <v>42</v>
      </c>
      <c r="F401" t="s">
        <v>16</v>
      </c>
      <c r="G401" t="s">
        <v>17</v>
      </c>
      <c r="H401">
        <v>1358</v>
      </c>
      <c r="I401">
        <v>149</v>
      </c>
      <c r="J401">
        <v>64</v>
      </c>
      <c r="K401">
        <v>4</v>
      </c>
      <c r="L401">
        <v>10</v>
      </c>
      <c r="M401" t="s">
        <v>18</v>
      </c>
    </row>
    <row r="402" spans="1:13">
      <c r="A402" t="s">
        <v>432</v>
      </c>
      <c r="B402">
        <v>2024</v>
      </c>
      <c r="C402" t="s">
        <v>45</v>
      </c>
      <c r="D402" t="s">
        <v>14</v>
      </c>
      <c r="E402" t="s">
        <v>15</v>
      </c>
      <c r="F402" t="s">
        <v>21</v>
      </c>
      <c r="G402" t="s">
        <v>38</v>
      </c>
      <c r="H402">
        <v>2063</v>
      </c>
      <c r="I402">
        <v>202</v>
      </c>
      <c r="J402">
        <v>26</v>
      </c>
      <c r="K402">
        <v>2</v>
      </c>
      <c r="L402">
        <v>70</v>
      </c>
      <c r="M402" t="s">
        <v>30</v>
      </c>
    </row>
    <row r="403" spans="1:13">
      <c r="A403" t="s">
        <v>433</v>
      </c>
      <c r="B403">
        <v>2024</v>
      </c>
      <c r="C403" t="s">
        <v>23</v>
      </c>
      <c r="D403" t="s">
        <v>28</v>
      </c>
      <c r="E403" t="s">
        <v>32</v>
      </c>
      <c r="F403" t="s">
        <v>16</v>
      </c>
      <c r="G403" t="s">
        <v>38</v>
      </c>
      <c r="H403">
        <v>1304</v>
      </c>
      <c r="I403">
        <v>221</v>
      </c>
      <c r="J403">
        <v>18</v>
      </c>
      <c r="K403">
        <v>1</v>
      </c>
      <c r="L403">
        <v>31</v>
      </c>
      <c r="M403" t="s">
        <v>18</v>
      </c>
    </row>
    <row r="404" spans="1:13">
      <c r="A404" t="s">
        <v>434</v>
      </c>
      <c r="B404">
        <v>2024</v>
      </c>
      <c r="C404" t="s">
        <v>23</v>
      </c>
      <c r="D404" t="s">
        <v>37</v>
      </c>
      <c r="E404" t="s">
        <v>42</v>
      </c>
      <c r="F404" t="s">
        <v>16</v>
      </c>
      <c r="G404" t="s">
        <v>17</v>
      </c>
      <c r="H404">
        <v>1725</v>
      </c>
      <c r="I404">
        <v>16</v>
      </c>
      <c r="J404">
        <v>26</v>
      </c>
      <c r="K404">
        <v>1</v>
      </c>
      <c r="L404">
        <v>24</v>
      </c>
      <c r="M404" t="s">
        <v>18</v>
      </c>
    </row>
    <row r="405" spans="1:13">
      <c r="A405" t="s">
        <v>435</v>
      </c>
      <c r="B405">
        <v>2024</v>
      </c>
      <c r="C405" t="s">
        <v>13</v>
      </c>
      <c r="D405" t="s">
        <v>35</v>
      </c>
      <c r="E405" t="s">
        <v>15</v>
      </c>
      <c r="F405" t="s">
        <v>21</v>
      </c>
      <c r="G405" t="s">
        <v>38</v>
      </c>
      <c r="H405">
        <v>1505</v>
      </c>
      <c r="I405">
        <v>109</v>
      </c>
      <c r="J405">
        <v>61</v>
      </c>
      <c r="K405">
        <v>4</v>
      </c>
      <c r="L405">
        <v>38</v>
      </c>
      <c r="M405" t="s">
        <v>18</v>
      </c>
    </row>
    <row r="406" spans="1:13">
      <c r="A406" t="s">
        <v>436</v>
      </c>
      <c r="B406">
        <v>2024</v>
      </c>
      <c r="C406" t="s">
        <v>23</v>
      </c>
      <c r="D406" t="s">
        <v>37</v>
      </c>
      <c r="E406" t="s">
        <v>42</v>
      </c>
      <c r="F406" t="s">
        <v>21</v>
      </c>
      <c r="G406" t="s">
        <v>25</v>
      </c>
      <c r="H406">
        <v>1507</v>
      </c>
      <c r="I406">
        <v>235</v>
      </c>
      <c r="J406">
        <v>59</v>
      </c>
      <c r="K406">
        <v>3</v>
      </c>
      <c r="L406">
        <v>38</v>
      </c>
      <c r="M406" t="s">
        <v>30</v>
      </c>
    </row>
    <row r="407" spans="1:13">
      <c r="A407" t="s">
        <v>437</v>
      </c>
      <c r="B407">
        <v>2024</v>
      </c>
      <c r="C407" t="s">
        <v>20</v>
      </c>
      <c r="D407" t="s">
        <v>35</v>
      </c>
      <c r="E407" t="s">
        <v>15</v>
      </c>
      <c r="F407" t="s">
        <v>21</v>
      </c>
      <c r="G407" t="s">
        <v>17</v>
      </c>
      <c r="H407">
        <v>1770</v>
      </c>
      <c r="I407">
        <v>63</v>
      </c>
      <c r="J407">
        <v>27</v>
      </c>
      <c r="K407">
        <v>1</v>
      </c>
      <c r="L407">
        <v>3</v>
      </c>
      <c r="M407" t="s">
        <v>18</v>
      </c>
    </row>
    <row r="408" spans="1:13">
      <c r="A408" t="s">
        <v>438</v>
      </c>
      <c r="B408">
        <v>2024</v>
      </c>
      <c r="C408" t="s">
        <v>45</v>
      </c>
      <c r="D408" t="s">
        <v>37</v>
      </c>
      <c r="E408" t="s">
        <v>32</v>
      </c>
      <c r="F408" t="s">
        <v>16</v>
      </c>
      <c r="G408" t="s">
        <v>25</v>
      </c>
      <c r="H408">
        <v>1383</v>
      </c>
      <c r="I408">
        <v>141</v>
      </c>
      <c r="J408">
        <v>65</v>
      </c>
      <c r="K408">
        <v>3</v>
      </c>
      <c r="L408">
        <v>2</v>
      </c>
      <c r="M408" t="s">
        <v>18</v>
      </c>
    </row>
    <row r="409" spans="1:13">
      <c r="A409" t="s">
        <v>439</v>
      </c>
      <c r="B409">
        <v>2024</v>
      </c>
      <c r="C409" t="s">
        <v>20</v>
      </c>
      <c r="D409" t="s">
        <v>37</v>
      </c>
      <c r="E409" t="s">
        <v>29</v>
      </c>
      <c r="F409" t="s">
        <v>16</v>
      </c>
      <c r="G409" t="s">
        <v>25</v>
      </c>
      <c r="H409">
        <v>1008</v>
      </c>
      <c r="I409">
        <v>111</v>
      </c>
      <c r="J409">
        <v>29</v>
      </c>
      <c r="K409">
        <v>5</v>
      </c>
      <c r="L409">
        <v>25</v>
      </c>
      <c r="M409" t="s">
        <v>30</v>
      </c>
    </row>
    <row r="410" spans="1:13">
      <c r="A410" t="s">
        <v>440</v>
      </c>
      <c r="B410">
        <v>2024</v>
      </c>
      <c r="C410" t="s">
        <v>20</v>
      </c>
      <c r="D410" t="s">
        <v>28</v>
      </c>
      <c r="E410" t="s">
        <v>29</v>
      </c>
      <c r="F410" t="s">
        <v>21</v>
      </c>
      <c r="G410" t="s">
        <v>17</v>
      </c>
      <c r="H410">
        <v>1421</v>
      </c>
      <c r="I410">
        <v>95</v>
      </c>
      <c r="J410">
        <v>17</v>
      </c>
      <c r="K410">
        <v>5</v>
      </c>
      <c r="L410">
        <v>31</v>
      </c>
      <c r="M410" t="s">
        <v>30</v>
      </c>
    </row>
    <row r="411" spans="1:13">
      <c r="A411" t="s">
        <v>441</v>
      </c>
      <c r="B411">
        <v>2024</v>
      </c>
      <c r="C411" t="s">
        <v>23</v>
      </c>
      <c r="D411" t="s">
        <v>14</v>
      </c>
      <c r="E411" t="s">
        <v>42</v>
      </c>
      <c r="F411" t="s">
        <v>21</v>
      </c>
      <c r="G411" t="s">
        <v>17</v>
      </c>
      <c r="H411">
        <v>1168</v>
      </c>
      <c r="I411">
        <v>137</v>
      </c>
      <c r="J411">
        <v>22</v>
      </c>
      <c r="K411">
        <v>2</v>
      </c>
      <c r="L411">
        <v>9</v>
      </c>
      <c r="M411" t="s">
        <v>30</v>
      </c>
    </row>
    <row r="412" spans="1:13">
      <c r="A412" t="s">
        <v>442</v>
      </c>
      <c r="B412">
        <v>2024</v>
      </c>
      <c r="C412" t="s">
        <v>45</v>
      </c>
      <c r="D412" t="s">
        <v>24</v>
      </c>
      <c r="E412" t="s">
        <v>32</v>
      </c>
      <c r="F412" t="s">
        <v>21</v>
      </c>
      <c r="G412" t="s">
        <v>38</v>
      </c>
      <c r="H412">
        <v>910</v>
      </c>
      <c r="I412">
        <v>180</v>
      </c>
      <c r="J412">
        <v>40</v>
      </c>
      <c r="K412">
        <v>1</v>
      </c>
      <c r="L412">
        <v>39</v>
      </c>
      <c r="M412" t="s">
        <v>30</v>
      </c>
    </row>
    <row r="413" spans="1:13">
      <c r="A413" t="s">
        <v>443</v>
      </c>
      <c r="B413">
        <v>2024</v>
      </c>
      <c r="C413" t="s">
        <v>23</v>
      </c>
      <c r="D413" t="s">
        <v>35</v>
      </c>
      <c r="E413" t="s">
        <v>29</v>
      </c>
      <c r="F413" t="s">
        <v>16</v>
      </c>
      <c r="G413" t="s">
        <v>38</v>
      </c>
      <c r="H413">
        <v>1026</v>
      </c>
      <c r="I413">
        <v>37</v>
      </c>
      <c r="J413">
        <v>42</v>
      </c>
      <c r="K413">
        <v>2</v>
      </c>
      <c r="L413">
        <v>1</v>
      </c>
      <c r="M413" t="s">
        <v>18</v>
      </c>
    </row>
    <row r="414" spans="1:13">
      <c r="A414" t="s">
        <v>444</v>
      </c>
      <c r="B414">
        <v>2024</v>
      </c>
      <c r="C414" t="s">
        <v>13</v>
      </c>
      <c r="D414" t="s">
        <v>24</v>
      </c>
      <c r="E414" t="s">
        <v>42</v>
      </c>
      <c r="F414" t="s">
        <v>16</v>
      </c>
      <c r="G414" t="s">
        <v>38</v>
      </c>
      <c r="H414">
        <v>1468</v>
      </c>
      <c r="I414">
        <v>221</v>
      </c>
      <c r="J414">
        <v>25</v>
      </c>
      <c r="K414">
        <v>3</v>
      </c>
      <c r="L414">
        <v>13</v>
      </c>
      <c r="M414" t="s">
        <v>18</v>
      </c>
    </row>
    <row r="415" spans="1:13">
      <c r="A415" t="s">
        <v>445</v>
      </c>
      <c r="B415">
        <v>2024</v>
      </c>
      <c r="C415" t="s">
        <v>20</v>
      </c>
      <c r="D415" t="s">
        <v>14</v>
      </c>
      <c r="E415" t="s">
        <v>29</v>
      </c>
      <c r="F415" t="s">
        <v>16</v>
      </c>
      <c r="G415" t="s">
        <v>25</v>
      </c>
      <c r="H415">
        <v>1009</v>
      </c>
      <c r="I415">
        <v>200</v>
      </c>
      <c r="J415">
        <v>18</v>
      </c>
      <c r="K415">
        <v>4</v>
      </c>
      <c r="L415">
        <v>11</v>
      </c>
      <c r="M415" t="s">
        <v>18</v>
      </c>
    </row>
    <row r="416" spans="1:13">
      <c r="A416" t="s">
        <v>446</v>
      </c>
      <c r="B416">
        <v>2024</v>
      </c>
      <c r="C416" t="s">
        <v>23</v>
      </c>
      <c r="D416" t="s">
        <v>37</v>
      </c>
      <c r="E416" t="s">
        <v>32</v>
      </c>
      <c r="F416" t="s">
        <v>16</v>
      </c>
      <c r="G416" t="s">
        <v>25</v>
      </c>
      <c r="H416">
        <v>1779</v>
      </c>
      <c r="I416">
        <v>216</v>
      </c>
      <c r="J416">
        <v>25</v>
      </c>
      <c r="K416">
        <v>3</v>
      </c>
      <c r="L416">
        <v>65</v>
      </c>
      <c r="M416" t="s">
        <v>18</v>
      </c>
    </row>
    <row r="417" spans="1:13">
      <c r="A417" t="s">
        <v>447</v>
      </c>
      <c r="B417">
        <v>2024</v>
      </c>
      <c r="C417" t="s">
        <v>45</v>
      </c>
      <c r="D417" t="s">
        <v>28</v>
      </c>
      <c r="E417" t="s">
        <v>15</v>
      </c>
      <c r="F417" t="s">
        <v>16</v>
      </c>
      <c r="G417" t="s">
        <v>38</v>
      </c>
      <c r="H417">
        <v>1029</v>
      </c>
      <c r="I417">
        <v>128</v>
      </c>
      <c r="J417">
        <v>22</v>
      </c>
      <c r="K417">
        <v>1</v>
      </c>
      <c r="L417">
        <v>4</v>
      </c>
      <c r="M417" t="s">
        <v>18</v>
      </c>
    </row>
    <row r="418" spans="1:13">
      <c r="A418" t="s">
        <v>448</v>
      </c>
      <c r="B418">
        <v>2024</v>
      </c>
      <c r="C418" t="s">
        <v>20</v>
      </c>
      <c r="D418" t="s">
        <v>35</v>
      </c>
      <c r="E418" t="s">
        <v>42</v>
      </c>
      <c r="F418" t="s">
        <v>16</v>
      </c>
      <c r="G418" t="s">
        <v>17</v>
      </c>
      <c r="H418">
        <v>1482</v>
      </c>
      <c r="I418">
        <v>232</v>
      </c>
      <c r="J418">
        <v>57</v>
      </c>
      <c r="K418">
        <v>5</v>
      </c>
      <c r="L418">
        <v>36</v>
      </c>
      <c r="M418" t="s">
        <v>18</v>
      </c>
    </row>
    <row r="419" spans="1:13">
      <c r="A419" t="s">
        <v>449</v>
      </c>
      <c r="B419">
        <v>2024</v>
      </c>
      <c r="C419" t="s">
        <v>45</v>
      </c>
      <c r="D419" t="s">
        <v>14</v>
      </c>
      <c r="E419" t="s">
        <v>42</v>
      </c>
      <c r="F419" t="s">
        <v>16</v>
      </c>
      <c r="G419" t="s">
        <v>17</v>
      </c>
      <c r="H419">
        <v>1355</v>
      </c>
      <c r="I419">
        <v>181</v>
      </c>
      <c r="J419">
        <v>24</v>
      </c>
      <c r="K419">
        <v>5</v>
      </c>
      <c r="L419">
        <v>7</v>
      </c>
      <c r="M419" t="s">
        <v>18</v>
      </c>
    </row>
    <row r="420" spans="1:13">
      <c r="A420" t="s">
        <v>450</v>
      </c>
      <c r="B420">
        <v>2024</v>
      </c>
      <c r="C420" t="s">
        <v>13</v>
      </c>
      <c r="D420" t="s">
        <v>37</v>
      </c>
      <c r="E420" t="s">
        <v>29</v>
      </c>
      <c r="F420" t="s">
        <v>21</v>
      </c>
      <c r="G420" t="s">
        <v>25</v>
      </c>
      <c r="H420">
        <v>1805</v>
      </c>
      <c r="I420">
        <v>149</v>
      </c>
      <c r="J420">
        <v>20</v>
      </c>
      <c r="K420">
        <v>3</v>
      </c>
      <c r="L420">
        <v>15</v>
      </c>
      <c r="M420" t="s">
        <v>30</v>
      </c>
    </row>
    <row r="421" spans="1:13">
      <c r="A421" t="s">
        <v>451</v>
      </c>
      <c r="B421">
        <v>2024</v>
      </c>
      <c r="C421" t="s">
        <v>13</v>
      </c>
      <c r="D421" t="s">
        <v>35</v>
      </c>
      <c r="E421" t="s">
        <v>42</v>
      </c>
      <c r="F421" t="s">
        <v>21</v>
      </c>
      <c r="G421" t="s">
        <v>25</v>
      </c>
      <c r="H421">
        <v>1857</v>
      </c>
      <c r="I421">
        <v>189</v>
      </c>
      <c r="J421">
        <v>38</v>
      </c>
      <c r="K421">
        <v>5</v>
      </c>
      <c r="L421">
        <v>21</v>
      </c>
      <c r="M421" t="s">
        <v>18</v>
      </c>
    </row>
    <row r="422" spans="1:13">
      <c r="A422" t="s">
        <v>452</v>
      </c>
      <c r="B422">
        <v>2024</v>
      </c>
      <c r="C422" t="s">
        <v>23</v>
      </c>
      <c r="D422" t="s">
        <v>24</v>
      </c>
      <c r="E422" t="s">
        <v>32</v>
      </c>
      <c r="F422" t="s">
        <v>21</v>
      </c>
      <c r="G422" t="s">
        <v>38</v>
      </c>
      <c r="H422">
        <v>1974</v>
      </c>
      <c r="I422">
        <v>8</v>
      </c>
      <c r="J422">
        <v>25</v>
      </c>
      <c r="K422">
        <v>4</v>
      </c>
      <c r="L422">
        <v>65</v>
      </c>
      <c r="M422" t="s">
        <v>30</v>
      </c>
    </row>
    <row r="423" spans="1:13">
      <c r="A423" t="s">
        <v>453</v>
      </c>
      <c r="B423">
        <v>2024</v>
      </c>
      <c r="C423" t="s">
        <v>20</v>
      </c>
      <c r="D423" t="s">
        <v>28</v>
      </c>
      <c r="E423" t="s">
        <v>29</v>
      </c>
      <c r="F423" t="s">
        <v>21</v>
      </c>
      <c r="G423" t="s">
        <v>38</v>
      </c>
      <c r="H423">
        <v>1486</v>
      </c>
      <c r="I423">
        <v>98</v>
      </c>
      <c r="J423">
        <v>31</v>
      </c>
      <c r="K423">
        <v>4</v>
      </c>
      <c r="L423">
        <v>85</v>
      </c>
      <c r="M423" t="s">
        <v>18</v>
      </c>
    </row>
    <row r="424" spans="1:13">
      <c r="A424" t="s">
        <v>454</v>
      </c>
      <c r="B424">
        <v>2024</v>
      </c>
      <c r="C424" t="s">
        <v>23</v>
      </c>
      <c r="D424" t="s">
        <v>37</v>
      </c>
      <c r="E424" t="s">
        <v>32</v>
      </c>
      <c r="F424" t="s">
        <v>16</v>
      </c>
      <c r="G424" t="s">
        <v>25</v>
      </c>
      <c r="H424">
        <v>1030</v>
      </c>
      <c r="I424">
        <v>16</v>
      </c>
      <c r="J424">
        <v>36</v>
      </c>
      <c r="K424">
        <v>5</v>
      </c>
      <c r="L424">
        <v>71</v>
      </c>
      <c r="M424" t="s">
        <v>18</v>
      </c>
    </row>
    <row r="425" spans="1:13">
      <c r="A425" t="s">
        <v>455</v>
      </c>
      <c r="B425">
        <v>2024</v>
      </c>
      <c r="C425" t="s">
        <v>23</v>
      </c>
      <c r="D425" t="s">
        <v>24</v>
      </c>
      <c r="E425" t="s">
        <v>32</v>
      </c>
      <c r="F425" t="s">
        <v>16</v>
      </c>
      <c r="G425" t="s">
        <v>17</v>
      </c>
      <c r="H425">
        <v>1654</v>
      </c>
      <c r="I425">
        <v>138</v>
      </c>
      <c r="J425">
        <v>19</v>
      </c>
      <c r="K425">
        <v>5</v>
      </c>
      <c r="L425">
        <v>13</v>
      </c>
      <c r="M425" t="s">
        <v>18</v>
      </c>
    </row>
    <row r="426" spans="1:13">
      <c r="A426" t="s">
        <v>456</v>
      </c>
      <c r="B426">
        <v>2024</v>
      </c>
      <c r="C426" t="s">
        <v>20</v>
      </c>
      <c r="D426" t="s">
        <v>24</v>
      </c>
      <c r="E426" t="s">
        <v>15</v>
      </c>
      <c r="F426" t="s">
        <v>21</v>
      </c>
      <c r="G426" t="s">
        <v>38</v>
      </c>
      <c r="H426">
        <v>2002</v>
      </c>
      <c r="I426">
        <v>18</v>
      </c>
      <c r="J426">
        <v>57</v>
      </c>
      <c r="K426">
        <v>3</v>
      </c>
      <c r="L426">
        <v>85</v>
      </c>
      <c r="M426" t="s">
        <v>18</v>
      </c>
    </row>
    <row r="427" spans="1:13">
      <c r="A427" t="s">
        <v>457</v>
      </c>
      <c r="B427">
        <v>2024</v>
      </c>
      <c r="C427" t="s">
        <v>20</v>
      </c>
      <c r="D427" t="s">
        <v>24</v>
      </c>
      <c r="E427" t="s">
        <v>29</v>
      </c>
      <c r="F427" t="s">
        <v>21</v>
      </c>
      <c r="G427" t="s">
        <v>25</v>
      </c>
      <c r="H427">
        <v>1244</v>
      </c>
      <c r="I427">
        <v>209</v>
      </c>
      <c r="J427">
        <v>36</v>
      </c>
      <c r="K427">
        <v>5</v>
      </c>
      <c r="L427">
        <v>77</v>
      </c>
      <c r="M427" t="s">
        <v>30</v>
      </c>
    </row>
    <row r="428" spans="1:13">
      <c r="A428" t="s">
        <v>458</v>
      </c>
      <c r="B428">
        <v>2024</v>
      </c>
      <c r="C428" t="s">
        <v>45</v>
      </c>
      <c r="D428" t="s">
        <v>14</v>
      </c>
      <c r="E428" t="s">
        <v>42</v>
      </c>
      <c r="F428" t="s">
        <v>21</v>
      </c>
      <c r="G428" t="s">
        <v>38</v>
      </c>
      <c r="H428">
        <v>1947</v>
      </c>
      <c r="I428">
        <v>127</v>
      </c>
      <c r="J428">
        <v>36</v>
      </c>
      <c r="K428">
        <v>5</v>
      </c>
      <c r="L428">
        <v>19</v>
      </c>
      <c r="M428" t="s">
        <v>18</v>
      </c>
    </row>
    <row r="429" spans="1:13">
      <c r="A429" t="s">
        <v>459</v>
      </c>
      <c r="B429">
        <v>2024</v>
      </c>
      <c r="C429" t="s">
        <v>13</v>
      </c>
      <c r="D429" t="s">
        <v>14</v>
      </c>
      <c r="E429" t="s">
        <v>15</v>
      </c>
      <c r="F429" t="s">
        <v>21</v>
      </c>
      <c r="G429" t="s">
        <v>38</v>
      </c>
      <c r="H429">
        <v>1569</v>
      </c>
      <c r="I429">
        <v>126</v>
      </c>
      <c r="J429">
        <v>36</v>
      </c>
      <c r="K429">
        <v>1</v>
      </c>
      <c r="L429">
        <v>54</v>
      </c>
      <c r="M429" t="s">
        <v>30</v>
      </c>
    </row>
    <row r="430" spans="1:13">
      <c r="A430" t="s">
        <v>460</v>
      </c>
      <c r="B430">
        <v>2024</v>
      </c>
      <c r="C430" t="s">
        <v>20</v>
      </c>
      <c r="D430" t="s">
        <v>35</v>
      </c>
      <c r="E430" t="s">
        <v>15</v>
      </c>
      <c r="F430" t="s">
        <v>16</v>
      </c>
      <c r="G430" t="s">
        <v>25</v>
      </c>
      <c r="H430">
        <v>1342</v>
      </c>
      <c r="I430">
        <v>144</v>
      </c>
      <c r="J430">
        <v>50</v>
      </c>
      <c r="K430">
        <v>5</v>
      </c>
      <c r="L430">
        <v>44</v>
      </c>
      <c r="M430" t="s">
        <v>18</v>
      </c>
    </row>
    <row r="431" spans="1:13">
      <c r="A431" t="s">
        <v>461</v>
      </c>
      <c r="B431">
        <v>2024</v>
      </c>
      <c r="C431" t="s">
        <v>23</v>
      </c>
      <c r="D431" t="s">
        <v>37</v>
      </c>
      <c r="E431" t="s">
        <v>29</v>
      </c>
      <c r="F431" t="s">
        <v>16</v>
      </c>
      <c r="G431" t="s">
        <v>17</v>
      </c>
      <c r="H431">
        <v>1523</v>
      </c>
      <c r="I431">
        <v>176</v>
      </c>
      <c r="J431">
        <v>24</v>
      </c>
      <c r="K431">
        <v>1</v>
      </c>
      <c r="L431">
        <v>88</v>
      </c>
      <c r="M431" t="s">
        <v>18</v>
      </c>
    </row>
    <row r="432" spans="1:13">
      <c r="A432" t="s">
        <v>462</v>
      </c>
      <c r="B432">
        <v>2024</v>
      </c>
      <c r="C432" t="s">
        <v>45</v>
      </c>
      <c r="D432" t="s">
        <v>24</v>
      </c>
      <c r="E432" t="s">
        <v>15</v>
      </c>
      <c r="F432" t="s">
        <v>16</v>
      </c>
      <c r="G432" t="s">
        <v>25</v>
      </c>
      <c r="H432">
        <v>1530</v>
      </c>
      <c r="I432">
        <v>138</v>
      </c>
      <c r="J432">
        <v>32</v>
      </c>
      <c r="K432">
        <v>2</v>
      </c>
      <c r="L432">
        <v>3</v>
      </c>
      <c r="M432" t="s">
        <v>18</v>
      </c>
    </row>
    <row r="433" spans="1:13">
      <c r="A433" t="s">
        <v>463</v>
      </c>
      <c r="B433">
        <v>2024</v>
      </c>
      <c r="C433" t="s">
        <v>13</v>
      </c>
      <c r="D433" t="s">
        <v>24</v>
      </c>
      <c r="E433" t="s">
        <v>42</v>
      </c>
      <c r="F433" t="s">
        <v>21</v>
      </c>
      <c r="G433" t="s">
        <v>25</v>
      </c>
      <c r="H433">
        <v>1229</v>
      </c>
      <c r="I433">
        <v>66</v>
      </c>
      <c r="J433">
        <v>27</v>
      </c>
      <c r="K433">
        <v>1</v>
      </c>
      <c r="L433">
        <v>13</v>
      </c>
      <c r="M433" t="s">
        <v>18</v>
      </c>
    </row>
    <row r="434" spans="1:13">
      <c r="A434" t="s">
        <v>464</v>
      </c>
      <c r="B434">
        <v>2024</v>
      </c>
      <c r="C434" t="s">
        <v>23</v>
      </c>
      <c r="D434" t="s">
        <v>37</v>
      </c>
      <c r="E434" t="s">
        <v>32</v>
      </c>
      <c r="F434" t="s">
        <v>21</v>
      </c>
      <c r="G434" t="s">
        <v>38</v>
      </c>
      <c r="H434">
        <v>959</v>
      </c>
      <c r="I434">
        <v>48</v>
      </c>
      <c r="J434">
        <v>45</v>
      </c>
      <c r="K434">
        <v>2</v>
      </c>
      <c r="L434">
        <v>14</v>
      </c>
      <c r="M434" t="s">
        <v>18</v>
      </c>
    </row>
    <row r="435" spans="1:13">
      <c r="A435" t="s">
        <v>465</v>
      </c>
      <c r="B435">
        <v>2024</v>
      </c>
      <c r="C435" t="s">
        <v>45</v>
      </c>
      <c r="D435" t="s">
        <v>14</v>
      </c>
      <c r="E435" t="s">
        <v>29</v>
      </c>
      <c r="F435" t="s">
        <v>16</v>
      </c>
      <c r="G435" t="s">
        <v>38</v>
      </c>
      <c r="H435">
        <v>1409</v>
      </c>
      <c r="I435">
        <v>94</v>
      </c>
      <c r="J435">
        <v>25</v>
      </c>
      <c r="K435">
        <v>3</v>
      </c>
      <c r="L435">
        <v>81</v>
      </c>
      <c r="M435" t="s">
        <v>18</v>
      </c>
    </row>
    <row r="436" spans="1:13">
      <c r="A436" t="s">
        <v>466</v>
      </c>
      <c r="B436">
        <v>2024</v>
      </c>
      <c r="C436" t="s">
        <v>23</v>
      </c>
      <c r="D436" t="s">
        <v>24</v>
      </c>
      <c r="E436" t="s">
        <v>32</v>
      </c>
      <c r="F436" t="s">
        <v>16</v>
      </c>
      <c r="G436" t="s">
        <v>38</v>
      </c>
      <c r="H436">
        <v>1658</v>
      </c>
      <c r="I436">
        <v>41</v>
      </c>
      <c r="J436">
        <v>57</v>
      </c>
      <c r="K436">
        <v>3</v>
      </c>
      <c r="L436">
        <v>74</v>
      </c>
      <c r="M436" t="s">
        <v>18</v>
      </c>
    </row>
    <row r="437" spans="1:13">
      <c r="A437" t="s">
        <v>467</v>
      </c>
      <c r="B437">
        <v>2024</v>
      </c>
      <c r="C437" t="s">
        <v>23</v>
      </c>
      <c r="D437" t="s">
        <v>35</v>
      </c>
      <c r="E437" t="s">
        <v>32</v>
      </c>
      <c r="F437" t="s">
        <v>21</v>
      </c>
      <c r="G437" t="s">
        <v>17</v>
      </c>
      <c r="H437">
        <v>1456</v>
      </c>
      <c r="I437">
        <v>194</v>
      </c>
      <c r="J437">
        <v>58</v>
      </c>
      <c r="K437">
        <v>4</v>
      </c>
      <c r="L437">
        <v>16</v>
      </c>
      <c r="M437" t="s">
        <v>18</v>
      </c>
    </row>
    <row r="438" spans="1:13">
      <c r="A438" t="s">
        <v>468</v>
      </c>
      <c r="B438">
        <v>2024</v>
      </c>
      <c r="C438" t="s">
        <v>45</v>
      </c>
      <c r="D438" t="s">
        <v>37</v>
      </c>
      <c r="E438" t="s">
        <v>29</v>
      </c>
      <c r="F438" t="s">
        <v>16</v>
      </c>
      <c r="G438" t="s">
        <v>25</v>
      </c>
      <c r="H438">
        <v>910</v>
      </c>
      <c r="I438">
        <v>212</v>
      </c>
      <c r="J438">
        <v>54</v>
      </c>
      <c r="K438">
        <v>3</v>
      </c>
      <c r="L438">
        <v>70</v>
      </c>
      <c r="M438" t="s">
        <v>30</v>
      </c>
    </row>
    <row r="439" spans="1:13">
      <c r="A439" t="s">
        <v>469</v>
      </c>
      <c r="B439">
        <v>2024</v>
      </c>
      <c r="C439" t="s">
        <v>23</v>
      </c>
      <c r="D439" t="s">
        <v>28</v>
      </c>
      <c r="E439" t="s">
        <v>29</v>
      </c>
      <c r="F439" t="s">
        <v>21</v>
      </c>
      <c r="G439" t="s">
        <v>38</v>
      </c>
      <c r="H439">
        <v>1863</v>
      </c>
      <c r="I439">
        <v>53</v>
      </c>
      <c r="J439">
        <v>22</v>
      </c>
      <c r="K439">
        <v>4</v>
      </c>
      <c r="L439">
        <v>36</v>
      </c>
      <c r="M439" t="s">
        <v>30</v>
      </c>
    </row>
    <row r="440" spans="1:13">
      <c r="A440" t="s">
        <v>470</v>
      </c>
      <c r="B440">
        <v>2024</v>
      </c>
      <c r="C440" t="s">
        <v>45</v>
      </c>
      <c r="D440" t="s">
        <v>24</v>
      </c>
      <c r="E440" t="s">
        <v>29</v>
      </c>
      <c r="F440" t="s">
        <v>21</v>
      </c>
      <c r="G440" t="s">
        <v>38</v>
      </c>
      <c r="H440">
        <v>1179</v>
      </c>
      <c r="I440">
        <v>75</v>
      </c>
      <c r="J440">
        <v>22</v>
      </c>
      <c r="K440">
        <v>5</v>
      </c>
      <c r="L440">
        <v>53</v>
      </c>
      <c r="M440" t="s">
        <v>18</v>
      </c>
    </row>
    <row r="441" spans="1:13">
      <c r="A441" t="s">
        <v>471</v>
      </c>
      <c r="B441">
        <v>2024</v>
      </c>
      <c r="C441" t="s">
        <v>23</v>
      </c>
      <c r="D441" t="s">
        <v>28</v>
      </c>
      <c r="E441" t="s">
        <v>32</v>
      </c>
      <c r="F441" t="s">
        <v>16</v>
      </c>
      <c r="G441" t="s">
        <v>38</v>
      </c>
      <c r="H441">
        <v>2046</v>
      </c>
      <c r="I441">
        <v>94</v>
      </c>
      <c r="J441">
        <v>49</v>
      </c>
      <c r="K441">
        <v>2</v>
      </c>
      <c r="L441">
        <v>72</v>
      </c>
      <c r="M441" t="s">
        <v>18</v>
      </c>
    </row>
    <row r="442" spans="1:13">
      <c r="A442" t="s">
        <v>472</v>
      </c>
      <c r="B442">
        <v>2024</v>
      </c>
      <c r="C442" t="s">
        <v>13</v>
      </c>
      <c r="D442" t="s">
        <v>14</v>
      </c>
      <c r="E442" t="s">
        <v>32</v>
      </c>
      <c r="F442" t="s">
        <v>16</v>
      </c>
      <c r="G442" t="s">
        <v>17</v>
      </c>
      <c r="H442">
        <v>1091</v>
      </c>
      <c r="I442">
        <v>32</v>
      </c>
      <c r="J442">
        <v>29</v>
      </c>
      <c r="K442">
        <v>1</v>
      </c>
      <c r="L442">
        <v>60</v>
      </c>
      <c r="M442" t="s">
        <v>18</v>
      </c>
    </row>
    <row r="443" spans="1:13">
      <c r="A443" t="s">
        <v>473</v>
      </c>
      <c r="B443">
        <v>2024</v>
      </c>
      <c r="C443" t="s">
        <v>23</v>
      </c>
      <c r="D443" t="s">
        <v>24</v>
      </c>
      <c r="E443" t="s">
        <v>29</v>
      </c>
      <c r="F443" t="s">
        <v>16</v>
      </c>
      <c r="G443" t="s">
        <v>17</v>
      </c>
      <c r="H443">
        <v>2039</v>
      </c>
      <c r="I443">
        <v>187</v>
      </c>
      <c r="J443">
        <v>59</v>
      </c>
      <c r="K443">
        <v>5</v>
      </c>
      <c r="L443">
        <v>1</v>
      </c>
      <c r="M443" t="s">
        <v>18</v>
      </c>
    </row>
    <row r="444" spans="1:13">
      <c r="A444" t="s">
        <v>474</v>
      </c>
      <c r="B444">
        <v>2024</v>
      </c>
      <c r="C444" t="s">
        <v>13</v>
      </c>
      <c r="D444" t="s">
        <v>28</v>
      </c>
      <c r="E444" t="s">
        <v>29</v>
      </c>
      <c r="F444" t="s">
        <v>21</v>
      </c>
      <c r="G444" t="s">
        <v>38</v>
      </c>
      <c r="H444">
        <v>1594</v>
      </c>
      <c r="I444">
        <v>145</v>
      </c>
      <c r="J444">
        <v>18</v>
      </c>
      <c r="K444">
        <v>2</v>
      </c>
      <c r="L444">
        <v>59</v>
      </c>
      <c r="M444" t="s">
        <v>30</v>
      </c>
    </row>
    <row r="445" spans="1:13">
      <c r="A445" t="s">
        <v>475</v>
      </c>
      <c r="B445">
        <v>2024</v>
      </c>
      <c r="C445" t="s">
        <v>45</v>
      </c>
      <c r="D445" t="s">
        <v>35</v>
      </c>
      <c r="E445" t="s">
        <v>32</v>
      </c>
      <c r="F445" t="s">
        <v>21</v>
      </c>
      <c r="G445" t="s">
        <v>17</v>
      </c>
      <c r="H445">
        <v>1890</v>
      </c>
      <c r="I445">
        <v>210</v>
      </c>
      <c r="J445">
        <v>52</v>
      </c>
      <c r="K445">
        <v>5</v>
      </c>
      <c r="L445">
        <v>70</v>
      </c>
      <c r="M445" t="s">
        <v>18</v>
      </c>
    </row>
    <row r="446" spans="1:13">
      <c r="A446" t="s">
        <v>476</v>
      </c>
      <c r="B446">
        <v>2024</v>
      </c>
      <c r="C446" t="s">
        <v>45</v>
      </c>
      <c r="D446" t="s">
        <v>24</v>
      </c>
      <c r="E446" t="s">
        <v>32</v>
      </c>
      <c r="F446" t="s">
        <v>16</v>
      </c>
      <c r="G446" t="s">
        <v>38</v>
      </c>
      <c r="H446">
        <v>949</v>
      </c>
      <c r="I446">
        <v>23</v>
      </c>
      <c r="J446">
        <v>35</v>
      </c>
      <c r="K446">
        <v>3</v>
      </c>
      <c r="L446">
        <v>65</v>
      </c>
      <c r="M446" t="s">
        <v>18</v>
      </c>
    </row>
    <row r="447" spans="1:13">
      <c r="A447" t="s">
        <v>477</v>
      </c>
      <c r="B447">
        <v>2024</v>
      </c>
      <c r="C447" t="s">
        <v>13</v>
      </c>
      <c r="D447" t="s">
        <v>14</v>
      </c>
      <c r="E447" t="s">
        <v>42</v>
      </c>
      <c r="F447" t="s">
        <v>21</v>
      </c>
      <c r="G447" t="s">
        <v>17</v>
      </c>
      <c r="H447">
        <v>1126</v>
      </c>
      <c r="I447">
        <v>3</v>
      </c>
      <c r="J447">
        <v>24</v>
      </c>
      <c r="K447">
        <v>2</v>
      </c>
      <c r="L447">
        <v>41</v>
      </c>
      <c r="M447" t="s">
        <v>18</v>
      </c>
    </row>
    <row r="448" spans="1:13">
      <c r="A448" t="s">
        <v>478</v>
      </c>
      <c r="B448">
        <v>2024</v>
      </c>
      <c r="C448" t="s">
        <v>20</v>
      </c>
      <c r="D448" t="s">
        <v>35</v>
      </c>
      <c r="E448" t="s">
        <v>29</v>
      </c>
      <c r="F448" t="s">
        <v>16</v>
      </c>
      <c r="G448" t="s">
        <v>17</v>
      </c>
      <c r="H448">
        <v>1027</v>
      </c>
      <c r="I448">
        <v>144</v>
      </c>
      <c r="J448">
        <v>43</v>
      </c>
      <c r="K448">
        <v>3</v>
      </c>
      <c r="L448">
        <v>69</v>
      </c>
      <c r="M448" t="s">
        <v>18</v>
      </c>
    </row>
    <row r="449" spans="1:13">
      <c r="A449" t="s">
        <v>479</v>
      </c>
      <c r="B449">
        <v>2024</v>
      </c>
      <c r="C449" t="s">
        <v>23</v>
      </c>
      <c r="D449" t="s">
        <v>28</v>
      </c>
      <c r="E449" t="s">
        <v>15</v>
      </c>
      <c r="F449" t="s">
        <v>21</v>
      </c>
      <c r="G449" t="s">
        <v>25</v>
      </c>
      <c r="H449">
        <v>1832</v>
      </c>
      <c r="I449">
        <v>139</v>
      </c>
      <c r="J449">
        <v>23</v>
      </c>
      <c r="K449">
        <v>1</v>
      </c>
      <c r="L449">
        <v>22</v>
      </c>
      <c r="M449" t="s">
        <v>18</v>
      </c>
    </row>
    <row r="450" spans="1:13">
      <c r="A450" t="s">
        <v>480</v>
      </c>
      <c r="B450">
        <v>2024</v>
      </c>
      <c r="C450" t="s">
        <v>45</v>
      </c>
      <c r="D450" t="s">
        <v>37</v>
      </c>
      <c r="E450" t="s">
        <v>32</v>
      </c>
      <c r="F450" t="s">
        <v>16</v>
      </c>
      <c r="G450" t="s">
        <v>25</v>
      </c>
      <c r="H450">
        <v>1787</v>
      </c>
      <c r="I450">
        <v>114</v>
      </c>
      <c r="J450">
        <v>31</v>
      </c>
      <c r="K450">
        <v>1</v>
      </c>
      <c r="L450">
        <v>50</v>
      </c>
      <c r="M450" t="s">
        <v>18</v>
      </c>
    </row>
    <row r="451" spans="1:13">
      <c r="A451" t="s">
        <v>481</v>
      </c>
      <c r="B451">
        <v>2024</v>
      </c>
      <c r="C451" t="s">
        <v>20</v>
      </c>
      <c r="D451" t="s">
        <v>28</v>
      </c>
      <c r="E451" t="s">
        <v>29</v>
      </c>
      <c r="F451" t="s">
        <v>21</v>
      </c>
      <c r="G451" t="s">
        <v>25</v>
      </c>
      <c r="H451">
        <v>2029</v>
      </c>
      <c r="I451">
        <v>111</v>
      </c>
      <c r="J451">
        <v>32</v>
      </c>
      <c r="K451">
        <v>1</v>
      </c>
      <c r="L451">
        <v>14</v>
      </c>
      <c r="M451" t="s">
        <v>18</v>
      </c>
    </row>
    <row r="452" spans="1:13">
      <c r="A452" t="s">
        <v>482</v>
      </c>
      <c r="B452">
        <v>2024</v>
      </c>
      <c r="C452" t="s">
        <v>20</v>
      </c>
      <c r="D452" t="s">
        <v>28</v>
      </c>
      <c r="E452" t="s">
        <v>29</v>
      </c>
      <c r="F452" t="s">
        <v>16</v>
      </c>
      <c r="G452" t="s">
        <v>38</v>
      </c>
      <c r="H452">
        <v>1861</v>
      </c>
      <c r="I452">
        <v>138</v>
      </c>
      <c r="J452">
        <v>34</v>
      </c>
      <c r="K452">
        <v>4</v>
      </c>
      <c r="L452">
        <v>18</v>
      </c>
      <c r="M452" t="s">
        <v>30</v>
      </c>
    </row>
    <row r="453" spans="1:13">
      <c r="A453" t="s">
        <v>483</v>
      </c>
      <c r="B453">
        <v>2024</v>
      </c>
      <c r="C453" t="s">
        <v>20</v>
      </c>
      <c r="D453" t="s">
        <v>14</v>
      </c>
      <c r="E453" t="s">
        <v>32</v>
      </c>
      <c r="F453" t="s">
        <v>16</v>
      </c>
      <c r="G453" t="s">
        <v>38</v>
      </c>
      <c r="H453">
        <v>1362</v>
      </c>
      <c r="I453">
        <v>105</v>
      </c>
      <c r="J453">
        <v>54</v>
      </c>
      <c r="K453">
        <v>4</v>
      </c>
      <c r="L453">
        <v>79</v>
      </c>
      <c r="M453" t="s">
        <v>18</v>
      </c>
    </row>
    <row r="454" spans="1:13">
      <c r="A454" t="s">
        <v>484</v>
      </c>
      <c r="B454">
        <v>2024</v>
      </c>
      <c r="C454" t="s">
        <v>20</v>
      </c>
      <c r="D454" t="s">
        <v>24</v>
      </c>
      <c r="E454" t="s">
        <v>15</v>
      </c>
      <c r="F454" t="s">
        <v>16</v>
      </c>
      <c r="G454" t="s">
        <v>17</v>
      </c>
      <c r="H454">
        <v>1152</v>
      </c>
      <c r="I454">
        <v>197</v>
      </c>
      <c r="J454">
        <v>33</v>
      </c>
      <c r="K454">
        <v>3</v>
      </c>
      <c r="L454">
        <v>2</v>
      </c>
      <c r="M454" t="s">
        <v>30</v>
      </c>
    </row>
    <row r="455" spans="1:13">
      <c r="A455" t="s">
        <v>485</v>
      </c>
      <c r="B455">
        <v>2024</v>
      </c>
      <c r="C455" t="s">
        <v>20</v>
      </c>
      <c r="D455" t="s">
        <v>35</v>
      </c>
      <c r="E455" t="s">
        <v>29</v>
      </c>
      <c r="F455" t="s">
        <v>16</v>
      </c>
      <c r="G455" t="s">
        <v>38</v>
      </c>
      <c r="H455">
        <v>1540</v>
      </c>
      <c r="I455">
        <v>213</v>
      </c>
      <c r="J455">
        <v>49</v>
      </c>
      <c r="K455">
        <v>5</v>
      </c>
      <c r="L455">
        <v>27</v>
      </c>
      <c r="M455" t="s">
        <v>18</v>
      </c>
    </row>
    <row r="456" spans="1:13">
      <c r="A456" t="s">
        <v>486</v>
      </c>
      <c r="B456">
        <v>2024</v>
      </c>
      <c r="C456" t="s">
        <v>45</v>
      </c>
      <c r="D456" t="s">
        <v>24</v>
      </c>
      <c r="E456" t="s">
        <v>15</v>
      </c>
      <c r="F456" t="s">
        <v>21</v>
      </c>
      <c r="G456" t="s">
        <v>25</v>
      </c>
      <c r="H456">
        <v>1278</v>
      </c>
      <c r="I456">
        <v>175</v>
      </c>
      <c r="J456">
        <v>61</v>
      </c>
      <c r="K456">
        <v>3</v>
      </c>
      <c r="L456">
        <v>26</v>
      </c>
      <c r="M456" t="s">
        <v>30</v>
      </c>
    </row>
    <row r="457" spans="1:13">
      <c r="A457" t="s">
        <v>487</v>
      </c>
      <c r="B457">
        <v>2024</v>
      </c>
      <c r="C457" t="s">
        <v>23</v>
      </c>
      <c r="D457" t="s">
        <v>14</v>
      </c>
      <c r="E457" t="s">
        <v>15</v>
      </c>
      <c r="F457" t="s">
        <v>16</v>
      </c>
      <c r="G457" t="s">
        <v>25</v>
      </c>
      <c r="H457">
        <v>931</v>
      </c>
      <c r="I457">
        <v>34</v>
      </c>
      <c r="J457">
        <v>37</v>
      </c>
      <c r="K457">
        <v>2</v>
      </c>
      <c r="L457">
        <v>46</v>
      </c>
      <c r="M457" t="s">
        <v>18</v>
      </c>
    </row>
    <row r="458" spans="1:13">
      <c r="A458" t="s">
        <v>488</v>
      </c>
      <c r="B458">
        <v>2024</v>
      </c>
      <c r="C458" t="s">
        <v>13</v>
      </c>
      <c r="D458" t="s">
        <v>24</v>
      </c>
      <c r="E458" t="s">
        <v>29</v>
      </c>
      <c r="F458" t="s">
        <v>21</v>
      </c>
      <c r="G458" t="s">
        <v>38</v>
      </c>
      <c r="H458">
        <v>1571</v>
      </c>
      <c r="I458">
        <v>84</v>
      </c>
      <c r="J458">
        <v>27</v>
      </c>
      <c r="K458">
        <v>5</v>
      </c>
      <c r="L458">
        <v>18</v>
      </c>
      <c r="M458" t="s">
        <v>18</v>
      </c>
    </row>
    <row r="459" spans="1:13">
      <c r="A459" t="s">
        <v>489</v>
      </c>
      <c r="B459">
        <v>2024</v>
      </c>
      <c r="C459" t="s">
        <v>45</v>
      </c>
      <c r="D459" t="s">
        <v>28</v>
      </c>
      <c r="E459" t="s">
        <v>29</v>
      </c>
      <c r="F459" t="s">
        <v>16</v>
      </c>
      <c r="G459" t="s">
        <v>38</v>
      </c>
      <c r="H459">
        <v>1151</v>
      </c>
      <c r="I459">
        <v>135</v>
      </c>
      <c r="J459">
        <v>20</v>
      </c>
      <c r="K459">
        <v>3</v>
      </c>
      <c r="L459">
        <v>87</v>
      </c>
      <c r="M459" t="s">
        <v>18</v>
      </c>
    </row>
    <row r="460" spans="1:13">
      <c r="A460" t="s">
        <v>490</v>
      </c>
      <c r="B460">
        <v>2024</v>
      </c>
      <c r="C460" t="s">
        <v>13</v>
      </c>
      <c r="D460" t="s">
        <v>37</v>
      </c>
      <c r="E460" t="s">
        <v>15</v>
      </c>
      <c r="F460" t="s">
        <v>21</v>
      </c>
      <c r="G460" t="s">
        <v>25</v>
      </c>
      <c r="H460">
        <v>1515</v>
      </c>
      <c r="I460">
        <v>55</v>
      </c>
      <c r="J460">
        <v>51</v>
      </c>
      <c r="K460">
        <v>5</v>
      </c>
      <c r="L460">
        <v>27</v>
      </c>
      <c r="M460" t="s">
        <v>18</v>
      </c>
    </row>
    <row r="461" spans="1:13">
      <c r="A461" t="s">
        <v>491</v>
      </c>
      <c r="B461">
        <v>2024</v>
      </c>
      <c r="C461" t="s">
        <v>20</v>
      </c>
      <c r="D461" t="s">
        <v>14</v>
      </c>
      <c r="E461" t="s">
        <v>42</v>
      </c>
      <c r="F461" t="s">
        <v>21</v>
      </c>
      <c r="G461" t="s">
        <v>38</v>
      </c>
      <c r="H461">
        <v>1592</v>
      </c>
      <c r="I461">
        <v>13</v>
      </c>
      <c r="J461">
        <v>38</v>
      </c>
      <c r="K461">
        <v>3</v>
      </c>
      <c r="L461">
        <v>84</v>
      </c>
      <c r="M461" t="s">
        <v>30</v>
      </c>
    </row>
    <row r="462" spans="1:13">
      <c r="A462" t="s">
        <v>492</v>
      </c>
      <c r="B462">
        <v>2024</v>
      </c>
      <c r="C462" t="s">
        <v>45</v>
      </c>
      <c r="D462" t="s">
        <v>24</v>
      </c>
      <c r="E462" t="s">
        <v>42</v>
      </c>
      <c r="F462" t="s">
        <v>16</v>
      </c>
      <c r="G462" t="s">
        <v>25</v>
      </c>
      <c r="H462">
        <v>2099</v>
      </c>
      <c r="I462">
        <v>118</v>
      </c>
      <c r="J462">
        <v>48</v>
      </c>
      <c r="K462">
        <v>2</v>
      </c>
      <c r="L462">
        <v>37</v>
      </c>
      <c r="M462" t="s">
        <v>18</v>
      </c>
    </row>
    <row r="463" spans="1:13">
      <c r="A463" t="s">
        <v>493</v>
      </c>
      <c r="B463">
        <v>2024</v>
      </c>
      <c r="C463" t="s">
        <v>20</v>
      </c>
      <c r="D463" t="s">
        <v>37</v>
      </c>
      <c r="E463" t="s">
        <v>15</v>
      </c>
      <c r="F463" t="s">
        <v>21</v>
      </c>
      <c r="G463" t="s">
        <v>38</v>
      </c>
      <c r="H463">
        <v>944</v>
      </c>
      <c r="I463">
        <v>135</v>
      </c>
      <c r="J463">
        <v>43</v>
      </c>
      <c r="K463">
        <v>3</v>
      </c>
      <c r="L463">
        <v>52</v>
      </c>
      <c r="M463" t="s">
        <v>18</v>
      </c>
    </row>
    <row r="464" spans="1:13">
      <c r="A464" t="s">
        <v>494</v>
      </c>
      <c r="B464">
        <v>2024</v>
      </c>
      <c r="C464" t="s">
        <v>13</v>
      </c>
      <c r="D464" t="s">
        <v>24</v>
      </c>
      <c r="E464" t="s">
        <v>29</v>
      </c>
      <c r="F464" t="s">
        <v>16</v>
      </c>
      <c r="G464" t="s">
        <v>25</v>
      </c>
      <c r="H464">
        <v>1268</v>
      </c>
      <c r="I464">
        <v>214</v>
      </c>
      <c r="J464">
        <v>50</v>
      </c>
      <c r="K464">
        <v>4</v>
      </c>
      <c r="L464">
        <v>75</v>
      </c>
      <c r="M464" t="s">
        <v>18</v>
      </c>
    </row>
    <row r="465" spans="1:13">
      <c r="A465" t="s">
        <v>495</v>
      </c>
      <c r="B465">
        <v>2024</v>
      </c>
      <c r="C465" t="s">
        <v>23</v>
      </c>
      <c r="D465" t="s">
        <v>24</v>
      </c>
      <c r="E465" t="s">
        <v>42</v>
      </c>
      <c r="F465" t="s">
        <v>16</v>
      </c>
      <c r="G465" t="s">
        <v>25</v>
      </c>
      <c r="H465">
        <v>1149</v>
      </c>
      <c r="I465">
        <v>162</v>
      </c>
      <c r="J465">
        <v>34</v>
      </c>
      <c r="K465">
        <v>2</v>
      </c>
      <c r="L465">
        <v>79</v>
      </c>
      <c r="M465" t="s">
        <v>30</v>
      </c>
    </row>
    <row r="466" spans="1:13">
      <c r="A466" t="s">
        <v>496</v>
      </c>
      <c r="B466">
        <v>2024</v>
      </c>
      <c r="C466" t="s">
        <v>23</v>
      </c>
      <c r="D466" t="s">
        <v>35</v>
      </c>
      <c r="E466" t="s">
        <v>32</v>
      </c>
      <c r="F466" t="s">
        <v>16</v>
      </c>
      <c r="G466" t="s">
        <v>38</v>
      </c>
      <c r="H466">
        <v>1552</v>
      </c>
      <c r="I466">
        <v>227</v>
      </c>
      <c r="J466">
        <v>59</v>
      </c>
      <c r="K466">
        <v>2</v>
      </c>
      <c r="L466">
        <v>88</v>
      </c>
      <c r="M466" t="s">
        <v>30</v>
      </c>
    </row>
    <row r="467" spans="1:13">
      <c r="A467" t="s">
        <v>497</v>
      </c>
      <c r="B467">
        <v>2024</v>
      </c>
      <c r="C467" t="s">
        <v>20</v>
      </c>
      <c r="D467" t="s">
        <v>28</v>
      </c>
      <c r="E467" t="s">
        <v>29</v>
      </c>
      <c r="F467" t="s">
        <v>21</v>
      </c>
      <c r="G467" t="s">
        <v>25</v>
      </c>
      <c r="H467">
        <v>1698</v>
      </c>
      <c r="I467">
        <v>122</v>
      </c>
      <c r="J467">
        <v>56</v>
      </c>
      <c r="K467">
        <v>2</v>
      </c>
      <c r="L467">
        <v>61</v>
      </c>
      <c r="M467" t="s">
        <v>18</v>
      </c>
    </row>
    <row r="468" spans="1:13">
      <c r="A468" t="s">
        <v>498</v>
      </c>
      <c r="B468">
        <v>2024</v>
      </c>
      <c r="C468" t="s">
        <v>23</v>
      </c>
      <c r="D468" t="s">
        <v>35</v>
      </c>
      <c r="E468" t="s">
        <v>32</v>
      </c>
      <c r="F468" t="s">
        <v>16</v>
      </c>
      <c r="G468" t="s">
        <v>17</v>
      </c>
      <c r="H468">
        <v>2032</v>
      </c>
      <c r="I468">
        <v>160</v>
      </c>
      <c r="J468">
        <v>39</v>
      </c>
      <c r="K468">
        <v>4</v>
      </c>
      <c r="L468">
        <v>8</v>
      </c>
      <c r="M468" t="s">
        <v>18</v>
      </c>
    </row>
    <row r="469" spans="1:13">
      <c r="A469" t="s">
        <v>499</v>
      </c>
      <c r="B469">
        <v>2024</v>
      </c>
      <c r="C469" t="s">
        <v>20</v>
      </c>
      <c r="D469" t="s">
        <v>28</v>
      </c>
      <c r="E469" t="s">
        <v>32</v>
      </c>
      <c r="F469" t="s">
        <v>16</v>
      </c>
      <c r="G469" t="s">
        <v>25</v>
      </c>
      <c r="H469">
        <v>1917</v>
      </c>
      <c r="I469">
        <v>77</v>
      </c>
      <c r="J469">
        <v>34</v>
      </c>
      <c r="K469">
        <v>3</v>
      </c>
      <c r="L469">
        <v>50</v>
      </c>
      <c r="M469" t="s">
        <v>18</v>
      </c>
    </row>
    <row r="470" spans="1:13">
      <c r="A470" t="s">
        <v>500</v>
      </c>
      <c r="B470">
        <v>2024</v>
      </c>
      <c r="C470" t="s">
        <v>13</v>
      </c>
      <c r="D470" t="s">
        <v>37</v>
      </c>
      <c r="E470" t="s">
        <v>29</v>
      </c>
      <c r="F470" t="s">
        <v>16</v>
      </c>
      <c r="G470" t="s">
        <v>38</v>
      </c>
      <c r="H470">
        <v>1697</v>
      </c>
      <c r="I470">
        <v>51</v>
      </c>
      <c r="J470">
        <v>20</v>
      </c>
      <c r="K470">
        <v>3</v>
      </c>
      <c r="L470">
        <v>85</v>
      </c>
      <c r="M470" t="s">
        <v>18</v>
      </c>
    </row>
    <row r="471" spans="1:13">
      <c r="A471" t="s">
        <v>501</v>
      </c>
      <c r="B471">
        <v>2024</v>
      </c>
      <c r="C471" t="s">
        <v>23</v>
      </c>
      <c r="D471" t="s">
        <v>24</v>
      </c>
      <c r="E471" t="s">
        <v>32</v>
      </c>
      <c r="F471" t="s">
        <v>16</v>
      </c>
      <c r="G471" t="s">
        <v>25</v>
      </c>
      <c r="H471">
        <v>1071</v>
      </c>
      <c r="I471">
        <v>167</v>
      </c>
      <c r="J471">
        <v>37</v>
      </c>
      <c r="K471">
        <v>3</v>
      </c>
      <c r="L471">
        <v>40</v>
      </c>
      <c r="M471" t="s">
        <v>18</v>
      </c>
    </row>
    <row r="472" spans="1:13">
      <c r="A472" t="s">
        <v>502</v>
      </c>
      <c r="B472">
        <v>2024</v>
      </c>
      <c r="C472" t="s">
        <v>20</v>
      </c>
      <c r="D472" t="s">
        <v>37</v>
      </c>
      <c r="E472" t="s">
        <v>32</v>
      </c>
      <c r="F472" t="s">
        <v>16</v>
      </c>
      <c r="G472" t="s">
        <v>38</v>
      </c>
      <c r="H472">
        <v>1034</v>
      </c>
      <c r="I472">
        <v>249</v>
      </c>
      <c r="J472">
        <v>20</v>
      </c>
      <c r="K472">
        <v>5</v>
      </c>
      <c r="L472">
        <v>71</v>
      </c>
      <c r="M472" t="s">
        <v>18</v>
      </c>
    </row>
    <row r="473" spans="1:13">
      <c r="A473" t="s">
        <v>503</v>
      </c>
      <c r="B473">
        <v>2024</v>
      </c>
      <c r="C473" t="s">
        <v>23</v>
      </c>
      <c r="D473" t="s">
        <v>24</v>
      </c>
      <c r="E473" t="s">
        <v>32</v>
      </c>
      <c r="F473" t="s">
        <v>21</v>
      </c>
      <c r="G473" t="s">
        <v>17</v>
      </c>
      <c r="H473">
        <v>1079</v>
      </c>
      <c r="I473">
        <v>36</v>
      </c>
      <c r="J473">
        <v>28</v>
      </c>
      <c r="K473">
        <v>5</v>
      </c>
      <c r="L473">
        <v>39</v>
      </c>
      <c r="M473" t="s">
        <v>18</v>
      </c>
    </row>
    <row r="474" spans="1:13">
      <c r="A474" t="s">
        <v>504</v>
      </c>
      <c r="B474">
        <v>2024</v>
      </c>
      <c r="C474" t="s">
        <v>20</v>
      </c>
      <c r="D474" t="s">
        <v>35</v>
      </c>
      <c r="E474" t="s">
        <v>29</v>
      </c>
      <c r="F474" t="s">
        <v>21</v>
      </c>
      <c r="G474" t="s">
        <v>38</v>
      </c>
      <c r="H474">
        <v>1452</v>
      </c>
      <c r="I474">
        <v>60</v>
      </c>
      <c r="J474">
        <v>61</v>
      </c>
      <c r="K474">
        <v>3</v>
      </c>
      <c r="L474">
        <v>59</v>
      </c>
      <c r="M474" t="s">
        <v>18</v>
      </c>
    </row>
    <row r="475" spans="1:13">
      <c r="A475" t="s">
        <v>505</v>
      </c>
      <c r="B475">
        <v>2024</v>
      </c>
      <c r="C475" t="s">
        <v>13</v>
      </c>
      <c r="D475" t="s">
        <v>35</v>
      </c>
      <c r="E475" t="s">
        <v>32</v>
      </c>
      <c r="F475" t="s">
        <v>16</v>
      </c>
      <c r="G475" t="s">
        <v>17</v>
      </c>
      <c r="H475">
        <v>1193</v>
      </c>
      <c r="I475">
        <v>56</v>
      </c>
      <c r="J475">
        <v>54</v>
      </c>
      <c r="K475">
        <v>1</v>
      </c>
      <c r="L475">
        <v>77</v>
      </c>
      <c r="M475" t="s">
        <v>18</v>
      </c>
    </row>
    <row r="476" spans="1:13">
      <c r="A476" t="s">
        <v>506</v>
      </c>
      <c r="B476">
        <v>2024</v>
      </c>
      <c r="C476" t="s">
        <v>20</v>
      </c>
      <c r="D476" t="s">
        <v>37</v>
      </c>
      <c r="E476" t="s">
        <v>29</v>
      </c>
      <c r="F476" t="s">
        <v>16</v>
      </c>
      <c r="G476" t="s">
        <v>25</v>
      </c>
      <c r="H476">
        <v>1551</v>
      </c>
      <c r="I476">
        <v>120</v>
      </c>
      <c r="J476">
        <v>22</v>
      </c>
      <c r="K476">
        <v>4</v>
      </c>
      <c r="L476">
        <v>24</v>
      </c>
      <c r="M476" t="s">
        <v>18</v>
      </c>
    </row>
    <row r="477" spans="1:13">
      <c r="A477" t="s">
        <v>507</v>
      </c>
      <c r="B477">
        <v>2024</v>
      </c>
      <c r="C477" t="s">
        <v>13</v>
      </c>
      <c r="D477" t="s">
        <v>24</v>
      </c>
      <c r="E477" t="s">
        <v>29</v>
      </c>
      <c r="F477" t="s">
        <v>21</v>
      </c>
      <c r="G477" t="s">
        <v>38</v>
      </c>
      <c r="H477">
        <v>947</v>
      </c>
      <c r="I477">
        <v>191</v>
      </c>
      <c r="J477">
        <v>34</v>
      </c>
      <c r="K477">
        <v>5</v>
      </c>
      <c r="L477">
        <v>72</v>
      </c>
      <c r="M477" t="s">
        <v>18</v>
      </c>
    </row>
    <row r="478" spans="1:13">
      <c r="A478" t="s">
        <v>508</v>
      </c>
      <c r="B478">
        <v>2024</v>
      </c>
      <c r="C478" t="s">
        <v>13</v>
      </c>
      <c r="D478" t="s">
        <v>14</v>
      </c>
      <c r="E478" t="s">
        <v>42</v>
      </c>
      <c r="F478" t="s">
        <v>16</v>
      </c>
      <c r="G478" t="s">
        <v>38</v>
      </c>
      <c r="H478">
        <v>995</v>
      </c>
      <c r="I478">
        <v>141</v>
      </c>
      <c r="J478">
        <v>23</v>
      </c>
      <c r="K478">
        <v>5</v>
      </c>
      <c r="L478">
        <v>14</v>
      </c>
      <c r="M478" t="s">
        <v>18</v>
      </c>
    </row>
    <row r="479" spans="1:13">
      <c r="A479" t="s">
        <v>509</v>
      </c>
      <c r="B479">
        <v>2024</v>
      </c>
      <c r="C479" t="s">
        <v>23</v>
      </c>
      <c r="D479" t="s">
        <v>28</v>
      </c>
      <c r="E479" t="s">
        <v>32</v>
      </c>
      <c r="F479" t="s">
        <v>16</v>
      </c>
      <c r="G479" t="s">
        <v>25</v>
      </c>
      <c r="H479">
        <v>903</v>
      </c>
      <c r="I479">
        <v>149</v>
      </c>
      <c r="J479">
        <v>60</v>
      </c>
      <c r="K479">
        <v>5</v>
      </c>
      <c r="L479">
        <v>19</v>
      </c>
      <c r="M479" t="s">
        <v>18</v>
      </c>
    </row>
    <row r="480" spans="1:13">
      <c r="A480" t="s">
        <v>510</v>
      </c>
      <c r="B480">
        <v>2024</v>
      </c>
      <c r="C480" t="s">
        <v>45</v>
      </c>
      <c r="D480" t="s">
        <v>28</v>
      </c>
      <c r="E480" t="s">
        <v>29</v>
      </c>
      <c r="F480" t="s">
        <v>16</v>
      </c>
      <c r="G480" t="s">
        <v>25</v>
      </c>
      <c r="H480">
        <v>2042</v>
      </c>
      <c r="I480">
        <v>193</v>
      </c>
      <c r="J480">
        <v>26</v>
      </c>
      <c r="K480">
        <v>4</v>
      </c>
      <c r="L480">
        <v>43</v>
      </c>
      <c r="M480" t="s">
        <v>18</v>
      </c>
    </row>
    <row r="481" spans="1:13">
      <c r="A481" t="s">
        <v>511</v>
      </c>
      <c r="B481">
        <v>2024</v>
      </c>
      <c r="C481" t="s">
        <v>20</v>
      </c>
      <c r="D481" t="s">
        <v>35</v>
      </c>
      <c r="E481" t="s">
        <v>15</v>
      </c>
      <c r="F481" t="s">
        <v>21</v>
      </c>
      <c r="G481" t="s">
        <v>25</v>
      </c>
      <c r="H481">
        <v>1101</v>
      </c>
      <c r="I481">
        <v>99</v>
      </c>
      <c r="J481">
        <v>61</v>
      </c>
      <c r="K481">
        <v>1</v>
      </c>
      <c r="L481">
        <v>55</v>
      </c>
      <c r="M481" t="s">
        <v>18</v>
      </c>
    </row>
    <row r="482" spans="1:13">
      <c r="A482" t="s">
        <v>512</v>
      </c>
      <c r="B482">
        <v>2024</v>
      </c>
      <c r="C482" t="s">
        <v>13</v>
      </c>
      <c r="D482" t="s">
        <v>28</v>
      </c>
      <c r="E482" t="s">
        <v>42</v>
      </c>
      <c r="F482" t="s">
        <v>21</v>
      </c>
      <c r="G482" t="s">
        <v>25</v>
      </c>
      <c r="H482">
        <v>1408</v>
      </c>
      <c r="I482">
        <v>223</v>
      </c>
      <c r="J482">
        <v>49</v>
      </c>
      <c r="K482">
        <v>3</v>
      </c>
      <c r="L482">
        <v>67</v>
      </c>
      <c r="M482" t="s">
        <v>18</v>
      </c>
    </row>
    <row r="483" spans="1:13">
      <c r="A483" t="s">
        <v>513</v>
      </c>
      <c r="B483">
        <v>2024</v>
      </c>
      <c r="C483" t="s">
        <v>45</v>
      </c>
      <c r="D483" t="s">
        <v>35</v>
      </c>
      <c r="E483" t="s">
        <v>29</v>
      </c>
      <c r="F483" t="s">
        <v>16</v>
      </c>
      <c r="G483" t="s">
        <v>17</v>
      </c>
      <c r="H483">
        <v>1395</v>
      </c>
      <c r="I483">
        <v>151</v>
      </c>
      <c r="J483">
        <v>30</v>
      </c>
      <c r="K483">
        <v>2</v>
      </c>
      <c r="L483">
        <v>40</v>
      </c>
      <c r="M483" t="s">
        <v>30</v>
      </c>
    </row>
    <row r="484" spans="1:13">
      <c r="A484" t="s">
        <v>514</v>
      </c>
      <c r="B484">
        <v>2024</v>
      </c>
      <c r="C484" t="s">
        <v>20</v>
      </c>
      <c r="D484" t="s">
        <v>28</v>
      </c>
      <c r="E484" t="s">
        <v>15</v>
      </c>
      <c r="F484" t="s">
        <v>16</v>
      </c>
      <c r="G484" t="s">
        <v>25</v>
      </c>
      <c r="H484">
        <v>1502</v>
      </c>
      <c r="I484">
        <v>181</v>
      </c>
      <c r="J484">
        <v>55</v>
      </c>
      <c r="K484">
        <v>5</v>
      </c>
      <c r="L484">
        <v>55</v>
      </c>
      <c r="M484" t="s">
        <v>18</v>
      </c>
    </row>
    <row r="485" spans="1:13">
      <c r="A485" t="s">
        <v>515</v>
      </c>
      <c r="B485">
        <v>2024</v>
      </c>
      <c r="C485" t="s">
        <v>13</v>
      </c>
      <c r="D485" t="s">
        <v>14</v>
      </c>
      <c r="E485" t="s">
        <v>15</v>
      </c>
      <c r="F485" t="s">
        <v>21</v>
      </c>
      <c r="G485" t="s">
        <v>25</v>
      </c>
      <c r="H485">
        <v>1915</v>
      </c>
      <c r="I485">
        <v>206</v>
      </c>
      <c r="J485">
        <v>20</v>
      </c>
      <c r="K485">
        <v>1</v>
      </c>
      <c r="L485">
        <v>44</v>
      </c>
      <c r="M485" t="s">
        <v>18</v>
      </c>
    </row>
    <row r="486" spans="1:13">
      <c r="A486" t="s">
        <v>516</v>
      </c>
      <c r="B486">
        <v>2024</v>
      </c>
      <c r="C486" t="s">
        <v>23</v>
      </c>
      <c r="D486" t="s">
        <v>37</v>
      </c>
      <c r="E486" t="s">
        <v>32</v>
      </c>
      <c r="F486" t="s">
        <v>21</v>
      </c>
      <c r="G486" t="s">
        <v>25</v>
      </c>
      <c r="H486">
        <v>1376</v>
      </c>
      <c r="I486">
        <v>44</v>
      </c>
      <c r="J486">
        <v>28</v>
      </c>
      <c r="K486">
        <v>1</v>
      </c>
      <c r="L486">
        <v>3</v>
      </c>
      <c r="M486" t="s">
        <v>18</v>
      </c>
    </row>
    <row r="487" spans="1:13">
      <c r="A487" t="s">
        <v>517</v>
      </c>
      <c r="B487">
        <v>2024</v>
      </c>
      <c r="C487" t="s">
        <v>20</v>
      </c>
      <c r="D487" t="s">
        <v>14</v>
      </c>
      <c r="E487" t="s">
        <v>42</v>
      </c>
      <c r="F487" t="s">
        <v>16</v>
      </c>
      <c r="G487" t="s">
        <v>25</v>
      </c>
      <c r="H487">
        <v>1500</v>
      </c>
      <c r="I487">
        <v>205</v>
      </c>
      <c r="J487">
        <v>53</v>
      </c>
      <c r="K487">
        <v>3</v>
      </c>
      <c r="L487">
        <v>43</v>
      </c>
      <c r="M487" t="s">
        <v>30</v>
      </c>
    </row>
    <row r="488" spans="1:13">
      <c r="A488" t="s">
        <v>518</v>
      </c>
      <c r="B488">
        <v>2024</v>
      </c>
      <c r="C488" t="s">
        <v>13</v>
      </c>
      <c r="D488" t="s">
        <v>14</v>
      </c>
      <c r="E488" t="s">
        <v>29</v>
      </c>
      <c r="F488" t="s">
        <v>16</v>
      </c>
      <c r="G488" t="s">
        <v>17</v>
      </c>
      <c r="H488">
        <v>1091</v>
      </c>
      <c r="I488">
        <v>137</v>
      </c>
      <c r="J488">
        <v>35</v>
      </c>
      <c r="K488">
        <v>5</v>
      </c>
      <c r="L488">
        <v>51</v>
      </c>
      <c r="M488" t="s">
        <v>18</v>
      </c>
    </row>
    <row r="489" spans="1:13">
      <c r="A489" t="s">
        <v>519</v>
      </c>
      <c r="B489">
        <v>2024</v>
      </c>
      <c r="C489" t="s">
        <v>20</v>
      </c>
      <c r="D489" t="s">
        <v>35</v>
      </c>
      <c r="E489" t="s">
        <v>29</v>
      </c>
      <c r="F489" t="s">
        <v>16</v>
      </c>
      <c r="G489" t="s">
        <v>17</v>
      </c>
      <c r="H489">
        <v>1257</v>
      </c>
      <c r="I489">
        <v>210</v>
      </c>
      <c r="J489">
        <v>35</v>
      </c>
      <c r="K489">
        <v>5</v>
      </c>
      <c r="L489">
        <v>79</v>
      </c>
      <c r="M489" t="s">
        <v>18</v>
      </c>
    </row>
    <row r="490" spans="1:13">
      <c r="A490" t="s">
        <v>520</v>
      </c>
      <c r="B490">
        <v>2024</v>
      </c>
      <c r="C490" t="s">
        <v>13</v>
      </c>
      <c r="D490" t="s">
        <v>24</v>
      </c>
      <c r="E490" t="s">
        <v>15</v>
      </c>
      <c r="F490" t="s">
        <v>16</v>
      </c>
      <c r="G490" t="s">
        <v>25</v>
      </c>
      <c r="H490">
        <v>1151</v>
      </c>
      <c r="I490">
        <v>238</v>
      </c>
      <c r="J490">
        <v>32</v>
      </c>
      <c r="K490">
        <v>2</v>
      </c>
      <c r="L490">
        <v>51</v>
      </c>
      <c r="M490" t="s">
        <v>18</v>
      </c>
    </row>
    <row r="491" spans="1:13">
      <c r="A491" t="s">
        <v>521</v>
      </c>
      <c r="B491">
        <v>2024</v>
      </c>
      <c r="C491" t="s">
        <v>45</v>
      </c>
      <c r="D491" t="s">
        <v>28</v>
      </c>
      <c r="E491" t="s">
        <v>32</v>
      </c>
      <c r="F491" t="s">
        <v>21</v>
      </c>
      <c r="G491" t="s">
        <v>25</v>
      </c>
      <c r="H491">
        <v>1155</v>
      </c>
      <c r="I491">
        <v>30</v>
      </c>
      <c r="J491">
        <v>30</v>
      </c>
      <c r="K491">
        <v>4</v>
      </c>
      <c r="L491">
        <v>45</v>
      </c>
      <c r="M491" t="s">
        <v>18</v>
      </c>
    </row>
    <row r="492" spans="1:13">
      <c r="A492" t="s">
        <v>522</v>
      </c>
      <c r="B492">
        <v>2024</v>
      </c>
      <c r="C492" t="s">
        <v>20</v>
      </c>
      <c r="D492" t="s">
        <v>35</v>
      </c>
      <c r="E492" t="s">
        <v>42</v>
      </c>
      <c r="F492" t="s">
        <v>21</v>
      </c>
      <c r="G492" t="s">
        <v>25</v>
      </c>
      <c r="H492">
        <v>1596</v>
      </c>
      <c r="I492">
        <v>120</v>
      </c>
      <c r="J492">
        <v>37</v>
      </c>
      <c r="K492">
        <v>5</v>
      </c>
      <c r="L492">
        <v>74</v>
      </c>
      <c r="M492" t="s">
        <v>18</v>
      </c>
    </row>
    <row r="493" spans="1:13">
      <c r="A493" t="s">
        <v>523</v>
      </c>
      <c r="B493">
        <v>2024</v>
      </c>
      <c r="C493" t="s">
        <v>23</v>
      </c>
      <c r="D493" t="s">
        <v>14</v>
      </c>
      <c r="E493" t="s">
        <v>29</v>
      </c>
      <c r="F493" t="s">
        <v>16</v>
      </c>
      <c r="G493" t="s">
        <v>17</v>
      </c>
      <c r="H493">
        <v>1269</v>
      </c>
      <c r="I493">
        <v>90</v>
      </c>
      <c r="J493">
        <v>19</v>
      </c>
      <c r="K493">
        <v>4</v>
      </c>
      <c r="L493">
        <v>65</v>
      </c>
      <c r="M493" t="s">
        <v>18</v>
      </c>
    </row>
    <row r="494" spans="1:13">
      <c r="A494" t="s">
        <v>524</v>
      </c>
      <c r="B494">
        <v>2024</v>
      </c>
      <c r="C494" t="s">
        <v>23</v>
      </c>
      <c r="D494" t="s">
        <v>14</v>
      </c>
      <c r="E494" t="s">
        <v>29</v>
      </c>
      <c r="F494" t="s">
        <v>16</v>
      </c>
      <c r="G494" t="s">
        <v>38</v>
      </c>
      <c r="H494">
        <v>1518</v>
      </c>
      <c r="I494">
        <v>218</v>
      </c>
      <c r="J494">
        <v>33</v>
      </c>
      <c r="K494">
        <v>5</v>
      </c>
      <c r="L494">
        <v>62</v>
      </c>
      <c r="M494" t="s">
        <v>30</v>
      </c>
    </row>
    <row r="495" spans="1:13">
      <c r="A495" t="s">
        <v>525</v>
      </c>
      <c r="B495">
        <v>2024</v>
      </c>
      <c r="C495" t="s">
        <v>20</v>
      </c>
      <c r="D495" t="s">
        <v>35</v>
      </c>
      <c r="E495" t="s">
        <v>29</v>
      </c>
      <c r="F495" t="s">
        <v>16</v>
      </c>
      <c r="G495" t="s">
        <v>17</v>
      </c>
      <c r="H495">
        <v>1906</v>
      </c>
      <c r="I495">
        <v>143</v>
      </c>
      <c r="J495">
        <v>33</v>
      </c>
      <c r="K495">
        <v>4</v>
      </c>
      <c r="L495">
        <v>85</v>
      </c>
      <c r="M495" t="s">
        <v>18</v>
      </c>
    </row>
    <row r="496" spans="1:13">
      <c r="A496" t="s">
        <v>526</v>
      </c>
      <c r="B496">
        <v>2024</v>
      </c>
      <c r="C496" t="s">
        <v>23</v>
      </c>
      <c r="D496" t="s">
        <v>24</v>
      </c>
      <c r="E496" t="s">
        <v>15</v>
      </c>
      <c r="F496" t="s">
        <v>16</v>
      </c>
      <c r="G496" t="s">
        <v>17</v>
      </c>
      <c r="H496">
        <v>1409</v>
      </c>
      <c r="I496">
        <v>121</v>
      </c>
      <c r="J496">
        <v>17</v>
      </c>
      <c r="K496">
        <v>2</v>
      </c>
      <c r="L496">
        <v>77</v>
      </c>
      <c r="M496" t="s">
        <v>30</v>
      </c>
    </row>
    <row r="497" spans="1:13">
      <c r="A497" t="s">
        <v>527</v>
      </c>
      <c r="B497">
        <v>2024</v>
      </c>
      <c r="C497" t="s">
        <v>13</v>
      </c>
      <c r="D497" t="s">
        <v>35</v>
      </c>
      <c r="E497" t="s">
        <v>42</v>
      </c>
      <c r="F497" t="s">
        <v>21</v>
      </c>
      <c r="G497" t="s">
        <v>25</v>
      </c>
      <c r="H497">
        <v>1596</v>
      </c>
      <c r="I497">
        <v>89</v>
      </c>
      <c r="J497">
        <v>19</v>
      </c>
      <c r="K497">
        <v>5</v>
      </c>
      <c r="L497">
        <v>32</v>
      </c>
      <c r="M497" t="s">
        <v>18</v>
      </c>
    </row>
    <row r="498" spans="1:13">
      <c r="A498" t="s">
        <v>528</v>
      </c>
      <c r="B498">
        <v>2024</v>
      </c>
      <c r="C498" t="s">
        <v>13</v>
      </c>
      <c r="D498" t="s">
        <v>35</v>
      </c>
      <c r="E498" t="s">
        <v>42</v>
      </c>
      <c r="F498" t="s">
        <v>21</v>
      </c>
      <c r="G498" t="s">
        <v>38</v>
      </c>
      <c r="H498">
        <v>1356</v>
      </c>
      <c r="I498">
        <v>183</v>
      </c>
      <c r="J498">
        <v>28</v>
      </c>
      <c r="K498">
        <v>4</v>
      </c>
      <c r="L498">
        <v>14</v>
      </c>
      <c r="M498" t="s">
        <v>30</v>
      </c>
    </row>
    <row r="499" spans="1:13">
      <c r="A499" t="s">
        <v>529</v>
      </c>
      <c r="B499">
        <v>2024</v>
      </c>
      <c r="C499" t="s">
        <v>23</v>
      </c>
      <c r="D499" t="s">
        <v>35</v>
      </c>
      <c r="E499" t="s">
        <v>15</v>
      </c>
      <c r="F499" t="s">
        <v>21</v>
      </c>
      <c r="G499" t="s">
        <v>25</v>
      </c>
      <c r="H499">
        <v>1969</v>
      </c>
      <c r="I499">
        <v>245</v>
      </c>
      <c r="J499">
        <v>17</v>
      </c>
      <c r="K499">
        <v>4</v>
      </c>
      <c r="L499">
        <v>45</v>
      </c>
      <c r="M499" t="s">
        <v>18</v>
      </c>
    </row>
    <row r="500" spans="1:13">
      <c r="A500" t="s">
        <v>530</v>
      </c>
      <c r="B500">
        <v>2024</v>
      </c>
      <c r="C500" t="s">
        <v>20</v>
      </c>
      <c r="D500" t="s">
        <v>28</v>
      </c>
      <c r="E500" t="s">
        <v>29</v>
      </c>
      <c r="F500" t="s">
        <v>21</v>
      </c>
      <c r="G500" t="s">
        <v>25</v>
      </c>
      <c r="H500">
        <v>1197</v>
      </c>
      <c r="I500">
        <v>207</v>
      </c>
      <c r="J500">
        <v>63</v>
      </c>
      <c r="K500">
        <v>2</v>
      </c>
      <c r="L500">
        <v>67</v>
      </c>
      <c r="M500" t="s">
        <v>18</v>
      </c>
    </row>
    <row r="501" spans="1:13">
      <c r="A501" t="s">
        <v>531</v>
      </c>
      <c r="B501">
        <v>2024</v>
      </c>
      <c r="C501" t="s">
        <v>20</v>
      </c>
      <c r="D501" t="s">
        <v>24</v>
      </c>
      <c r="E501" t="s">
        <v>32</v>
      </c>
      <c r="F501" t="s">
        <v>21</v>
      </c>
      <c r="G501" t="s">
        <v>38</v>
      </c>
      <c r="H501">
        <v>1379</v>
      </c>
      <c r="I501">
        <v>37</v>
      </c>
      <c r="J501">
        <v>42</v>
      </c>
      <c r="K501">
        <v>5</v>
      </c>
      <c r="L501">
        <v>20</v>
      </c>
      <c r="M501" t="s">
        <v>18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A1FFF-3A61-444E-BA72-482C8859C023}">
  <dimension ref="AB42"/>
  <sheetViews>
    <sheetView showGridLines="0" tabSelected="1" zoomScale="64" zoomScaleNormal="64" workbookViewId="0">
      <selection activeCell="AF8" sqref="AF8"/>
    </sheetView>
  </sheetViews>
  <sheetFormatPr defaultRowHeight="14.25"/>
  <sheetData>
    <row r="42" spans="28:28">
      <c r="AB42">
        <v>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8"/>
  <sheetViews>
    <sheetView showGridLines="0" workbookViewId="0"/>
  </sheetViews>
  <sheetFormatPr defaultRowHeight="14.25"/>
  <cols>
    <col min="1" max="1" width="110" customWidth="1"/>
  </cols>
  <sheetData>
    <row r="1" spans="1:1" ht="35.1" customHeight="1">
      <c r="A1" s="2" t="s">
        <v>532</v>
      </c>
    </row>
    <row r="3" spans="1:1">
      <c r="A3" t="s">
        <v>533</v>
      </c>
    </row>
    <row r="5" spans="1:1">
      <c r="A5" t="s">
        <v>534</v>
      </c>
    </row>
    <row r="7" spans="1:1">
      <c r="A7" t="s">
        <v>535</v>
      </c>
    </row>
    <row r="8" spans="1:1">
      <c r="A8" t="s">
        <v>536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Headcount by Department &amp; State</vt:lpstr>
      <vt:lpstr> Overtime by Department &amp; Emplo</vt:lpstr>
      <vt:lpstr>Performance by Year &amp; Dept</vt:lpstr>
      <vt:lpstr>Hours &amp; Pay by Department</vt:lpstr>
      <vt:lpstr>Headcount by department</vt:lpstr>
      <vt:lpstr>Sheet1</vt:lpstr>
      <vt:lpstr>Data</vt:lpstr>
      <vt:lpstr>Dashboard chart</vt:lpstr>
      <vt:lpstr>Read 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tolulope Samuel</dc:creator>
  <cp:lastModifiedBy>tolulope Samuel</cp:lastModifiedBy>
  <dcterms:created xsi:type="dcterms:W3CDTF">2026-09-25T01:41:07Z</dcterms:created>
  <dcterms:modified xsi:type="dcterms:W3CDTF">2026-10-19T15:32:17Z</dcterms:modified>
</cp:coreProperties>
</file>