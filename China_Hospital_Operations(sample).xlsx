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showInkAnnotation="0" hidePivotFieldList="1"/>
  <mc:AlternateContent xmlns:mc="http://schemas.openxmlformats.org/markup-compatibility/2006">
    <mc:Choice Requires="x15">
      <x15ac:absPath xmlns:x15ac="http://schemas.microsoft.com/office/spreadsheetml/2010/11/ac" url="C:\Users\bukol\Downloads\"/>
    </mc:Choice>
  </mc:AlternateContent>
  <xr:revisionPtr revIDLastSave="0" documentId="8_{5BC3CF3A-9C76-4368-8344-C9919A75CFF4}" xr6:coauthVersionLast="47" xr6:coauthVersionMax="47" xr10:uidLastSave="{00000000-0000-0000-0000-000000000000}"/>
  <bookViews>
    <workbookView xWindow="-120" yWindow="-120" windowWidth="29040" windowHeight="15840" activeTab="4" xr2:uid="{00000000-000D-0000-FFFF-FFFF00000000}"/>
  </bookViews>
  <sheets>
    <sheet name="Patient Visit by Province" sheetId="4" r:id="rId1"/>
    <sheet name="Wait Time by Hospital" sheetId="5" r:id="rId2"/>
    <sheet name="Patient Satisfaction" sheetId="6" r:id="rId3"/>
    <sheet name="Treatment Cost &amp; Lenght of stay" sheetId="7" r:id="rId4"/>
    <sheet name="Dashboard " sheetId="9" r:id="rId5"/>
    <sheet name="METRICS" sheetId="10" r:id="rId6"/>
    <sheet name="Patient Visits by Province" sheetId="8" r:id="rId7"/>
    <sheet name="Data" sheetId="1" r:id="rId8"/>
    <sheet name="Read Me" sheetId="2" r:id="rId9"/>
  </sheets>
  <definedNames>
    <definedName name="Slicer_Department">#N/A</definedName>
    <definedName name="Slicer_Hospital">#N/A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0" l="1"/>
  <c r="A36" i="6"/>
  <c r="A35" i="7"/>
  <c r="E2" i="7"/>
  <c r="D2" i="4"/>
  <c r="D4" i="10"/>
  <c r="D3" i="10"/>
  <c r="D2" i="10"/>
  <c r="E3" i="10" l="1"/>
  <c r="E4" i="10"/>
  <c r="E5" i="10"/>
</calcChain>
</file>

<file path=xl/sharedStrings.xml><?xml version="1.0" encoding="utf-8"?>
<sst xmlns="http://schemas.openxmlformats.org/spreadsheetml/2006/main" count="3573" uniqueCount="549">
  <si>
    <t>Visit ID</t>
  </si>
  <si>
    <t>Visit Date</t>
  </si>
  <si>
    <t>Province</t>
  </si>
  <si>
    <t>Hospital</t>
  </si>
  <si>
    <t>Department</t>
  </si>
  <si>
    <t>Visit Type</t>
  </si>
  <si>
    <t>Age Group</t>
  </si>
  <si>
    <t>Wait Minutes</t>
  </si>
  <si>
    <t>Length of Stay (Days)</t>
  </si>
  <si>
    <t>Patient Satisfaction (1-5)</t>
  </si>
  <si>
    <t>Treatment Cost (CNY)</t>
  </si>
  <si>
    <t>Readmitted Within 30 Days</t>
  </si>
  <si>
    <t>02-0001</t>
  </si>
  <si>
    <t>Guangdong</t>
  </si>
  <si>
    <t>Guangzhou Health Centre</t>
  </si>
  <si>
    <t>Orthopedics</t>
  </si>
  <si>
    <t>Outpatient</t>
  </si>
  <si>
    <t>75+</t>
  </si>
  <si>
    <t>Yes</t>
  </si>
  <si>
    <t>02-0002</t>
  </si>
  <si>
    <t>Zhejiang</t>
  </si>
  <si>
    <t>Hangzhou General</t>
  </si>
  <si>
    <t>General Medicine</t>
  </si>
  <si>
    <t>Emergency</t>
  </si>
  <si>
    <t>55-74</t>
  </si>
  <si>
    <t>02-0003</t>
  </si>
  <si>
    <t>Sichuan</t>
  </si>
  <si>
    <t>Chengdu Medical</t>
  </si>
  <si>
    <t>No</t>
  </si>
  <si>
    <t>02-0004</t>
  </si>
  <si>
    <t>35-54</t>
  </si>
  <si>
    <t>02-0005</t>
  </si>
  <si>
    <t>Beijing</t>
  </si>
  <si>
    <t>Beijing City Hospital</t>
  </si>
  <si>
    <t>Cardiology</t>
  </si>
  <si>
    <t>Inpatient</t>
  </si>
  <si>
    <t>18-34</t>
  </si>
  <si>
    <t>02-0006</t>
  </si>
  <si>
    <t>02-0007</t>
  </si>
  <si>
    <t>02-0008</t>
  </si>
  <si>
    <t>0-17</t>
  </si>
  <si>
    <t>02-0009</t>
  </si>
  <si>
    <t>02-0010</t>
  </si>
  <si>
    <t>02-0011</t>
  </si>
  <si>
    <t>Shanghai</t>
  </si>
  <si>
    <t>Shanghai Central</t>
  </si>
  <si>
    <t>02-0012</t>
  </si>
  <si>
    <t>02-0013</t>
  </si>
  <si>
    <t>02-0014</t>
  </si>
  <si>
    <t>02-0015</t>
  </si>
  <si>
    <t>02-0016</t>
  </si>
  <si>
    <t>Pediatrics</t>
  </si>
  <si>
    <t>02-0017</t>
  </si>
  <si>
    <t>02-0018</t>
  </si>
  <si>
    <t>02-0019</t>
  </si>
  <si>
    <t>02-0020</t>
  </si>
  <si>
    <t>02-0021</t>
  </si>
  <si>
    <t>02-0022</t>
  </si>
  <si>
    <t>02-0023</t>
  </si>
  <si>
    <t>02-0024</t>
  </si>
  <si>
    <t>02-0025</t>
  </si>
  <si>
    <t>02-0026</t>
  </si>
  <si>
    <t>02-0027</t>
  </si>
  <si>
    <t>02-0028</t>
  </si>
  <si>
    <t>02-0029</t>
  </si>
  <si>
    <t>02-0030</t>
  </si>
  <si>
    <t>02-0031</t>
  </si>
  <si>
    <t>02-0032</t>
  </si>
  <si>
    <t>02-0033</t>
  </si>
  <si>
    <t>02-0034</t>
  </si>
  <si>
    <t>02-0035</t>
  </si>
  <si>
    <t>02-0036</t>
  </si>
  <si>
    <t>02-0037</t>
  </si>
  <si>
    <t>02-0038</t>
  </si>
  <si>
    <t>02-0039</t>
  </si>
  <si>
    <t>02-0040</t>
  </si>
  <si>
    <t>02-0041</t>
  </si>
  <si>
    <t>02-0042</t>
  </si>
  <si>
    <t>02-0043</t>
  </si>
  <si>
    <t>02-0044</t>
  </si>
  <si>
    <t>02-0045</t>
  </si>
  <si>
    <t>02-0046</t>
  </si>
  <si>
    <t>02-0047</t>
  </si>
  <si>
    <t>02-0048</t>
  </si>
  <si>
    <t>02-0049</t>
  </si>
  <si>
    <t>02-0050</t>
  </si>
  <si>
    <t>02-0051</t>
  </si>
  <si>
    <t>02-0052</t>
  </si>
  <si>
    <t>02-0053</t>
  </si>
  <si>
    <t>02-0054</t>
  </si>
  <si>
    <t>02-0055</t>
  </si>
  <si>
    <t>02-0056</t>
  </si>
  <si>
    <t>02-0057</t>
  </si>
  <si>
    <t>02-0058</t>
  </si>
  <si>
    <t>02-0059</t>
  </si>
  <si>
    <t>02-0060</t>
  </si>
  <si>
    <t>02-0061</t>
  </si>
  <si>
    <t>02-0062</t>
  </si>
  <si>
    <t>02-0063</t>
  </si>
  <si>
    <t>02-0064</t>
  </si>
  <si>
    <t>02-0065</t>
  </si>
  <si>
    <t>02-0066</t>
  </si>
  <si>
    <t>02-0067</t>
  </si>
  <si>
    <t>02-0068</t>
  </si>
  <si>
    <t>02-0069</t>
  </si>
  <si>
    <t>02-0070</t>
  </si>
  <si>
    <t>02-0071</t>
  </si>
  <si>
    <t>02-0072</t>
  </si>
  <si>
    <t>02-0073</t>
  </si>
  <si>
    <t>02-0074</t>
  </si>
  <si>
    <t>02-0075</t>
  </si>
  <si>
    <t>02-0076</t>
  </si>
  <si>
    <t>02-0077</t>
  </si>
  <si>
    <t>02-0078</t>
  </si>
  <si>
    <t>02-0079</t>
  </si>
  <si>
    <t>02-0080</t>
  </si>
  <si>
    <t>02-0081</t>
  </si>
  <si>
    <t>02-0082</t>
  </si>
  <si>
    <t>02-0083</t>
  </si>
  <si>
    <t>02-0084</t>
  </si>
  <si>
    <t>02-0085</t>
  </si>
  <si>
    <t>02-0086</t>
  </si>
  <si>
    <t>02-0087</t>
  </si>
  <si>
    <t>02-0088</t>
  </si>
  <si>
    <t>02-0089</t>
  </si>
  <si>
    <t>02-0090</t>
  </si>
  <si>
    <t>02-0091</t>
  </si>
  <si>
    <t>02-0092</t>
  </si>
  <si>
    <t>02-0093</t>
  </si>
  <si>
    <t>02-0094</t>
  </si>
  <si>
    <t>02-0095</t>
  </si>
  <si>
    <t>02-0096</t>
  </si>
  <si>
    <t>02-0097</t>
  </si>
  <si>
    <t>02-0098</t>
  </si>
  <si>
    <t>02-0099</t>
  </si>
  <si>
    <t>02-0100</t>
  </si>
  <si>
    <t>02-0101</t>
  </si>
  <si>
    <t>02-0102</t>
  </si>
  <si>
    <t>02-0103</t>
  </si>
  <si>
    <t>02-0104</t>
  </si>
  <si>
    <t>02-0105</t>
  </si>
  <si>
    <t>02-0106</t>
  </si>
  <si>
    <t>02-0107</t>
  </si>
  <si>
    <t>02-0108</t>
  </si>
  <si>
    <t>02-0109</t>
  </si>
  <si>
    <t>02-0110</t>
  </si>
  <si>
    <t>02-0111</t>
  </si>
  <si>
    <t>02-0112</t>
  </si>
  <si>
    <t>02-0113</t>
  </si>
  <si>
    <t>02-0114</t>
  </si>
  <si>
    <t>02-0115</t>
  </si>
  <si>
    <t>02-0116</t>
  </si>
  <si>
    <t>02-0117</t>
  </si>
  <si>
    <t>02-0118</t>
  </si>
  <si>
    <t>02-0119</t>
  </si>
  <si>
    <t>02-0120</t>
  </si>
  <si>
    <t>02-0121</t>
  </si>
  <si>
    <t>02-0122</t>
  </si>
  <si>
    <t>02-0123</t>
  </si>
  <si>
    <t>02-0124</t>
  </si>
  <si>
    <t>02-0125</t>
  </si>
  <si>
    <t>02-0126</t>
  </si>
  <si>
    <t>02-0127</t>
  </si>
  <si>
    <t>02-0128</t>
  </si>
  <si>
    <t>02-0129</t>
  </si>
  <si>
    <t>02-0130</t>
  </si>
  <si>
    <t>02-0131</t>
  </si>
  <si>
    <t>02-0132</t>
  </si>
  <si>
    <t>02-0133</t>
  </si>
  <si>
    <t>02-0134</t>
  </si>
  <si>
    <t>02-0135</t>
  </si>
  <si>
    <t>02-0136</t>
  </si>
  <si>
    <t>02-0137</t>
  </si>
  <si>
    <t>02-0138</t>
  </si>
  <si>
    <t>02-0139</t>
  </si>
  <si>
    <t>02-0140</t>
  </si>
  <si>
    <t>02-0141</t>
  </si>
  <si>
    <t>02-0142</t>
  </si>
  <si>
    <t>02-0143</t>
  </si>
  <si>
    <t>02-0144</t>
  </si>
  <si>
    <t>02-0145</t>
  </si>
  <si>
    <t>02-0146</t>
  </si>
  <si>
    <t>02-0147</t>
  </si>
  <si>
    <t>02-0148</t>
  </si>
  <si>
    <t>02-0149</t>
  </si>
  <si>
    <t>02-0150</t>
  </si>
  <si>
    <t>02-0151</t>
  </si>
  <si>
    <t>02-0152</t>
  </si>
  <si>
    <t>02-0153</t>
  </si>
  <si>
    <t>02-0154</t>
  </si>
  <si>
    <t>02-0155</t>
  </si>
  <si>
    <t>02-0156</t>
  </si>
  <si>
    <t>02-0157</t>
  </si>
  <si>
    <t>02-0158</t>
  </si>
  <si>
    <t>02-0159</t>
  </si>
  <si>
    <t>02-0160</t>
  </si>
  <si>
    <t>02-0161</t>
  </si>
  <si>
    <t>02-0162</t>
  </si>
  <si>
    <t>02-0163</t>
  </si>
  <si>
    <t>02-0164</t>
  </si>
  <si>
    <t>02-0165</t>
  </si>
  <si>
    <t>02-0166</t>
  </si>
  <si>
    <t>02-0167</t>
  </si>
  <si>
    <t>02-0168</t>
  </si>
  <si>
    <t>02-0169</t>
  </si>
  <si>
    <t>02-0170</t>
  </si>
  <si>
    <t>02-0171</t>
  </si>
  <si>
    <t>02-0172</t>
  </si>
  <si>
    <t>02-0173</t>
  </si>
  <si>
    <t>02-0174</t>
  </si>
  <si>
    <t>02-0175</t>
  </si>
  <si>
    <t>02-0176</t>
  </si>
  <si>
    <t>02-0177</t>
  </si>
  <si>
    <t>02-0178</t>
  </si>
  <si>
    <t>02-0179</t>
  </si>
  <si>
    <t>02-0180</t>
  </si>
  <si>
    <t>02-0181</t>
  </si>
  <si>
    <t>02-0182</t>
  </si>
  <si>
    <t>02-0183</t>
  </si>
  <si>
    <t>02-0184</t>
  </si>
  <si>
    <t>02-0185</t>
  </si>
  <si>
    <t>02-0186</t>
  </si>
  <si>
    <t>02-0187</t>
  </si>
  <si>
    <t>02-0188</t>
  </si>
  <si>
    <t>02-0189</t>
  </si>
  <si>
    <t>02-0190</t>
  </si>
  <si>
    <t>02-0191</t>
  </si>
  <si>
    <t>02-0192</t>
  </si>
  <si>
    <t>02-0193</t>
  </si>
  <si>
    <t>02-0194</t>
  </si>
  <si>
    <t>02-0195</t>
  </si>
  <si>
    <t>02-0196</t>
  </si>
  <si>
    <t>02-0197</t>
  </si>
  <si>
    <t>02-0198</t>
  </si>
  <si>
    <t>02-0199</t>
  </si>
  <si>
    <t>02-0200</t>
  </si>
  <si>
    <t>02-0201</t>
  </si>
  <si>
    <t>02-0202</t>
  </si>
  <si>
    <t>02-0203</t>
  </si>
  <si>
    <t>02-0204</t>
  </si>
  <si>
    <t>02-0205</t>
  </si>
  <si>
    <t>02-0206</t>
  </si>
  <si>
    <t>02-0207</t>
  </si>
  <si>
    <t>02-0208</t>
  </si>
  <si>
    <t>02-0209</t>
  </si>
  <si>
    <t>02-0210</t>
  </si>
  <si>
    <t>02-0211</t>
  </si>
  <si>
    <t>02-0212</t>
  </si>
  <si>
    <t>02-0213</t>
  </si>
  <si>
    <t>02-0214</t>
  </si>
  <si>
    <t>02-0215</t>
  </si>
  <si>
    <t>02-0216</t>
  </si>
  <si>
    <t>02-0217</t>
  </si>
  <si>
    <t>02-0218</t>
  </si>
  <si>
    <t>02-0219</t>
  </si>
  <si>
    <t>02-0220</t>
  </si>
  <si>
    <t>02-0221</t>
  </si>
  <si>
    <t>02-0222</t>
  </si>
  <si>
    <t>02-0223</t>
  </si>
  <si>
    <t>02-0224</t>
  </si>
  <si>
    <t>02-0225</t>
  </si>
  <si>
    <t>02-0226</t>
  </si>
  <si>
    <t>02-0227</t>
  </si>
  <si>
    <t>02-0228</t>
  </si>
  <si>
    <t>02-0229</t>
  </si>
  <si>
    <t>02-0230</t>
  </si>
  <si>
    <t>02-0231</t>
  </si>
  <si>
    <t>02-0232</t>
  </si>
  <si>
    <t>02-0233</t>
  </si>
  <si>
    <t>02-0234</t>
  </si>
  <si>
    <t>02-0235</t>
  </si>
  <si>
    <t>02-0236</t>
  </si>
  <si>
    <t>02-0237</t>
  </si>
  <si>
    <t>02-0238</t>
  </si>
  <si>
    <t>02-0239</t>
  </si>
  <si>
    <t>02-0240</t>
  </si>
  <si>
    <t>02-0241</t>
  </si>
  <si>
    <t>02-0242</t>
  </si>
  <si>
    <t>02-0243</t>
  </si>
  <si>
    <t>02-0244</t>
  </si>
  <si>
    <t>02-0245</t>
  </si>
  <si>
    <t>02-0246</t>
  </si>
  <si>
    <t>02-0247</t>
  </si>
  <si>
    <t>02-0248</t>
  </si>
  <si>
    <t>02-0249</t>
  </si>
  <si>
    <t>02-0250</t>
  </si>
  <si>
    <t>02-0251</t>
  </si>
  <si>
    <t>02-0252</t>
  </si>
  <si>
    <t>02-0253</t>
  </si>
  <si>
    <t>02-0254</t>
  </si>
  <si>
    <t>02-0255</t>
  </si>
  <si>
    <t>02-0256</t>
  </si>
  <si>
    <t>02-0257</t>
  </si>
  <si>
    <t>02-0258</t>
  </si>
  <si>
    <t>02-0259</t>
  </si>
  <si>
    <t>02-0260</t>
  </si>
  <si>
    <t>02-0261</t>
  </si>
  <si>
    <t>02-0262</t>
  </si>
  <si>
    <t>02-0263</t>
  </si>
  <si>
    <t>02-0264</t>
  </si>
  <si>
    <t>02-0265</t>
  </si>
  <si>
    <t>02-0266</t>
  </si>
  <si>
    <t>02-0267</t>
  </si>
  <si>
    <t>02-0268</t>
  </si>
  <si>
    <t>02-0269</t>
  </si>
  <si>
    <t>02-0270</t>
  </si>
  <si>
    <t>02-0271</t>
  </si>
  <si>
    <t>02-0272</t>
  </si>
  <si>
    <t>02-0273</t>
  </si>
  <si>
    <t>02-0274</t>
  </si>
  <si>
    <t>02-0275</t>
  </si>
  <si>
    <t>02-0276</t>
  </si>
  <si>
    <t>02-0277</t>
  </si>
  <si>
    <t>02-0278</t>
  </si>
  <si>
    <t>02-0279</t>
  </si>
  <si>
    <t>02-0280</t>
  </si>
  <si>
    <t>02-0281</t>
  </si>
  <si>
    <t>02-0282</t>
  </si>
  <si>
    <t>02-0283</t>
  </si>
  <si>
    <t>02-0284</t>
  </si>
  <si>
    <t>02-0285</t>
  </si>
  <si>
    <t>02-0286</t>
  </si>
  <si>
    <t>02-0287</t>
  </si>
  <si>
    <t>02-0288</t>
  </si>
  <si>
    <t>02-0289</t>
  </si>
  <si>
    <t>02-0290</t>
  </si>
  <si>
    <t>02-0291</t>
  </si>
  <si>
    <t>02-0292</t>
  </si>
  <si>
    <t>02-0293</t>
  </si>
  <si>
    <t>02-0294</t>
  </si>
  <si>
    <t>02-0295</t>
  </si>
  <si>
    <t>02-0296</t>
  </si>
  <si>
    <t>02-0297</t>
  </si>
  <si>
    <t>02-0298</t>
  </si>
  <si>
    <t>02-0299</t>
  </si>
  <si>
    <t>02-0300</t>
  </si>
  <si>
    <t>02-0301</t>
  </si>
  <si>
    <t>02-0302</t>
  </si>
  <si>
    <t>02-0303</t>
  </si>
  <si>
    <t>02-0304</t>
  </si>
  <si>
    <t>02-0305</t>
  </si>
  <si>
    <t>02-0306</t>
  </si>
  <si>
    <t>02-0307</t>
  </si>
  <si>
    <t>02-0308</t>
  </si>
  <si>
    <t>02-0309</t>
  </si>
  <si>
    <t>02-0310</t>
  </si>
  <si>
    <t>02-0311</t>
  </si>
  <si>
    <t>02-0312</t>
  </si>
  <si>
    <t>02-0313</t>
  </si>
  <si>
    <t>02-0314</t>
  </si>
  <si>
    <t>02-0315</t>
  </si>
  <si>
    <t>02-0316</t>
  </si>
  <si>
    <t>02-0317</t>
  </si>
  <si>
    <t>02-0318</t>
  </si>
  <si>
    <t>02-0319</t>
  </si>
  <si>
    <t>02-0320</t>
  </si>
  <si>
    <t>02-0321</t>
  </si>
  <si>
    <t>02-0322</t>
  </si>
  <si>
    <t>02-0323</t>
  </si>
  <si>
    <t>02-0324</t>
  </si>
  <si>
    <t>02-0325</t>
  </si>
  <si>
    <t>02-0326</t>
  </si>
  <si>
    <t>02-0327</t>
  </si>
  <si>
    <t>02-0328</t>
  </si>
  <si>
    <t>02-0329</t>
  </si>
  <si>
    <t>02-0330</t>
  </si>
  <si>
    <t>02-0331</t>
  </si>
  <si>
    <t>02-0332</t>
  </si>
  <si>
    <t>02-0333</t>
  </si>
  <si>
    <t>02-0334</t>
  </si>
  <si>
    <t>02-0335</t>
  </si>
  <si>
    <t>02-0336</t>
  </si>
  <si>
    <t>02-0337</t>
  </si>
  <si>
    <t>02-0338</t>
  </si>
  <si>
    <t>02-0339</t>
  </si>
  <si>
    <t>02-0340</t>
  </si>
  <si>
    <t>02-0341</t>
  </si>
  <si>
    <t>02-0342</t>
  </si>
  <si>
    <t>02-0343</t>
  </si>
  <si>
    <t>02-0344</t>
  </si>
  <si>
    <t>02-0345</t>
  </si>
  <si>
    <t>02-0346</t>
  </si>
  <si>
    <t>02-0347</t>
  </si>
  <si>
    <t>02-0348</t>
  </si>
  <si>
    <t>02-0349</t>
  </si>
  <si>
    <t>02-0350</t>
  </si>
  <si>
    <t>02-0351</t>
  </si>
  <si>
    <t>02-0352</t>
  </si>
  <si>
    <t>02-0353</t>
  </si>
  <si>
    <t>02-0354</t>
  </si>
  <si>
    <t>02-0355</t>
  </si>
  <si>
    <t>02-0356</t>
  </si>
  <si>
    <t>02-0357</t>
  </si>
  <si>
    <t>02-0358</t>
  </si>
  <si>
    <t>02-0359</t>
  </si>
  <si>
    <t>02-0360</t>
  </si>
  <si>
    <t>02-0361</t>
  </si>
  <si>
    <t>02-0362</t>
  </si>
  <si>
    <t>02-0363</t>
  </si>
  <si>
    <t>02-0364</t>
  </si>
  <si>
    <t>02-0365</t>
  </si>
  <si>
    <t>02-0366</t>
  </si>
  <si>
    <t>02-0367</t>
  </si>
  <si>
    <t>02-0368</t>
  </si>
  <si>
    <t>02-0369</t>
  </si>
  <si>
    <t>02-0370</t>
  </si>
  <si>
    <t>02-0371</t>
  </si>
  <si>
    <t>02-0372</t>
  </si>
  <si>
    <t>02-0373</t>
  </si>
  <si>
    <t>02-0374</t>
  </si>
  <si>
    <t>02-0375</t>
  </si>
  <si>
    <t>02-0376</t>
  </si>
  <si>
    <t>02-0377</t>
  </si>
  <si>
    <t>02-0378</t>
  </si>
  <si>
    <t>02-0379</t>
  </si>
  <si>
    <t>02-0380</t>
  </si>
  <si>
    <t>02-0381</t>
  </si>
  <si>
    <t>02-0382</t>
  </si>
  <si>
    <t>02-0383</t>
  </si>
  <si>
    <t>02-0384</t>
  </si>
  <si>
    <t>02-0385</t>
  </si>
  <si>
    <t>02-0386</t>
  </si>
  <si>
    <t>02-0387</t>
  </si>
  <si>
    <t>02-0388</t>
  </si>
  <si>
    <t>02-0389</t>
  </si>
  <si>
    <t>02-0390</t>
  </si>
  <si>
    <t>02-0391</t>
  </si>
  <si>
    <t>02-0392</t>
  </si>
  <si>
    <t>02-0393</t>
  </si>
  <si>
    <t>02-0394</t>
  </si>
  <si>
    <t>02-0395</t>
  </si>
  <si>
    <t>02-0396</t>
  </si>
  <si>
    <t>02-0397</t>
  </si>
  <si>
    <t>02-0398</t>
  </si>
  <si>
    <t>02-0399</t>
  </si>
  <si>
    <t>02-0400</t>
  </si>
  <si>
    <t>02-0401</t>
  </si>
  <si>
    <t>02-0402</t>
  </si>
  <si>
    <t>02-0403</t>
  </si>
  <si>
    <t>02-0404</t>
  </si>
  <si>
    <t>02-0405</t>
  </si>
  <si>
    <t>02-0406</t>
  </si>
  <si>
    <t>02-0407</t>
  </si>
  <si>
    <t>02-0408</t>
  </si>
  <si>
    <t>02-0409</t>
  </si>
  <si>
    <t>02-0410</t>
  </si>
  <si>
    <t>02-0411</t>
  </si>
  <si>
    <t>02-0412</t>
  </si>
  <si>
    <t>02-0413</t>
  </si>
  <si>
    <t>02-0414</t>
  </si>
  <si>
    <t>02-0415</t>
  </si>
  <si>
    <t>02-0416</t>
  </si>
  <si>
    <t>02-0417</t>
  </si>
  <si>
    <t>02-0418</t>
  </si>
  <si>
    <t>02-0419</t>
  </si>
  <si>
    <t>02-0420</t>
  </si>
  <si>
    <t>02-0421</t>
  </si>
  <si>
    <t>02-0422</t>
  </si>
  <si>
    <t>02-0423</t>
  </si>
  <si>
    <t>02-0424</t>
  </si>
  <si>
    <t>02-0425</t>
  </si>
  <si>
    <t>02-0426</t>
  </si>
  <si>
    <t>02-0427</t>
  </si>
  <si>
    <t>02-0428</t>
  </si>
  <si>
    <t>02-0429</t>
  </si>
  <si>
    <t>02-0430</t>
  </si>
  <si>
    <t>02-0431</t>
  </si>
  <si>
    <t>02-0432</t>
  </si>
  <si>
    <t>02-0433</t>
  </si>
  <si>
    <t>02-0434</t>
  </si>
  <si>
    <t>02-0435</t>
  </si>
  <si>
    <t>02-0436</t>
  </si>
  <si>
    <t>02-0437</t>
  </si>
  <si>
    <t>02-0438</t>
  </si>
  <si>
    <t>02-0439</t>
  </si>
  <si>
    <t>02-0440</t>
  </si>
  <si>
    <t>02-0441</t>
  </si>
  <si>
    <t>02-0442</t>
  </si>
  <si>
    <t>02-0443</t>
  </si>
  <si>
    <t>02-0444</t>
  </si>
  <si>
    <t>02-0445</t>
  </si>
  <si>
    <t>02-0446</t>
  </si>
  <si>
    <t>02-0447</t>
  </si>
  <si>
    <t>02-0448</t>
  </si>
  <si>
    <t>02-0449</t>
  </si>
  <si>
    <t>02-0450</t>
  </si>
  <si>
    <t>02-0451</t>
  </si>
  <si>
    <t>02-0452</t>
  </si>
  <si>
    <t>02-0453</t>
  </si>
  <si>
    <t>02-0454</t>
  </si>
  <si>
    <t>02-0455</t>
  </si>
  <si>
    <t>02-0456</t>
  </si>
  <si>
    <t>02-0457</t>
  </si>
  <si>
    <t>02-0458</t>
  </si>
  <si>
    <t>02-0459</t>
  </si>
  <si>
    <t>02-0460</t>
  </si>
  <si>
    <t>02-0461</t>
  </si>
  <si>
    <t>02-0462</t>
  </si>
  <si>
    <t>02-0463</t>
  </si>
  <si>
    <t>02-0464</t>
  </si>
  <si>
    <t>02-0465</t>
  </si>
  <si>
    <t>02-0466</t>
  </si>
  <si>
    <t>02-0467</t>
  </si>
  <si>
    <t>02-0468</t>
  </si>
  <si>
    <t>02-0469</t>
  </si>
  <si>
    <t>02-0470</t>
  </si>
  <si>
    <t>02-0471</t>
  </si>
  <si>
    <t>02-0472</t>
  </si>
  <si>
    <t>02-0473</t>
  </si>
  <si>
    <t>02-0474</t>
  </si>
  <si>
    <t>02-0475</t>
  </si>
  <si>
    <t>02-0476</t>
  </si>
  <si>
    <t>02-0477</t>
  </si>
  <si>
    <t>02-0478</t>
  </si>
  <si>
    <t>02-0479</t>
  </si>
  <si>
    <t>02-0480</t>
  </si>
  <si>
    <t>02-0481</t>
  </si>
  <si>
    <t>02-0482</t>
  </si>
  <si>
    <t>02-0483</t>
  </si>
  <si>
    <t>02-0484</t>
  </si>
  <si>
    <t>02-0485</t>
  </si>
  <si>
    <t>02-0486</t>
  </si>
  <si>
    <t>02-0487</t>
  </si>
  <si>
    <t>02-0488</t>
  </si>
  <si>
    <t>02-0489</t>
  </si>
  <si>
    <t>02-0490</t>
  </si>
  <si>
    <t>02-0491</t>
  </si>
  <si>
    <t>02-0492</t>
  </si>
  <si>
    <t>02-0493</t>
  </si>
  <si>
    <t>02-0494</t>
  </si>
  <si>
    <t>02-0495</t>
  </si>
  <si>
    <t>02-0496</t>
  </si>
  <si>
    <t>02-0497</t>
  </si>
  <si>
    <t>02-0498</t>
  </si>
  <si>
    <t>02-0499</t>
  </si>
  <si>
    <t>02-0500</t>
  </si>
  <si>
    <t>China Hospital Operations — dashboard practice</t>
  </si>
  <si>
    <t>Dataset type: FICTIONAL / SYNTHETIC DATA. Do not cite as actual industry performance.</t>
  </si>
  <si>
    <t>Records: 500. Each row can be used for PivotTables, charts and dashboard KPIs.</t>
  </si>
  <si>
    <t>Synthetic hospital records; hospitals are fictional and figures do not describe Chinese healthcare.</t>
  </si>
  <si>
    <t>Dashboards: visits, wait time, satisfaction and cost by province and department.</t>
  </si>
  <si>
    <t>Row Labels</t>
  </si>
  <si>
    <t>Grand Total</t>
  </si>
  <si>
    <t>Column Labels</t>
  </si>
  <si>
    <t>Count of Visit ID</t>
  </si>
  <si>
    <t>Average of Wait Minutes</t>
  </si>
  <si>
    <t>Average of Patient Satisfaction (1-5)</t>
  </si>
  <si>
    <t>Sum of Treatment Cost (CNY)</t>
  </si>
  <si>
    <t>Average of Length of Stay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</si>
</sst>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0.0"/>
  </numFmts>
  <fonts count="3" x14ac:knownFonts="1">
    <font>
      <sz val="11"/>
      <name val="Carlito"/>
    </font>
    <font>
      <b/>
      <sz val="11"/>
      <color rgb="FFFFFFFF"/>
      <name val="Arial"/>
      <family val="2"/>
    </font>
    <font>
      <b/>
      <sz val="15"/>
      <color rgb="FFFFFFFF"/>
      <name val="Arial"/>
      <family val="2"/>
    </font>
  </fonts>
  <fills count="3">
    <fill>
      <patternFill patternType="none"/>
    </fill>
    <fill>
      <patternFill patternType="gray125"/>
    </fill>
    <fill>
      <patternFill patternType="solid">
        <fgColor rgb="FF17365D"/>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164" fontId="0" fillId="0" borderId="0" xfId="0" applyNumberFormat="1"/>
    <xf numFmtId="0" fontId="2" fillId="2" borderId="0" xfId="0" applyFont="1" applyFill="1"/>
    <xf numFmtId="0" fontId="0" fillId="0" borderId="0" xfId="0" pivotButton="1"/>
    <xf numFmtId="0" fontId="0" fillId="0" borderId="0" xfId="0" applyAlignment="1">
      <alignment horizontal="left"/>
    </xf>
    <xf numFmtId="1" fontId="0" fillId="0" borderId="0" xfId="0" applyNumberFormat="1"/>
    <xf numFmtId="165" fontId="0" fillId="0" borderId="0" xfId="0" applyNumberFormat="1"/>
    <xf numFmtId="2" fontId="0" fillId="0" borderId="0" xfId="0" applyNumberFormat="1"/>
    <xf numFmtId="0" fontId="0" fillId="0" borderId="0" xfId="0" applyNumberFormat="1"/>
  </cellXfs>
  <cellStyles count="1">
    <cellStyle name="Normal" xfId="0" builtinId="0"/>
  </cellStyles>
  <dxfs count="12">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[China_Hospital_Operations(sample).xlsx]Patient Visit by Province!PivotTable1</c:name>
    <c:fmtId val="2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Patient Visits</a:t>
            </a:r>
            <a:r>
              <a:rPr lang="en-US" baseline="0"/>
              <a:t> by Province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'Patient Visit by Province'!$B$3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3DA-4815-BA8C-66CF9221900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3DA-4815-BA8C-66CF9221900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3DA-4815-BA8C-66CF9221900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3DA-4815-BA8C-66CF9221900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3DA-4815-BA8C-66CF9221900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'Patient Visit by Province'!$A$4:$A$9</c:f>
              <c:strCache>
                <c:ptCount val="5"/>
                <c:pt idx="0">
                  <c:v>Sichuan</c:v>
                </c:pt>
                <c:pt idx="1">
                  <c:v>Zhejiang</c:v>
                </c:pt>
                <c:pt idx="2">
                  <c:v>Shanghai</c:v>
                </c:pt>
                <c:pt idx="3">
                  <c:v>Beijing</c:v>
                </c:pt>
                <c:pt idx="4">
                  <c:v>Guangdong</c:v>
                </c:pt>
              </c:strCache>
            </c:strRef>
          </c:cat>
          <c:val>
            <c:numRef>
              <c:f>'Patient Visit by Province'!$B$4:$B$9</c:f>
              <c:numCache>
                <c:formatCode>0.00</c:formatCode>
                <c:ptCount val="5"/>
                <c:pt idx="0">
                  <c:v>110</c:v>
                </c:pt>
                <c:pt idx="1">
                  <c:v>107</c:v>
                </c:pt>
                <c:pt idx="2">
                  <c:v>100</c:v>
                </c:pt>
                <c:pt idx="3">
                  <c:v>96</c:v>
                </c:pt>
                <c:pt idx="4">
                  <c:v>87</c:v>
                </c:pt>
              </c:numCache>
            </c:numRef>
          </c:val>
          <c:extLst>
            <c:ext xmlns:c16="http://schemas.microsoft.com/office/drawing/2014/chart" uri="{C3380CC4-5D6E-409C-BE32-E72D297353CC}">
              <c16:uniqueId val="{00000000-69C0-4D12-A984-0A00E446339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[China_Hospital_Operations(sample).xlsx]Wait Time by Hospital!PivotTable2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'Wait Time by Hospital'!$B$3:$B$4</c:f>
              <c:strCache>
                <c:ptCount val="1"/>
                <c:pt idx="0">
                  <c:v>Emergency</c:v>
                </c:pt>
              </c:strCache>
            </c:strRef>
          </c:tx>
          <c:spPr>
            <a:solidFill>
              <a:schemeClr val="accent1"/>
            </a:solidFill>
            <a:ln>
              <a:noFill/>
            </a:ln>
            <a:effectLst/>
          </c:spPr>
          <c:invertIfNegative val="0"/>
          <c:cat>
            <c:strRef>
              <c:f>'Wait Time by Hospital'!$A$5:$A$10</c:f>
              <c:strCache>
                <c:ptCount val="5"/>
                <c:pt idx="0">
                  <c:v>Beijing City Hospital</c:v>
                </c:pt>
                <c:pt idx="1">
                  <c:v>Chengdu Medical</c:v>
                </c:pt>
                <c:pt idx="2">
                  <c:v>Guangzhou Health Centre</c:v>
                </c:pt>
                <c:pt idx="3">
                  <c:v>Hangzhou General</c:v>
                </c:pt>
                <c:pt idx="4">
                  <c:v>Shanghai Central</c:v>
                </c:pt>
              </c:strCache>
            </c:strRef>
          </c:cat>
          <c:val>
            <c:numRef>
              <c:f>'Wait Time by Hospital'!$B$5:$B$10</c:f>
              <c:numCache>
                <c:formatCode>0</c:formatCode>
                <c:ptCount val="5"/>
                <c:pt idx="0">
                  <c:v>89.677419354838705</c:v>
                </c:pt>
                <c:pt idx="1">
                  <c:v>86</c:v>
                </c:pt>
                <c:pt idx="2">
                  <c:v>85.36363636363636</c:v>
                </c:pt>
                <c:pt idx="3">
                  <c:v>89.6</c:v>
                </c:pt>
                <c:pt idx="4">
                  <c:v>89.606060606060609</c:v>
                </c:pt>
              </c:numCache>
            </c:numRef>
          </c:val>
          <c:extLst>
            <c:ext xmlns:c16="http://schemas.microsoft.com/office/drawing/2014/chart" uri="{C3380CC4-5D6E-409C-BE32-E72D297353CC}">
              <c16:uniqueId val="{00000000-5F1F-4814-9E7B-9DB1C451ED7D}"/>
            </c:ext>
          </c:extLst>
        </c:ser>
        <c:ser>
          <c:idx val="1"/>
          <c:order val="1"/>
          <c:tx>
            <c:strRef>
              <c:f>'Wait Time by Hospital'!$C$3:$C$4</c:f>
              <c:strCache>
                <c:ptCount val="1"/>
                <c:pt idx="0">
                  <c:v>Inpatient</c:v>
                </c:pt>
              </c:strCache>
            </c:strRef>
          </c:tx>
          <c:spPr>
            <a:solidFill>
              <a:schemeClr val="accent2"/>
            </a:solidFill>
            <a:ln>
              <a:noFill/>
            </a:ln>
            <a:effectLst/>
          </c:spPr>
          <c:invertIfNegative val="0"/>
          <c:cat>
            <c:strRef>
              <c:f>'Wait Time by Hospital'!$A$5:$A$10</c:f>
              <c:strCache>
                <c:ptCount val="5"/>
                <c:pt idx="0">
                  <c:v>Beijing City Hospital</c:v>
                </c:pt>
                <c:pt idx="1">
                  <c:v>Chengdu Medical</c:v>
                </c:pt>
                <c:pt idx="2">
                  <c:v>Guangzhou Health Centre</c:v>
                </c:pt>
                <c:pt idx="3">
                  <c:v>Hangzhou General</c:v>
                </c:pt>
                <c:pt idx="4">
                  <c:v>Shanghai Central</c:v>
                </c:pt>
              </c:strCache>
            </c:strRef>
          </c:cat>
          <c:val>
            <c:numRef>
              <c:f>'Wait Time by Hospital'!$C$5:$C$10</c:f>
              <c:numCache>
                <c:formatCode>0</c:formatCode>
                <c:ptCount val="5"/>
                <c:pt idx="0">
                  <c:v>90.028571428571425</c:v>
                </c:pt>
                <c:pt idx="1">
                  <c:v>98.8125</c:v>
                </c:pt>
                <c:pt idx="2">
                  <c:v>92.2</c:v>
                </c:pt>
                <c:pt idx="3">
                  <c:v>80.261904761904759</c:v>
                </c:pt>
                <c:pt idx="4">
                  <c:v>75.606060606060609</c:v>
                </c:pt>
              </c:numCache>
            </c:numRef>
          </c:val>
          <c:extLst>
            <c:ext xmlns:c16="http://schemas.microsoft.com/office/drawing/2014/chart" uri="{C3380CC4-5D6E-409C-BE32-E72D297353CC}">
              <c16:uniqueId val="{00000001-5F1F-4814-9E7B-9DB1C451ED7D}"/>
            </c:ext>
          </c:extLst>
        </c:ser>
        <c:ser>
          <c:idx val="2"/>
          <c:order val="2"/>
          <c:tx>
            <c:strRef>
              <c:f>'Wait Time by Hospital'!$D$3:$D$4</c:f>
              <c:strCache>
                <c:ptCount val="1"/>
                <c:pt idx="0">
                  <c:v>Outpatient</c:v>
                </c:pt>
              </c:strCache>
            </c:strRef>
          </c:tx>
          <c:spPr>
            <a:solidFill>
              <a:schemeClr val="accent3"/>
            </a:solidFill>
            <a:ln>
              <a:noFill/>
            </a:ln>
            <a:effectLst/>
          </c:spPr>
          <c:invertIfNegative val="0"/>
          <c:cat>
            <c:strRef>
              <c:f>'Wait Time by Hospital'!$A$5:$A$10</c:f>
              <c:strCache>
                <c:ptCount val="5"/>
                <c:pt idx="0">
                  <c:v>Beijing City Hospital</c:v>
                </c:pt>
                <c:pt idx="1">
                  <c:v>Chengdu Medical</c:v>
                </c:pt>
                <c:pt idx="2">
                  <c:v>Guangzhou Health Centre</c:v>
                </c:pt>
                <c:pt idx="3">
                  <c:v>Hangzhou General</c:v>
                </c:pt>
                <c:pt idx="4">
                  <c:v>Shanghai Central</c:v>
                </c:pt>
              </c:strCache>
            </c:strRef>
          </c:cat>
          <c:val>
            <c:numRef>
              <c:f>'Wait Time by Hospital'!$D$5:$D$10</c:f>
              <c:numCache>
                <c:formatCode>0</c:formatCode>
                <c:ptCount val="5"/>
                <c:pt idx="0">
                  <c:v>97.733333333333334</c:v>
                </c:pt>
                <c:pt idx="1">
                  <c:v>91.222222222222229</c:v>
                </c:pt>
                <c:pt idx="2">
                  <c:v>93</c:v>
                </c:pt>
                <c:pt idx="3">
                  <c:v>91.8</c:v>
                </c:pt>
                <c:pt idx="4">
                  <c:v>87.294117647058826</c:v>
                </c:pt>
              </c:numCache>
            </c:numRef>
          </c:val>
          <c:extLst>
            <c:ext xmlns:c16="http://schemas.microsoft.com/office/drawing/2014/chart" uri="{C3380CC4-5D6E-409C-BE32-E72D297353CC}">
              <c16:uniqueId val="{00000002-5F1F-4814-9E7B-9DB1C451ED7D}"/>
            </c:ext>
          </c:extLst>
        </c:ser>
        <c:dLbls>
          <c:showLegendKey val="0"/>
          <c:showVal val="0"/>
          <c:showCatName val="0"/>
          <c:showSerName val="0"/>
          <c:showPercent val="0"/>
          <c:showBubbleSize val="0"/>
        </c:dLbls>
        <c:gapWidth val="219"/>
        <c:overlap val="-27"/>
        <c:axId val="164532607"/>
        <c:axId val="86937327"/>
      </c:barChart>
      <c:catAx>
        <c:axId val="16453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37327"/>
        <c:crosses val="autoZero"/>
        <c:auto val="1"/>
        <c:lblAlgn val="ctr"/>
        <c:lblOffset val="100"/>
        <c:noMultiLvlLbl val="0"/>
      </c:catAx>
      <c:valAx>
        <c:axId val="869373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3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[China_Hospital_Operations(sample).xlsx]Patient Satisfaction!PivotTable3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'Patient Satisfaction'!$B$3:$B$4</c:f>
              <c:strCache>
                <c:ptCount val="1"/>
                <c:pt idx="0">
                  <c:v>Cardiology</c:v>
                </c:pt>
              </c:strCache>
            </c:strRef>
          </c:tx>
          <c:spPr>
            <a:solidFill>
              <a:schemeClr val="accent1"/>
            </a:solidFill>
            <a:ln>
              <a:noFill/>
            </a:ln>
            <a:effectLst/>
          </c:spPr>
          <c:invertIfNegative val="0"/>
          <c:cat>
            <c:strRef>
              <c:f>'Patient Satisfaction'!$A$5:$A$10</c:f>
              <c:strCache>
                <c:ptCount val="5"/>
                <c:pt idx="0">
                  <c:v>Shanghai</c:v>
                </c:pt>
                <c:pt idx="1">
                  <c:v>Sichuan</c:v>
                </c:pt>
                <c:pt idx="2">
                  <c:v>Beijing</c:v>
                </c:pt>
                <c:pt idx="3">
                  <c:v>Guangdong</c:v>
                </c:pt>
                <c:pt idx="4">
                  <c:v>Zhejiang</c:v>
                </c:pt>
              </c:strCache>
            </c:strRef>
          </c:cat>
          <c:val>
            <c:numRef>
              <c:f>'Patient Satisfaction'!$B$5:$B$10</c:f>
              <c:numCache>
                <c:formatCode>0</c:formatCode>
                <c:ptCount val="5"/>
                <c:pt idx="0">
                  <c:v>3.4545454545454546</c:v>
                </c:pt>
                <c:pt idx="1">
                  <c:v>2.5499999999999998</c:v>
                </c:pt>
                <c:pt idx="2">
                  <c:v>3.1111111111111112</c:v>
                </c:pt>
                <c:pt idx="3">
                  <c:v>2.6842105263157894</c:v>
                </c:pt>
                <c:pt idx="4">
                  <c:v>2.5</c:v>
                </c:pt>
              </c:numCache>
            </c:numRef>
          </c:val>
          <c:extLst>
            <c:ext xmlns:c16="http://schemas.microsoft.com/office/drawing/2014/chart" uri="{C3380CC4-5D6E-409C-BE32-E72D297353CC}">
              <c16:uniqueId val="{00000000-62AC-4A59-9BCA-C7074F43C980}"/>
            </c:ext>
          </c:extLst>
        </c:ser>
        <c:ser>
          <c:idx val="1"/>
          <c:order val="1"/>
          <c:tx>
            <c:strRef>
              <c:f>'Patient Satisfaction'!$C$3:$C$4</c:f>
              <c:strCache>
                <c:ptCount val="1"/>
                <c:pt idx="0">
                  <c:v>Emergency</c:v>
                </c:pt>
              </c:strCache>
            </c:strRef>
          </c:tx>
          <c:spPr>
            <a:solidFill>
              <a:schemeClr val="accent2"/>
            </a:solidFill>
            <a:ln>
              <a:noFill/>
            </a:ln>
            <a:effectLst/>
          </c:spPr>
          <c:invertIfNegative val="0"/>
          <c:cat>
            <c:strRef>
              <c:f>'Patient Satisfaction'!$A$5:$A$10</c:f>
              <c:strCache>
                <c:ptCount val="5"/>
                <c:pt idx="0">
                  <c:v>Shanghai</c:v>
                </c:pt>
                <c:pt idx="1">
                  <c:v>Sichuan</c:v>
                </c:pt>
                <c:pt idx="2">
                  <c:v>Beijing</c:v>
                </c:pt>
                <c:pt idx="3">
                  <c:v>Guangdong</c:v>
                </c:pt>
                <c:pt idx="4">
                  <c:v>Zhejiang</c:v>
                </c:pt>
              </c:strCache>
            </c:strRef>
          </c:cat>
          <c:val>
            <c:numRef>
              <c:f>'Patient Satisfaction'!$C$5:$C$10</c:f>
              <c:numCache>
                <c:formatCode>0</c:formatCode>
                <c:ptCount val="5"/>
                <c:pt idx="0">
                  <c:v>2.3913043478260869</c:v>
                </c:pt>
                <c:pt idx="1">
                  <c:v>3.347826086956522</c:v>
                </c:pt>
                <c:pt idx="2">
                  <c:v>2.7619047619047619</c:v>
                </c:pt>
                <c:pt idx="3">
                  <c:v>2.8095238095238093</c:v>
                </c:pt>
                <c:pt idx="4">
                  <c:v>2.3888888888888888</c:v>
                </c:pt>
              </c:numCache>
            </c:numRef>
          </c:val>
          <c:extLst>
            <c:ext xmlns:c16="http://schemas.microsoft.com/office/drawing/2014/chart" uri="{C3380CC4-5D6E-409C-BE32-E72D297353CC}">
              <c16:uniqueId val="{00000006-62AC-4A59-9BCA-C7074F43C980}"/>
            </c:ext>
          </c:extLst>
        </c:ser>
        <c:ser>
          <c:idx val="2"/>
          <c:order val="2"/>
          <c:tx>
            <c:strRef>
              <c:f>'Patient Satisfaction'!$D$3:$D$4</c:f>
              <c:strCache>
                <c:ptCount val="1"/>
                <c:pt idx="0">
                  <c:v>General Medicine</c:v>
                </c:pt>
              </c:strCache>
            </c:strRef>
          </c:tx>
          <c:spPr>
            <a:solidFill>
              <a:schemeClr val="accent3"/>
            </a:solidFill>
            <a:ln>
              <a:noFill/>
            </a:ln>
            <a:effectLst/>
          </c:spPr>
          <c:invertIfNegative val="0"/>
          <c:cat>
            <c:strRef>
              <c:f>'Patient Satisfaction'!$A$5:$A$10</c:f>
              <c:strCache>
                <c:ptCount val="5"/>
                <c:pt idx="0">
                  <c:v>Shanghai</c:v>
                </c:pt>
                <c:pt idx="1">
                  <c:v>Sichuan</c:v>
                </c:pt>
                <c:pt idx="2">
                  <c:v>Beijing</c:v>
                </c:pt>
                <c:pt idx="3">
                  <c:v>Guangdong</c:v>
                </c:pt>
                <c:pt idx="4">
                  <c:v>Zhejiang</c:v>
                </c:pt>
              </c:strCache>
            </c:strRef>
          </c:cat>
          <c:val>
            <c:numRef>
              <c:f>'Patient Satisfaction'!$D$5:$D$10</c:f>
              <c:numCache>
                <c:formatCode>0</c:formatCode>
                <c:ptCount val="5"/>
                <c:pt idx="0">
                  <c:v>3.8666666666666667</c:v>
                </c:pt>
                <c:pt idx="1">
                  <c:v>2.8571428571428572</c:v>
                </c:pt>
                <c:pt idx="2">
                  <c:v>2.4705882352941178</c:v>
                </c:pt>
                <c:pt idx="3">
                  <c:v>2.9285714285714284</c:v>
                </c:pt>
                <c:pt idx="4">
                  <c:v>3.1923076923076925</c:v>
                </c:pt>
              </c:numCache>
            </c:numRef>
          </c:val>
          <c:extLst>
            <c:ext xmlns:c16="http://schemas.microsoft.com/office/drawing/2014/chart" uri="{C3380CC4-5D6E-409C-BE32-E72D297353CC}">
              <c16:uniqueId val="{00000007-62AC-4A59-9BCA-C7074F43C980}"/>
            </c:ext>
          </c:extLst>
        </c:ser>
        <c:ser>
          <c:idx val="3"/>
          <c:order val="3"/>
          <c:tx>
            <c:strRef>
              <c:f>'Patient Satisfaction'!$E$3:$E$4</c:f>
              <c:strCache>
                <c:ptCount val="1"/>
                <c:pt idx="0">
                  <c:v>Orthopedics</c:v>
                </c:pt>
              </c:strCache>
            </c:strRef>
          </c:tx>
          <c:spPr>
            <a:solidFill>
              <a:schemeClr val="accent4"/>
            </a:solidFill>
            <a:ln>
              <a:noFill/>
            </a:ln>
            <a:effectLst/>
          </c:spPr>
          <c:invertIfNegative val="0"/>
          <c:cat>
            <c:strRef>
              <c:f>'Patient Satisfaction'!$A$5:$A$10</c:f>
              <c:strCache>
                <c:ptCount val="5"/>
                <c:pt idx="0">
                  <c:v>Shanghai</c:v>
                </c:pt>
                <c:pt idx="1">
                  <c:v>Sichuan</c:v>
                </c:pt>
                <c:pt idx="2">
                  <c:v>Beijing</c:v>
                </c:pt>
                <c:pt idx="3">
                  <c:v>Guangdong</c:v>
                </c:pt>
                <c:pt idx="4">
                  <c:v>Zhejiang</c:v>
                </c:pt>
              </c:strCache>
            </c:strRef>
          </c:cat>
          <c:val>
            <c:numRef>
              <c:f>'Patient Satisfaction'!$E$5:$E$10</c:f>
              <c:numCache>
                <c:formatCode>0</c:formatCode>
                <c:ptCount val="5"/>
                <c:pt idx="0">
                  <c:v>2.8</c:v>
                </c:pt>
                <c:pt idx="1">
                  <c:v>3.3809523809523809</c:v>
                </c:pt>
                <c:pt idx="2">
                  <c:v>3.6956521739130435</c:v>
                </c:pt>
                <c:pt idx="3">
                  <c:v>3</c:v>
                </c:pt>
                <c:pt idx="4">
                  <c:v>2.6666666666666665</c:v>
                </c:pt>
              </c:numCache>
            </c:numRef>
          </c:val>
          <c:extLst>
            <c:ext xmlns:c16="http://schemas.microsoft.com/office/drawing/2014/chart" uri="{C3380CC4-5D6E-409C-BE32-E72D297353CC}">
              <c16:uniqueId val="{00000008-62AC-4A59-9BCA-C7074F43C980}"/>
            </c:ext>
          </c:extLst>
        </c:ser>
        <c:ser>
          <c:idx val="4"/>
          <c:order val="4"/>
          <c:tx>
            <c:strRef>
              <c:f>'Patient Satisfaction'!$F$3:$F$4</c:f>
              <c:strCache>
                <c:ptCount val="1"/>
                <c:pt idx="0">
                  <c:v>Pediatrics</c:v>
                </c:pt>
              </c:strCache>
            </c:strRef>
          </c:tx>
          <c:spPr>
            <a:solidFill>
              <a:schemeClr val="accent5"/>
            </a:solidFill>
            <a:ln>
              <a:noFill/>
            </a:ln>
            <a:effectLst/>
          </c:spPr>
          <c:invertIfNegative val="0"/>
          <c:cat>
            <c:strRef>
              <c:f>'Patient Satisfaction'!$A$5:$A$10</c:f>
              <c:strCache>
                <c:ptCount val="5"/>
                <c:pt idx="0">
                  <c:v>Shanghai</c:v>
                </c:pt>
                <c:pt idx="1">
                  <c:v>Sichuan</c:v>
                </c:pt>
                <c:pt idx="2">
                  <c:v>Beijing</c:v>
                </c:pt>
                <c:pt idx="3">
                  <c:v>Guangdong</c:v>
                </c:pt>
                <c:pt idx="4">
                  <c:v>Zhejiang</c:v>
                </c:pt>
              </c:strCache>
            </c:strRef>
          </c:cat>
          <c:val>
            <c:numRef>
              <c:f>'Patient Satisfaction'!$F$5:$F$10</c:f>
              <c:numCache>
                <c:formatCode>0</c:formatCode>
                <c:ptCount val="5"/>
                <c:pt idx="0">
                  <c:v>3.35</c:v>
                </c:pt>
                <c:pt idx="1">
                  <c:v>2.8</c:v>
                </c:pt>
                <c:pt idx="2">
                  <c:v>2.4117647058823528</c:v>
                </c:pt>
                <c:pt idx="3">
                  <c:v>3.3076923076923075</c:v>
                </c:pt>
                <c:pt idx="4">
                  <c:v>3.44</c:v>
                </c:pt>
              </c:numCache>
            </c:numRef>
          </c:val>
          <c:extLst>
            <c:ext xmlns:c16="http://schemas.microsoft.com/office/drawing/2014/chart" uri="{C3380CC4-5D6E-409C-BE32-E72D297353CC}">
              <c16:uniqueId val="{00000009-62AC-4A59-9BCA-C7074F43C980}"/>
            </c:ext>
          </c:extLst>
        </c:ser>
        <c:dLbls>
          <c:showLegendKey val="0"/>
          <c:showVal val="0"/>
          <c:showCatName val="0"/>
          <c:showSerName val="0"/>
          <c:showPercent val="0"/>
          <c:showBubbleSize val="0"/>
        </c:dLbls>
        <c:gapWidth val="219"/>
        <c:overlap val="-27"/>
        <c:axId val="293637167"/>
        <c:axId val="543972831"/>
      </c:barChart>
      <c:catAx>
        <c:axId val="29363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972831"/>
        <c:crosses val="autoZero"/>
        <c:auto val="1"/>
        <c:lblAlgn val="ctr"/>
        <c:lblOffset val="100"/>
        <c:noMultiLvlLbl val="0"/>
      </c:catAx>
      <c:valAx>
        <c:axId val="5439728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63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[China_Hospital_Operations(sample).xlsx]Treatment Cost &amp; Lenght of stay!PivotTable4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'Treatment Cost &amp; Lenght of stay'!$B$3</c:f>
              <c:strCache>
                <c:ptCount val="1"/>
                <c:pt idx="0">
                  <c:v>Sum of Treatment Cost (CNY)</c:v>
                </c:pt>
              </c:strCache>
            </c:strRef>
          </c:tx>
          <c:spPr>
            <a:solidFill>
              <a:schemeClr val="accent1"/>
            </a:solidFill>
            <a:ln>
              <a:noFill/>
            </a:ln>
            <a:effectLst/>
          </c:spPr>
          <c:invertIfNegative val="0"/>
          <c:cat>
            <c:strRef>
              <c:f>'Treatment Cost &amp; Lenght of stay'!$A$4:$A$9</c:f>
              <c:strCache>
                <c:ptCount val="5"/>
                <c:pt idx="0">
                  <c:v>Emergency</c:v>
                </c:pt>
                <c:pt idx="1">
                  <c:v>Pediatrics</c:v>
                </c:pt>
                <c:pt idx="2">
                  <c:v>Orthopedics</c:v>
                </c:pt>
                <c:pt idx="3">
                  <c:v>Cardiology</c:v>
                </c:pt>
                <c:pt idx="4">
                  <c:v>General Medicine</c:v>
                </c:pt>
              </c:strCache>
            </c:strRef>
          </c:cat>
          <c:val>
            <c:numRef>
              <c:f>'Treatment Cost &amp; Lenght of stay'!$B$4:$B$9</c:f>
              <c:numCache>
                <c:formatCode>General</c:formatCode>
                <c:ptCount val="5"/>
                <c:pt idx="0">
                  <c:v>986243</c:v>
                </c:pt>
                <c:pt idx="1">
                  <c:v>912381</c:v>
                </c:pt>
                <c:pt idx="2">
                  <c:v>880597</c:v>
                </c:pt>
                <c:pt idx="3">
                  <c:v>854686</c:v>
                </c:pt>
                <c:pt idx="4">
                  <c:v>827173</c:v>
                </c:pt>
              </c:numCache>
            </c:numRef>
          </c:val>
          <c:extLst>
            <c:ext xmlns:c16="http://schemas.microsoft.com/office/drawing/2014/chart" uri="{C3380CC4-5D6E-409C-BE32-E72D297353CC}">
              <c16:uniqueId val="{00000000-1773-469E-B373-9F92AAB70B49}"/>
            </c:ext>
          </c:extLst>
        </c:ser>
        <c:ser>
          <c:idx val="1"/>
          <c:order val="1"/>
          <c:tx>
            <c:strRef>
              <c:f>'Treatment Cost &amp; Lenght of stay'!$C$3</c:f>
              <c:strCache>
                <c:ptCount val="1"/>
                <c:pt idx="0">
                  <c:v>Average of Length of Stay (Days)</c:v>
                </c:pt>
              </c:strCache>
            </c:strRef>
          </c:tx>
          <c:spPr>
            <a:solidFill>
              <a:schemeClr val="accent2"/>
            </a:solidFill>
            <a:ln>
              <a:noFill/>
            </a:ln>
            <a:effectLst/>
          </c:spPr>
          <c:invertIfNegative val="0"/>
          <c:cat>
            <c:strRef>
              <c:f>'Treatment Cost &amp; Lenght of stay'!$A$4:$A$9</c:f>
              <c:strCache>
                <c:ptCount val="5"/>
                <c:pt idx="0">
                  <c:v>Emergency</c:v>
                </c:pt>
                <c:pt idx="1">
                  <c:v>Pediatrics</c:v>
                </c:pt>
                <c:pt idx="2">
                  <c:v>Orthopedics</c:v>
                </c:pt>
                <c:pt idx="3">
                  <c:v>Cardiology</c:v>
                </c:pt>
                <c:pt idx="4">
                  <c:v>General Medicine</c:v>
                </c:pt>
              </c:strCache>
            </c:strRef>
          </c:cat>
          <c:val>
            <c:numRef>
              <c:f>'Treatment Cost &amp; Lenght of stay'!$C$4:$C$9</c:f>
              <c:numCache>
                <c:formatCode>0.0</c:formatCode>
                <c:ptCount val="5"/>
                <c:pt idx="0">
                  <c:v>6.4150943396226419</c:v>
                </c:pt>
                <c:pt idx="1">
                  <c:v>6.77</c:v>
                </c:pt>
                <c:pt idx="2">
                  <c:v>6.7222222222222223</c:v>
                </c:pt>
                <c:pt idx="3">
                  <c:v>6.387096774193548</c:v>
                </c:pt>
                <c:pt idx="4">
                  <c:v>6.376344086021505</c:v>
                </c:pt>
              </c:numCache>
            </c:numRef>
          </c:val>
          <c:extLst>
            <c:ext xmlns:c16="http://schemas.microsoft.com/office/drawing/2014/chart" uri="{C3380CC4-5D6E-409C-BE32-E72D297353CC}">
              <c16:uniqueId val="{00000001-1773-469E-B373-9F92AAB70B49}"/>
            </c:ext>
          </c:extLst>
        </c:ser>
        <c:dLbls>
          <c:showLegendKey val="0"/>
          <c:showVal val="0"/>
          <c:showCatName val="0"/>
          <c:showSerName val="0"/>
          <c:showPercent val="0"/>
          <c:showBubbleSize val="0"/>
        </c:dLbls>
        <c:gapWidth val="219"/>
        <c:overlap val="-27"/>
        <c:axId val="186600447"/>
        <c:axId val="86890287"/>
      </c:barChart>
      <c:catAx>
        <c:axId val="18660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90287"/>
        <c:crosses val="autoZero"/>
        <c:auto val="1"/>
        <c:lblAlgn val="ctr"/>
        <c:lblOffset val="100"/>
        <c:noMultiLvlLbl val="0"/>
      </c:catAx>
      <c:valAx>
        <c:axId val="86890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0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[China_Hospital_Operations(sample).xlsx]Patient Visit by Province!PivotTable1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692038495188102E-2"/>
          <c:y val="0.16564596092155148"/>
          <c:w val="0.65742804024496937"/>
          <c:h val="0.65853091280256637"/>
        </c:manualLayout>
      </c:layout>
      <c:barChart>
        <c:barDir val="col"/>
        <c:grouping val="clustered"/>
        <c:varyColors val="0"/>
        <c:ser>
          <c:idx val="0"/>
          <c:order val="0"/>
          <c:tx>
            <c:strRef>
              <c:f>'Patient Visit by Province'!$B$3</c:f>
              <c:strCache>
                <c:ptCount val="1"/>
                <c:pt idx="0">
                  <c:v>Total</c:v>
                </c:pt>
              </c:strCache>
            </c:strRef>
          </c:tx>
          <c:spPr>
            <a:solidFill>
              <a:schemeClr val="accent1"/>
            </a:solidFill>
            <a:ln>
              <a:noFill/>
            </a:ln>
            <a:effectLst/>
          </c:spPr>
          <c:invertIfNegative val="0"/>
          <c:cat>
            <c:strRef>
              <c:f>'Patient Visit by Province'!$A$4:$A$9</c:f>
              <c:strCache>
                <c:ptCount val="5"/>
                <c:pt idx="0">
                  <c:v>Sichuan</c:v>
                </c:pt>
                <c:pt idx="1">
                  <c:v>Zhejiang</c:v>
                </c:pt>
                <c:pt idx="2">
                  <c:v>Shanghai</c:v>
                </c:pt>
                <c:pt idx="3">
                  <c:v>Beijing</c:v>
                </c:pt>
                <c:pt idx="4">
                  <c:v>Guangdong</c:v>
                </c:pt>
              </c:strCache>
            </c:strRef>
          </c:cat>
          <c:val>
            <c:numRef>
              <c:f>'Patient Visit by Province'!$B$4:$B$9</c:f>
              <c:numCache>
                <c:formatCode>0.00</c:formatCode>
                <c:ptCount val="5"/>
                <c:pt idx="0">
                  <c:v>110</c:v>
                </c:pt>
                <c:pt idx="1">
                  <c:v>107</c:v>
                </c:pt>
                <c:pt idx="2">
                  <c:v>100</c:v>
                </c:pt>
                <c:pt idx="3">
                  <c:v>96</c:v>
                </c:pt>
                <c:pt idx="4">
                  <c:v>87</c:v>
                </c:pt>
              </c:numCache>
            </c:numRef>
          </c:val>
          <c:extLst>
            <c:ext xmlns:c16="http://schemas.microsoft.com/office/drawing/2014/chart" uri="{C3380CC4-5D6E-409C-BE32-E72D297353CC}">
              <c16:uniqueId val="{00000000-90DB-4352-AC3D-EC6FDDB2D8EA}"/>
            </c:ext>
          </c:extLst>
        </c:ser>
        <c:dLbls>
          <c:showLegendKey val="0"/>
          <c:showVal val="0"/>
          <c:showCatName val="0"/>
          <c:showSerName val="0"/>
          <c:showPercent val="0"/>
          <c:showBubbleSize val="0"/>
        </c:dLbls>
        <c:gapWidth val="219"/>
        <c:overlap val="-27"/>
        <c:axId val="164565551"/>
        <c:axId val="86906607"/>
      </c:barChart>
      <c:catAx>
        <c:axId val="16456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06607"/>
        <c:crosses val="autoZero"/>
        <c:auto val="1"/>
        <c:lblAlgn val="ctr"/>
        <c:lblOffset val="100"/>
        <c:noMultiLvlLbl val="0"/>
      </c:catAx>
      <c:valAx>
        <c:axId val="869066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6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[China_Hospital_Operations(sample).xlsx]Wait Time by Hospital!PivotTable2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'Wait Time by Hospital'!$B$3:$B$4</c:f>
              <c:strCache>
                <c:ptCount val="1"/>
                <c:pt idx="0">
                  <c:v>Emergency</c:v>
                </c:pt>
              </c:strCache>
            </c:strRef>
          </c:tx>
          <c:spPr>
            <a:solidFill>
              <a:schemeClr val="accent1"/>
            </a:solidFill>
            <a:ln>
              <a:noFill/>
            </a:ln>
            <a:effectLst/>
          </c:spPr>
          <c:invertIfNegative val="0"/>
          <c:cat>
            <c:strRef>
              <c:f>'Wait Time by Hospital'!$A$5:$A$10</c:f>
              <c:strCache>
                <c:ptCount val="5"/>
                <c:pt idx="0">
                  <c:v>Beijing City Hospital</c:v>
                </c:pt>
                <c:pt idx="1">
                  <c:v>Chengdu Medical</c:v>
                </c:pt>
                <c:pt idx="2">
                  <c:v>Guangzhou Health Centre</c:v>
                </c:pt>
                <c:pt idx="3">
                  <c:v>Hangzhou General</c:v>
                </c:pt>
                <c:pt idx="4">
                  <c:v>Shanghai Central</c:v>
                </c:pt>
              </c:strCache>
            </c:strRef>
          </c:cat>
          <c:val>
            <c:numRef>
              <c:f>'Wait Time by Hospital'!$B$5:$B$10</c:f>
              <c:numCache>
                <c:formatCode>0</c:formatCode>
                <c:ptCount val="5"/>
                <c:pt idx="0">
                  <c:v>89.677419354838705</c:v>
                </c:pt>
                <c:pt idx="1">
                  <c:v>86</c:v>
                </c:pt>
                <c:pt idx="2">
                  <c:v>85.36363636363636</c:v>
                </c:pt>
                <c:pt idx="3">
                  <c:v>89.6</c:v>
                </c:pt>
                <c:pt idx="4">
                  <c:v>89.606060606060609</c:v>
                </c:pt>
              </c:numCache>
            </c:numRef>
          </c:val>
          <c:extLst>
            <c:ext xmlns:c16="http://schemas.microsoft.com/office/drawing/2014/chart" uri="{C3380CC4-5D6E-409C-BE32-E72D297353CC}">
              <c16:uniqueId val="{00000000-063C-427E-A8E9-D653FDE88A78}"/>
            </c:ext>
          </c:extLst>
        </c:ser>
        <c:ser>
          <c:idx val="1"/>
          <c:order val="1"/>
          <c:tx>
            <c:strRef>
              <c:f>'Wait Time by Hospital'!$C$3:$C$4</c:f>
              <c:strCache>
                <c:ptCount val="1"/>
                <c:pt idx="0">
                  <c:v>Inpatient</c:v>
                </c:pt>
              </c:strCache>
            </c:strRef>
          </c:tx>
          <c:spPr>
            <a:solidFill>
              <a:schemeClr val="accent2"/>
            </a:solidFill>
            <a:ln>
              <a:noFill/>
            </a:ln>
            <a:effectLst/>
          </c:spPr>
          <c:invertIfNegative val="0"/>
          <c:cat>
            <c:strRef>
              <c:f>'Wait Time by Hospital'!$A$5:$A$10</c:f>
              <c:strCache>
                <c:ptCount val="5"/>
                <c:pt idx="0">
                  <c:v>Beijing City Hospital</c:v>
                </c:pt>
                <c:pt idx="1">
                  <c:v>Chengdu Medical</c:v>
                </c:pt>
                <c:pt idx="2">
                  <c:v>Guangzhou Health Centre</c:v>
                </c:pt>
                <c:pt idx="3">
                  <c:v>Hangzhou General</c:v>
                </c:pt>
                <c:pt idx="4">
                  <c:v>Shanghai Central</c:v>
                </c:pt>
              </c:strCache>
            </c:strRef>
          </c:cat>
          <c:val>
            <c:numRef>
              <c:f>'Wait Time by Hospital'!$C$5:$C$10</c:f>
              <c:numCache>
                <c:formatCode>0</c:formatCode>
                <c:ptCount val="5"/>
                <c:pt idx="0">
                  <c:v>90.028571428571425</c:v>
                </c:pt>
                <c:pt idx="1">
                  <c:v>98.8125</c:v>
                </c:pt>
                <c:pt idx="2">
                  <c:v>92.2</c:v>
                </c:pt>
                <c:pt idx="3">
                  <c:v>80.261904761904759</c:v>
                </c:pt>
                <c:pt idx="4">
                  <c:v>75.606060606060609</c:v>
                </c:pt>
              </c:numCache>
            </c:numRef>
          </c:val>
          <c:extLst>
            <c:ext xmlns:c16="http://schemas.microsoft.com/office/drawing/2014/chart" uri="{C3380CC4-5D6E-409C-BE32-E72D297353CC}">
              <c16:uniqueId val="{00000001-063C-427E-A8E9-D653FDE88A78}"/>
            </c:ext>
          </c:extLst>
        </c:ser>
        <c:ser>
          <c:idx val="2"/>
          <c:order val="2"/>
          <c:tx>
            <c:strRef>
              <c:f>'Wait Time by Hospital'!$D$3:$D$4</c:f>
              <c:strCache>
                <c:ptCount val="1"/>
                <c:pt idx="0">
                  <c:v>Outpatient</c:v>
                </c:pt>
              </c:strCache>
            </c:strRef>
          </c:tx>
          <c:spPr>
            <a:solidFill>
              <a:schemeClr val="accent3"/>
            </a:solidFill>
            <a:ln>
              <a:noFill/>
            </a:ln>
            <a:effectLst/>
          </c:spPr>
          <c:invertIfNegative val="0"/>
          <c:cat>
            <c:strRef>
              <c:f>'Wait Time by Hospital'!$A$5:$A$10</c:f>
              <c:strCache>
                <c:ptCount val="5"/>
                <c:pt idx="0">
                  <c:v>Beijing City Hospital</c:v>
                </c:pt>
                <c:pt idx="1">
                  <c:v>Chengdu Medical</c:v>
                </c:pt>
                <c:pt idx="2">
                  <c:v>Guangzhou Health Centre</c:v>
                </c:pt>
                <c:pt idx="3">
                  <c:v>Hangzhou General</c:v>
                </c:pt>
                <c:pt idx="4">
                  <c:v>Shanghai Central</c:v>
                </c:pt>
              </c:strCache>
            </c:strRef>
          </c:cat>
          <c:val>
            <c:numRef>
              <c:f>'Wait Time by Hospital'!$D$5:$D$10</c:f>
              <c:numCache>
                <c:formatCode>0</c:formatCode>
                <c:ptCount val="5"/>
                <c:pt idx="0">
                  <c:v>97.733333333333334</c:v>
                </c:pt>
                <c:pt idx="1">
                  <c:v>91.222222222222229</c:v>
                </c:pt>
                <c:pt idx="2">
                  <c:v>93</c:v>
                </c:pt>
                <c:pt idx="3">
                  <c:v>91.8</c:v>
                </c:pt>
                <c:pt idx="4">
                  <c:v>87.294117647058826</c:v>
                </c:pt>
              </c:numCache>
            </c:numRef>
          </c:val>
          <c:extLst>
            <c:ext xmlns:c16="http://schemas.microsoft.com/office/drawing/2014/chart" uri="{C3380CC4-5D6E-409C-BE32-E72D297353CC}">
              <c16:uniqueId val="{00000002-063C-427E-A8E9-D653FDE88A78}"/>
            </c:ext>
          </c:extLst>
        </c:ser>
        <c:dLbls>
          <c:showLegendKey val="0"/>
          <c:showVal val="0"/>
          <c:showCatName val="0"/>
          <c:showSerName val="0"/>
          <c:showPercent val="0"/>
          <c:showBubbleSize val="0"/>
        </c:dLbls>
        <c:gapWidth val="219"/>
        <c:overlap val="-27"/>
        <c:axId val="164532607"/>
        <c:axId val="86937327"/>
      </c:barChart>
      <c:catAx>
        <c:axId val="16453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37327"/>
        <c:crosses val="autoZero"/>
        <c:auto val="1"/>
        <c:lblAlgn val="ctr"/>
        <c:lblOffset val="100"/>
        <c:noMultiLvlLbl val="0"/>
      </c:catAx>
      <c:valAx>
        <c:axId val="869373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3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[China_Hospital_Operations(sample).xlsx]Patient Satisfaction!PivotTable3</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pivotFmt>
      <c:pivotFmt>
        <c:idx val="5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0"/>
        <c:spPr>
          <a:solidFill>
            <a:schemeClr val="accent1"/>
          </a:solidFill>
          <a:ln>
            <a:noFill/>
          </a:ln>
          <a:effectLst>
            <a:outerShdw blurRad="254000" sx="102000" sy="102000" algn="ctr" rotWithShape="0">
              <a:prstClr val="black">
                <a:alpha val="20000"/>
              </a:prstClr>
            </a:outerShdw>
          </a:effectLst>
        </c:spPr>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pivotFmt>
      <c:pivotFmt>
        <c:idx val="6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'Patient Satisfaction'!$B$3:$B$4</c:f>
              <c:strCache>
                <c:ptCount val="1"/>
                <c:pt idx="0">
                  <c:v>Cardiology</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75F-4B56-A51B-192D7EE03CE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75F-4B56-A51B-192D7EE03CE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75F-4B56-A51B-192D7EE03CE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75F-4B56-A51B-192D7EE03CE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75F-4B56-A51B-192D7EE03CE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'Patient Satisfaction'!$A$5:$A$10</c:f>
              <c:strCache>
                <c:ptCount val="5"/>
                <c:pt idx="0">
                  <c:v>Shanghai</c:v>
                </c:pt>
                <c:pt idx="1">
                  <c:v>Sichuan</c:v>
                </c:pt>
                <c:pt idx="2">
                  <c:v>Beijing</c:v>
                </c:pt>
                <c:pt idx="3">
                  <c:v>Guangdong</c:v>
                </c:pt>
                <c:pt idx="4">
                  <c:v>Zhejiang</c:v>
                </c:pt>
              </c:strCache>
            </c:strRef>
          </c:cat>
          <c:val>
            <c:numRef>
              <c:f>'Patient Satisfaction'!$B$5:$B$10</c:f>
              <c:numCache>
                <c:formatCode>0</c:formatCode>
                <c:ptCount val="5"/>
                <c:pt idx="0">
                  <c:v>3.4545454545454546</c:v>
                </c:pt>
                <c:pt idx="1">
                  <c:v>2.5499999999999998</c:v>
                </c:pt>
                <c:pt idx="2">
                  <c:v>3.1111111111111112</c:v>
                </c:pt>
                <c:pt idx="3">
                  <c:v>2.6842105263157894</c:v>
                </c:pt>
                <c:pt idx="4">
                  <c:v>2.5</c:v>
                </c:pt>
              </c:numCache>
            </c:numRef>
          </c:val>
          <c:extLst>
            <c:ext xmlns:c16="http://schemas.microsoft.com/office/drawing/2014/chart" uri="{C3380CC4-5D6E-409C-BE32-E72D297353CC}">
              <c16:uniqueId val="{0000000A-D75F-4B56-A51B-192D7EE03CE7}"/>
            </c:ext>
          </c:extLst>
        </c:ser>
        <c:ser>
          <c:idx val="1"/>
          <c:order val="1"/>
          <c:tx>
            <c:strRef>
              <c:f>'Patient Satisfaction'!$C$3:$C$4</c:f>
              <c:strCache>
                <c:ptCount val="1"/>
                <c:pt idx="0">
                  <c:v>Emergency</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'Patient Satisfaction'!$A$5:$A$10</c:f>
              <c:strCache>
                <c:ptCount val="5"/>
                <c:pt idx="0">
                  <c:v>Shanghai</c:v>
                </c:pt>
                <c:pt idx="1">
                  <c:v>Sichuan</c:v>
                </c:pt>
                <c:pt idx="2">
                  <c:v>Beijing</c:v>
                </c:pt>
                <c:pt idx="3">
                  <c:v>Guangdong</c:v>
                </c:pt>
                <c:pt idx="4">
                  <c:v>Zhejiang</c:v>
                </c:pt>
              </c:strCache>
            </c:strRef>
          </c:cat>
          <c:val>
            <c:numRef>
              <c:f>'Patient Satisfaction'!$C$5:$C$10</c:f>
              <c:numCache>
                <c:formatCode>0</c:formatCode>
                <c:ptCount val="5"/>
                <c:pt idx="0">
                  <c:v>2.3913043478260869</c:v>
                </c:pt>
                <c:pt idx="1">
                  <c:v>3.347826086956522</c:v>
                </c:pt>
                <c:pt idx="2">
                  <c:v>2.7619047619047619</c:v>
                </c:pt>
                <c:pt idx="3">
                  <c:v>2.8095238095238093</c:v>
                </c:pt>
                <c:pt idx="4">
                  <c:v>2.3888888888888888</c:v>
                </c:pt>
              </c:numCache>
            </c:numRef>
          </c:val>
          <c:extLst>
            <c:ext xmlns:c16="http://schemas.microsoft.com/office/drawing/2014/chart" uri="{C3380CC4-5D6E-409C-BE32-E72D297353CC}">
              <c16:uniqueId val="{00000033-3BF9-47A1-879E-8A179857F6CA}"/>
            </c:ext>
          </c:extLst>
        </c:ser>
        <c:ser>
          <c:idx val="2"/>
          <c:order val="2"/>
          <c:tx>
            <c:strRef>
              <c:f>'Patient Satisfaction'!$D$3:$D$4</c:f>
              <c:strCache>
                <c:ptCount val="1"/>
                <c:pt idx="0">
                  <c:v>General Medicine</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'Patient Satisfaction'!$A$5:$A$10</c:f>
              <c:strCache>
                <c:ptCount val="5"/>
                <c:pt idx="0">
                  <c:v>Shanghai</c:v>
                </c:pt>
                <c:pt idx="1">
                  <c:v>Sichuan</c:v>
                </c:pt>
                <c:pt idx="2">
                  <c:v>Beijing</c:v>
                </c:pt>
                <c:pt idx="3">
                  <c:v>Guangdong</c:v>
                </c:pt>
                <c:pt idx="4">
                  <c:v>Zhejiang</c:v>
                </c:pt>
              </c:strCache>
            </c:strRef>
          </c:cat>
          <c:val>
            <c:numRef>
              <c:f>'Patient Satisfaction'!$D$5:$D$10</c:f>
              <c:numCache>
                <c:formatCode>0</c:formatCode>
                <c:ptCount val="5"/>
                <c:pt idx="0">
                  <c:v>3.8666666666666667</c:v>
                </c:pt>
                <c:pt idx="1">
                  <c:v>2.8571428571428572</c:v>
                </c:pt>
                <c:pt idx="2">
                  <c:v>2.4705882352941178</c:v>
                </c:pt>
                <c:pt idx="3">
                  <c:v>2.9285714285714284</c:v>
                </c:pt>
                <c:pt idx="4">
                  <c:v>3.1923076923076925</c:v>
                </c:pt>
              </c:numCache>
            </c:numRef>
          </c:val>
          <c:extLst>
            <c:ext xmlns:c16="http://schemas.microsoft.com/office/drawing/2014/chart" uri="{C3380CC4-5D6E-409C-BE32-E72D297353CC}">
              <c16:uniqueId val="{00000034-3BF9-47A1-879E-8A179857F6CA}"/>
            </c:ext>
          </c:extLst>
        </c:ser>
        <c:ser>
          <c:idx val="3"/>
          <c:order val="3"/>
          <c:tx>
            <c:strRef>
              <c:f>'Patient Satisfaction'!$E$3:$E$4</c:f>
              <c:strCache>
                <c:ptCount val="1"/>
                <c:pt idx="0">
                  <c:v>Orthopedics</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'Patient Satisfaction'!$A$5:$A$10</c:f>
              <c:strCache>
                <c:ptCount val="5"/>
                <c:pt idx="0">
                  <c:v>Shanghai</c:v>
                </c:pt>
                <c:pt idx="1">
                  <c:v>Sichuan</c:v>
                </c:pt>
                <c:pt idx="2">
                  <c:v>Beijing</c:v>
                </c:pt>
                <c:pt idx="3">
                  <c:v>Guangdong</c:v>
                </c:pt>
                <c:pt idx="4">
                  <c:v>Zhejiang</c:v>
                </c:pt>
              </c:strCache>
            </c:strRef>
          </c:cat>
          <c:val>
            <c:numRef>
              <c:f>'Patient Satisfaction'!$E$5:$E$10</c:f>
              <c:numCache>
                <c:formatCode>0</c:formatCode>
                <c:ptCount val="5"/>
                <c:pt idx="0">
                  <c:v>2.8</c:v>
                </c:pt>
                <c:pt idx="1">
                  <c:v>3.3809523809523809</c:v>
                </c:pt>
                <c:pt idx="2">
                  <c:v>3.6956521739130435</c:v>
                </c:pt>
                <c:pt idx="3">
                  <c:v>3</c:v>
                </c:pt>
                <c:pt idx="4">
                  <c:v>2.6666666666666665</c:v>
                </c:pt>
              </c:numCache>
            </c:numRef>
          </c:val>
          <c:extLst>
            <c:ext xmlns:c16="http://schemas.microsoft.com/office/drawing/2014/chart" uri="{C3380CC4-5D6E-409C-BE32-E72D297353CC}">
              <c16:uniqueId val="{00000035-3BF9-47A1-879E-8A179857F6CA}"/>
            </c:ext>
          </c:extLst>
        </c:ser>
        <c:ser>
          <c:idx val="4"/>
          <c:order val="4"/>
          <c:tx>
            <c:strRef>
              <c:f>'Patient Satisfaction'!$F$3:$F$4</c:f>
              <c:strCache>
                <c:ptCount val="1"/>
                <c:pt idx="0">
                  <c:v>Pediatrics</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'Patient Satisfaction'!$A$5:$A$10</c:f>
              <c:strCache>
                <c:ptCount val="5"/>
                <c:pt idx="0">
                  <c:v>Shanghai</c:v>
                </c:pt>
                <c:pt idx="1">
                  <c:v>Sichuan</c:v>
                </c:pt>
                <c:pt idx="2">
                  <c:v>Beijing</c:v>
                </c:pt>
                <c:pt idx="3">
                  <c:v>Guangdong</c:v>
                </c:pt>
                <c:pt idx="4">
                  <c:v>Zhejiang</c:v>
                </c:pt>
              </c:strCache>
            </c:strRef>
          </c:cat>
          <c:val>
            <c:numRef>
              <c:f>'Patient Satisfaction'!$F$5:$F$10</c:f>
              <c:numCache>
                <c:formatCode>0</c:formatCode>
                <c:ptCount val="5"/>
                <c:pt idx="0">
                  <c:v>3.35</c:v>
                </c:pt>
                <c:pt idx="1">
                  <c:v>2.8</c:v>
                </c:pt>
                <c:pt idx="2">
                  <c:v>2.4117647058823528</c:v>
                </c:pt>
                <c:pt idx="3">
                  <c:v>3.3076923076923075</c:v>
                </c:pt>
                <c:pt idx="4">
                  <c:v>3.44</c:v>
                </c:pt>
              </c:numCache>
            </c:numRef>
          </c:val>
          <c:extLst>
            <c:ext xmlns:c16="http://schemas.microsoft.com/office/drawing/2014/chart" uri="{C3380CC4-5D6E-409C-BE32-E72D297353CC}">
              <c16:uniqueId val="{00000036-3BF9-47A1-879E-8A179857F6C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[China_Hospital_Operations(sample).xlsx]Treatment Cost &amp; Lenght of stay!PivotTable4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'Treatment Cost &amp; Lenght of stay'!$B$3</c:f>
              <c:strCache>
                <c:ptCount val="1"/>
                <c:pt idx="0">
                  <c:v>Sum of Treatment Cost (CNY)</c:v>
                </c:pt>
              </c:strCache>
            </c:strRef>
          </c:tx>
          <c:spPr>
            <a:solidFill>
              <a:schemeClr val="accent1"/>
            </a:solidFill>
            <a:ln>
              <a:noFill/>
            </a:ln>
            <a:effectLst/>
          </c:spPr>
          <c:invertIfNegative val="0"/>
          <c:cat>
            <c:strRef>
              <c:f>'Treatment Cost &amp; Lenght of stay'!$A$4:$A$9</c:f>
              <c:strCache>
                <c:ptCount val="5"/>
                <c:pt idx="0">
                  <c:v>Emergency</c:v>
                </c:pt>
                <c:pt idx="1">
                  <c:v>Pediatrics</c:v>
                </c:pt>
                <c:pt idx="2">
                  <c:v>Orthopedics</c:v>
                </c:pt>
                <c:pt idx="3">
                  <c:v>Cardiology</c:v>
                </c:pt>
                <c:pt idx="4">
                  <c:v>General Medicine</c:v>
                </c:pt>
              </c:strCache>
            </c:strRef>
          </c:cat>
          <c:val>
            <c:numRef>
              <c:f>'Treatment Cost &amp; Lenght of stay'!$B$4:$B$9</c:f>
              <c:numCache>
                <c:formatCode>General</c:formatCode>
                <c:ptCount val="5"/>
                <c:pt idx="0">
                  <c:v>986243</c:v>
                </c:pt>
                <c:pt idx="1">
                  <c:v>912381</c:v>
                </c:pt>
                <c:pt idx="2">
                  <c:v>880597</c:v>
                </c:pt>
                <c:pt idx="3">
                  <c:v>854686</c:v>
                </c:pt>
                <c:pt idx="4">
                  <c:v>827173</c:v>
                </c:pt>
              </c:numCache>
            </c:numRef>
          </c:val>
          <c:extLst>
            <c:ext xmlns:c16="http://schemas.microsoft.com/office/drawing/2014/chart" uri="{C3380CC4-5D6E-409C-BE32-E72D297353CC}">
              <c16:uniqueId val="{00000000-E590-4BC0-9988-3E923C5D2362}"/>
            </c:ext>
          </c:extLst>
        </c:ser>
        <c:ser>
          <c:idx val="1"/>
          <c:order val="1"/>
          <c:tx>
            <c:strRef>
              <c:f>'Treatment Cost &amp; Lenght of stay'!$C$3</c:f>
              <c:strCache>
                <c:ptCount val="1"/>
                <c:pt idx="0">
                  <c:v>Average of Length of Stay (Days)</c:v>
                </c:pt>
              </c:strCache>
            </c:strRef>
          </c:tx>
          <c:spPr>
            <a:solidFill>
              <a:schemeClr val="accent2"/>
            </a:solidFill>
            <a:ln>
              <a:noFill/>
            </a:ln>
            <a:effectLst/>
          </c:spPr>
          <c:invertIfNegative val="0"/>
          <c:cat>
            <c:strRef>
              <c:f>'Treatment Cost &amp; Lenght of stay'!$A$4:$A$9</c:f>
              <c:strCache>
                <c:ptCount val="5"/>
                <c:pt idx="0">
                  <c:v>Emergency</c:v>
                </c:pt>
                <c:pt idx="1">
                  <c:v>Pediatrics</c:v>
                </c:pt>
                <c:pt idx="2">
                  <c:v>Orthopedics</c:v>
                </c:pt>
                <c:pt idx="3">
                  <c:v>Cardiology</c:v>
                </c:pt>
                <c:pt idx="4">
                  <c:v>General Medicine</c:v>
                </c:pt>
              </c:strCache>
            </c:strRef>
          </c:cat>
          <c:val>
            <c:numRef>
              <c:f>'Treatment Cost &amp; Lenght of stay'!$C$4:$C$9</c:f>
              <c:numCache>
                <c:formatCode>0.0</c:formatCode>
                <c:ptCount val="5"/>
                <c:pt idx="0">
                  <c:v>6.4150943396226419</c:v>
                </c:pt>
                <c:pt idx="1">
                  <c:v>6.77</c:v>
                </c:pt>
                <c:pt idx="2">
                  <c:v>6.7222222222222223</c:v>
                </c:pt>
                <c:pt idx="3">
                  <c:v>6.387096774193548</c:v>
                </c:pt>
                <c:pt idx="4">
                  <c:v>6.376344086021505</c:v>
                </c:pt>
              </c:numCache>
            </c:numRef>
          </c:val>
          <c:extLst>
            <c:ext xmlns:c16="http://schemas.microsoft.com/office/drawing/2014/chart" uri="{C3380CC4-5D6E-409C-BE32-E72D297353CC}">
              <c16:uniqueId val="{00000001-E590-4BC0-9988-3E923C5D2362}"/>
            </c:ext>
          </c:extLst>
        </c:ser>
        <c:dLbls>
          <c:showLegendKey val="0"/>
          <c:showVal val="0"/>
          <c:showCatName val="0"/>
          <c:showSerName val="0"/>
          <c:showPercent val="0"/>
          <c:showBubbleSize val="0"/>
        </c:dLbls>
        <c:gapWidth val="219"/>
        <c:overlap val="-27"/>
        <c:axId val="186600447"/>
        <c:axId val="86890287"/>
      </c:barChart>
      <c:catAx>
        <c:axId val="18660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90287"/>
        <c:crosses val="autoZero"/>
        <c:auto val="1"/>
        <c:lblAlgn val="ctr"/>
        <c:lblOffset val="100"/>
        <c:noMultiLvlLbl val="0"/>
      </c:catAx>
      <c:valAx>
        <c:axId val="86890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0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[China_Hospital_Operations(sample).xlsx]Patient Visits by Province!PivotTable5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'Patient Visits by Province'!$B$3:$B$4</c:f>
              <c:strCache>
                <c:ptCount val="1"/>
                <c:pt idx="0">
                  <c:v>Yes</c:v>
                </c:pt>
              </c:strCache>
            </c:strRef>
          </c:tx>
          <c:spPr>
            <a:solidFill>
              <a:schemeClr val="accent1"/>
            </a:solidFill>
            <a:ln>
              <a:noFill/>
            </a:ln>
            <a:effectLst/>
          </c:spPr>
          <c:invertIfNegative val="0"/>
          <c:cat>
            <c:strRef>
              <c:f>'Patient Visits by Province'!$A$5:$A$10</c:f>
              <c:strCache>
                <c:ptCount val="5"/>
                <c:pt idx="0">
                  <c:v>Cardiology</c:v>
                </c:pt>
                <c:pt idx="1">
                  <c:v>Pediatrics</c:v>
                </c:pt>
                <c:pt idx="2">
                  <c:v>Orthopedics</c:v>
                </c:pt>
                <c:pt idx="3">
                  <c:v>Emergency</c:v>
                </c:pt>
                <c:pt idx="4">
                  <c:v>General Medicine</c:v>
                </c:pt>
              </c:strCache>
            </c:strRef>
          </c:cat>
          <c:val>
            <c:numRef>
              <c:f>'Patient Visits by Province'!$B$5:$B$10</c:f>
              <c:numCache>
                <c:formatCode>General</c:formatCode>
                <c:ptCount val="5"/>
                <c:pt idx="0">
                  <c:v>26</c:v>
                </c:pt>
                <c:pt idx="1">
                  <c:v>24</c:v>
                </c:pt>
                <c:pt idx="2">
                  <c:v>22</c:v>
                </c:pt>
                <c:pt idx="3">
                  <c:v>20</c:v>
                </c:pt>
                <c:pt idx="4">
                  <c:v>20</c:v>
                </c:pt>
              </c:numCache>
            </c:numRef>
          </c:val>
          <c:extLst>
            <c:ext xmlns:c16="http://schemas.microsoft.com/office/drawing/2014/chart" uri="{C3380CC4-5D6E-409C-BE32-E72D297353CC}">
              <c16:uniqueId val="{00000000-E8CF-4230-AEEA-CBFC5A4F5611}"/>
            </c:ext>
          </c:extLst>
        </c:ser>
        <c:dLbls>
          <c:showLegendKey val="0"/>
          <c:showVal val="0"/>
          <c:showCatName val="0"/>
          <c:showSerName val="0"/>
          <c:showPercent val="0"/>
          <c:showBubbleSize val="0"/>
        </c:dLbls>
        <c:gapWidth val="219"/>
        <c:overlap val="-27"/>
        <c:axId val="186520175"/>
        <c:axId val="86888847"/>
      </c:barChart>
      <c:catAx>
        <c:axId val="18652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88847"/>
        <c:crosses val="autoZero"/>
        <c:auto val="1"/>
        <c:lblAlgn val="ctr"/>
        <c:lblOffset val="100"/>
        <c:noMultiLvlLbl val="0"/>
      </c:catAx>
      <c:valAx>
        <c:axId val="86888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2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[China_Hospital_Operations(sample).xlsx]Patient Visits by Province!PivotTable5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'Patient Visits by Province'!$B$3:$B$4</c:f>
              <c:strCache>
                <c:ptCount val="1"/>
                <c:pt idx="0">
                  <c:v>Yes</c:v>
                </c:pt>
              </c:strCache>
            </c:strRef>
          </c:tx>
          <c:spPr>
            <a:solidFill>
              <a:schemeClr val="accent1"/>
            </a:solidFill>
            <a:ln>
              <a:noFill/>
            </a:ln>
            <a:effectLst/>
          </c:spPr>
          <c:invertIfNegative val="0"/>
          <c:cat>
            <c:strRef>
              <c:f>'Patient Visits by Province'!$A$5:$A$10</c:f>
              <c:strCache>
                <c:ptCount val="5"/>
                <c:pt idx="0">
                  <c:v>Cardiology</c:v>
                </c:pt>
                <c:pt idx="1">
                  <c:v>Pediatrics</c:v>
                </c:pt>
                <c:pt idx="2">
                  <c:v>Orthopedics</c:v>
                </c:pt>
                <c:pt idx="3">
                  <c:v>Emergency</c:v>
                </c:pt>
                <c:pt idx="4">
                  <c:v>General Medicine</c:v>
                </c:pt>
              </c:strCache>
            </c:strRef>
          </c:cat>
          <c:val>
            <c:numRef>
              <c:f>'Patient Visits by Province'!$B$5:$B$10</c:f>
              <c:numCache>
                <c:formatCode>General</c:formatCode>
                <c:ptCount val="5"/>
                <c:pt idx="0">
                  <c:v>26</c:v>
                </c:pt>
                <c:pt idx="1">
                  <c:v>24</c:v>
                </c:pt>
                <c:pt idx="2">
                  <c:v>22</c:v>
                </c:pt>
                <c:pt idx="3">
                  <c:v>20</c:v>
                </c:pt>
                <c:pt idx="4">
                  <c:v>20</c:v>
                </c:pt>
              </c:numCache>
            </c:numRef>
          </c:val>
          <c:extLst>
            <c:ext xmlns:c16="http://schemas.microsoft.com/office/drawing/2014/chart" uri="{C3380CC4-5D6E-409C-BE32-E72D297353CC}">
              <c16:uniqueId val="{00000000-B146-4350-898C-174E2A6638B9}"/>
            </c:ext>
          </c:extLst>
        </c:ser>
        <c:dLbls>
          <c:showLegendKey val="0"/>
          <c:showVal val="0"/>
          <c:showCatName val="0"/>
          <c:showSerName val="0"/>
          <c:showPercent val="0"/>
          <c:showBubbleSize val="0"/>
        </c:dLbls>
        <c:gapWidth val="219"/>
        <c:overlap val="-27"/>
        <c:axId val="186520175"/>
        <c:axId val="86888847"/>
      </c:barChart>
      <c:catAx>
        <c:axId val="18652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88847"/>
        <c:crosses val="autoZero"/>
        <c:auto val="1"/>
        <c:lblAlgn val="ctr"/>
        <c:lblOffset val="100"/>
        <c:noMultiLvlLbl val="0"/>
      </c:catAx>
      <c:valAx>
        <c:axId val="86888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2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1208087</xdr:colOff>
      <xdr:row>2</xdr:row>
      <xdr:rowOff>60325</xdr:rowOff>
    </xdr:from>
    <xdr:to>
      <xdr:col>9</xdr:col>
      <xdr:colOff>642937</xdr:colOff>
      <xdr:row>17</xdr:row>
      <xdr:rowOff>88900</xdr:rowOff>
    </xdr:to>
    <xdr:graphicFrame macro="">
      <xdr:nvGraphicFramePr>
        <xdr:cNvPr id="9" name="Chart 8">
          <a:extLst>
            <a:ext uri="{FF2B5EF4-FFF2-40B4-BE49-F238E27FC236}">
              <a16:creationId xmlns:a16="http://schemas.microsoft.com/office/drawing/2014/main" id="{64E3B8BA-B61F-D81F-65ED-848E88C915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428625</xdr:colOff>
      <xdr:row>2</xdr:row>
      <xdr:rowOff>3175</xdr:rowOff>
    </xdr:from>
    <xdr:to>
      <xdr:col>12</xdr:col>
      <xdr:colOff>149225</xdr:colOff>
      <xdr:row>17</xdr:row>
      <xdr:rowOff>31750</xdr:rowOff>
    </xdr:to>
    <xdr:graphicFrame macro="">
      <xdr:nvGraphicFramePr>
        <xdr:cNvPr id="2" name="Chart 1">
          <a:extLst>
            <a:ext uri="{FF2B5EF4-FFF2-40B4-BE49-F238E27FC236}">
              <a16:creationId xmlns:a16="http://schemas.microsoft.com/office/drawing/2014/main" id="{77CC707D-7DB5-DA21-17AB-2169CDD25A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260105</xdr:colOff>
      <xdr:row>7</xdr:row>
      <xdr:rowOff>69360</xdr:rowOff>
    </xdr:from>
    <xdr:to>
      <xdr:col>14</xdr:col>
      <xdr:colOff>45182</xdr:colOff>
      <xdr:row>22</xdr:row>
      <xdr:rowOff>64964</xdr:rowOff>
    </xdr:to>
    <xdr:graphicFrame macro="">
      <xdr:nvGraphicFramePr>
        <xdr:cNvPr id="2" name="Chart 1">
          <a:extLst>
            <a:ext uri="{FF2B5EF4-FFF2-40B4-BE49-F238E27FC236}">
              <a16:creationId xmlns:a16="http://schemas.microsoft.com/office/drawing/2014/main" id="{70E9E044-9F9D-0582-18A3-DB47183F8F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393700</xdr:colOff>
      <xdr:row>3</xdr:row>
      <xdr:rowOff>50800</xdr:rowOff>
    </xdr:from>
    <xdr:to>
      <xdr:col>9</xdr:col>
      <xdr:colOff>387350</xdr:colOff>
      <xdr:row>17</xdr:row>
      <xdr:rowOff>146050</xdr:rowOff>
    </xdr:to>
    <xdr:graphicFrame macro="">
      <xdr:nvGraphicFramePr>
        <xdr:cNvPr id="2" name="Chart 1">
          <a:extLst>
            <a:ext uri="{FF2B5EF4-FFF2-40B4-BE49-F238E27FC236}">
              <a16:creationId xmlns:a16="http://schemas.microsoft.com/office/drawing/2014/main" id="{ABD4E1B8-64C0-91DC-A303-9A81A62985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661021</xdr:colOff>
      <xdr:row>43</xdr:row>
      <xdr:rowOff>167570</xdr:rowOff>
    </xdr:from>
    <xdr:to>
      <xdr:col>18</xdr:col>
      <xdr:colOff>661907</xdr:colOff>
      <xdr:row>60</xdr:row>
      <xdr:rowOff>165652</xdr:rowOff>
    </xdr:to>
    <xdr:graphicFrame macro="">
      <xdr:nvGraphicFramePr>
        <xdr:cNvPr id="3" name="Chart 2">
          <a:extLst>
            <a:ext uri="{FF2B5EF4-FFF2-40B4-BE49-F238E27FC236}">
              <a16:creationId xmlns:a16="http://schemas.microsoft.com/office/drawing/2014/main" id="{E8F4B34C-DB72-4FD7-BEC3-A9F3A65DF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602436</xdr:colOff>
      <xdr:row>3</xdr:row>
      <xdr:rowOff>-1</xdr:rowOff>
    </xdr:from>
    <xdr:to>
      <xdr:col>26</xdr:col>
      <xdr:colOff>146538</xdr:colOff>
      <xdr:row>8</xdr:row>
      <xdr:rowOff>113973</xdr:rowOff>
    </xdr:to>
    <xdr:sp macro="" textlink="">
      <xdr:nvSpPr>
        <xdr:cNvPr id="4" name="Rectangle 3">
          <a:extLst>
            <a:ext uri="{FF2B5EF4-FFF2-40B4-BE49-F238E27FC236}">
              <a16:creationId xmlns:a16="http://schemas.microsoft.com/office/drawing/2014/main" id="{11083F90-4075-119A-A4F1-6C42D4D498D8}"/>
            </a:ext>
          </a:extLst>
        </xdr:cNvPr>
        <xdr:cNvSpPr/>
      </xdr:nvSpPr>
      <xdr:spPr>
        <a:xfrm>
          <a:off x="3940257" y="537307"/>
          <a:ext cx="13562948" cy="1009487"/>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3400" b="1">
              <a:latin typeface="Tahoma" panose="020B0604030504040204" pitchFamily="34" charset="0"/>
              <a:ea typeface="Tahoma" panose="020B0604030504040204" pitchFamily="34" charset="0"/>
              <a:cs typeface="Tahoma" panose="020B0604030504040204" pitchFamily="34" charset="0"/>
            </a:rPr>
            <a:t>      </a:t>
          </a:r>
          <a:r>
            <a:rPr lang="en-GB" sz="4200" b="1">
              <a:latin typeface="Tahoma" panose="020B0604030504040204" pitchFamily="34" charset="0"/>
              <a:ea typeface="Tahoma" panose="020B0604030504040204" pitchFamily="34" charset="0"/>
              <a:cs typeface="Tahoma" panose="020B0604030504040204" pitchFamily="34" charset="0"/>
            </a:rPr>
            <a:t>CHINA</a:t>
          </a:r>
          <a:r>
            <a:rPr lang="en-GB" sz="4200" b="1" baseline="0">
              <a:latin typeface="Tahoma" panose="020B0604030504040204" pitchFamily="34" charset="0"/>
              <a:ea typeface="Tahoma" panose="020B0604030504040204" pitchFamily="34" charset="0"/>
              <a:cs typeface="Tahoma" panose="020B0604030504040204" pitchFamily="34" charset="0"/>
            </a:rPr>
            <a:t> </a:t>
          </a:r>
          <a:r>
            <a:rPr lang="en-GB" sz="4200" b="1">
              <a:latin typeface="Tahoma" panose="020B0604030504040204" pitchFamily="34" charset="0"/>
              <a:ea typeface="Tahoma" panose="020B0604030504040204" pitchFamily="34" charset="0"/>
              <a:cs typeface="Tahoma" panose="020B0604030504040204" pitchFamily="34" charset="0"/>
            </a:rPr>
            <a:t>HOSPITAL</a:t>
          </a:r>
          <a:r>
            <a:rPr lang="en-GB" sz="4200" b="1" baseline="0">
              <a:latin typeface="Tahoma" panose="020B0604030504040204" pitchFamily="34" charset="0"/>
              <a:ea typeface="Tahoma" panose="020B0604030504040204" pitchFamily="34" charset="0"/>
              <a:cs typeface="Tahoma" panose="020B0604030504040204" pitchFamily="34" charset="0"/>
            </a:rPr>
            <a:t> OPERATIONS DASHBOARD</a:t>
          </a:r>
          <a:endParaRPr lang="en-GB" sz="4200" b="1">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6</xdr:col>
      <xdr:colOff>2317</xdr:colOff>
      <xdr:row>20</xdr:row>
      <xdr:rowOff>20160</xdr:rowOff>
    </xdr:from>
    <xdr:to>
      <xdr:col>12</xdr:col>
      <xdr:colOff>0</xdr:colOff>
      <xdr:row>36</xdr:row>
      <xdr:rowOff>161442</xdr:rowOff>
    </xdr:to>
    <xdr:graphicFrame macro="">
      <xdr:nvGraphicFramePr>
        <xdr:cNvPr id="5" name="Chart 4">
          <a:extLst>
            <a:ext uri="{FF2B5EF4-FFF2-40B4-BE49-F238E27FC236}">
              <a16:creationId xmlns:a16="http://schemas.microsoft.com/office/drawing/2014/main" id="{45843254-D483-4097-9434-D40FEF523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22678</xdr:colOff>
      <xdr:row>19</xdr:row>
      <xdr:rowOff>145297</xdr:rowOff>
    </xdr:from>
    <xdr:to>
      <xdr:col>19</xdr:col>
      <xdr:colOff>16144</xdr:colOff>
      <xdr:row>36</xdr:row>
      <xdr:rowOff>145296</xdr:rowOff>
    </xdr:to>
    <xdr:graphicFrame macro="">
      <xdr:nvGraphicFramePr>
        <xdr:cNvPr id="6" name="Chart 5">
          <a:extLst>
            <a:ext uri="{FF2B5EF4-FFF2-40B4-BE49-F238E27FC236}">
              <a16:creationId xmlns:a16="http://schemas.microsoft.com/office/drawing/2014/main" id="{62174E5F-F99A-4D91-8820-CB7DA4689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18341</xdr:colOff>
      <xdr:row>19</xdr:row>
      <xdr:rowOff>167639</xdr:rowOff>
    </xdr:from>
    <xdr:to>
      <xdr:col>25</xdr:col>
      <xdr:colOff>674962</xdr:colOff>
      <xdr:row>37</xdr:row>
      <xdr:rowOff>-1</xdr:rowOff>
    </xdr:to>
    <xdr:graphicFrame macro="">
      <xdr:nvGraphicFramePr>
        <xdr:cNvPr id="7" name="Chart 6">
          <a:extLst>
            <a:ext uri="{FF2B5EF4-FFF2-40B4-BE49-F238E27FC236}">
              <a16:creationId xmlns:a16="http://schemas.microsoft.com/office/drawing/2014/main" id="{0FC92C12-1718-442A-A270-9C7CD6DB4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27620</xdr:colOff>
      <xdr:row>44</xdr:row>
      <xdr:rowOff>8820</xdr:rowOff>
    </xdr:from>
    <xdr:to>
      <xdr:col>12</xdr:col>
      <xdr:colOff>8819</xdr:colOff>
      <xdr:row>61</xdr:row>
      <xdr:rowOff>0</xdr:rowOff>
    </xdr:to>
    <xdr:graphicFrame macro="">
      <xdr:nvGraphicFramePr>
        <xdr:cNvPr id="8" name="Chart 7">
          <a:extLst>
            <a:ext uri="{FF2B5EF4-FFF2-40B4-BE49-F238E27FC236}">
              <a16:creationId xmlns:a16="http://schemas.microsoft.com/office/drawing/2014/main" id="{4C9467A7-BB7D-48C0-A939-0DEDCFFB3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194028</xdr:colOff>
      <xdr:row>40</xdr:row>
      <xdr:rowOff>74876</xdr:rowOff>
    </xdr:from>
    <xdr:to>
      <xdr:col>18</xdr:col>
      <xdr:colOff>502708</xdr:colOff>
      <xdr:row>42</xdr:row>
      <xdr:rowOff>166281</xdr:rowOff>
    </xdr:to>
    <xdr:sp macro="" textlink="">
      <xdr:nvSpPr>
        <xdr:cNvPr id="9" name="Rectangle 8">
          <a:extLst>
            <a:ext uri="{FF2B5EF4-FFF2-40B4-BE49-F238E27FC236}">
              <a16:creationId xmlns:a16="http://schemas.microsoft.com/office/drawing/2014/main" id="{B1F13389-9CE6-9E44-6801-54136244110A}"/>
            </a:ext>
          </a:extLst>
        </xdr:cNvPr>
        <xdr:cNvSpPr/>
      </xdr:nvSpPr>
      <xdr:spPr>
        <a:xfrm>
          <a:off x="8792986" y="7130432"/>
          <a:ext cx="3615972" cy="444182"/>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b="1"/>
            <a:t>  Patient</a:t>
          </a:r>
          <a:r>
            <a:rPr lang="en-GB" sz="2000" b="1" baseline="0"/>
            <a:t> Visits by Province</a:t>
          </a:r>
          <a:endParaRPr lang="en-GB" sz="2000" b="1"/>
        </a:p>
      </xdr:txBody>
    </xdr:sp>
    <xdr:clientData/>
  </xdr:twoCellAnchor>
  <xdr:twoCellAnchor>
    <xdr:from>
      <xdr:col>6</xdr:col>
      <xdr:colOff>172834</xdr:colOff>
      <xdr:row>16</xdr:row>
      <xdr:rowOff>160219</xdr:rowOff>
    </xdr:from>
    <xdr:to>
      <xdr:col>11</xdr:col>
      <xdr:colOff>371314</xdr:colOff>
      <xdr:row>19</xdr:row>
      <xdr:rowOff>64577</xdr:rowOff>
    </xdr:to>
    <xdr:sp macro="" textlink="">
      <xdr:nvSpPr>
        <xdr:cNvPr id="10" name="Rectangle 9">
          <a:extLst>
            <a:ext uri="{FF2B5EF4-FFF2-40B4-BE49-F238E27FC236}">
              <a16:creationId xmlns:a16="http://schemas.microsoft.com/office/drawing/2014/main" id="{2A999493-F7CA-450E-BEED-9B2C67C3607D}"/>
            </a:ext>
          </a:extLst>
        </xdr:cNvPr>
        <xdr:cNvSpPr/>
      </xdr:nvSpPr>
      <xdr:spPr>
        <a:xfrm>
          <a:off x="4241139" y="3001575"/>
          <a:ext cx="3588734" cy="437112"/>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b="1"/>
            <a:t>Average Wait Time &amp; Visit Type</a:t>
          </a:r>
        </a:p>
      </xdr:txBody>
    </xdr:sp>
    <xdr:clientData/>
  </xdr:twoCellAnchor>
  <xdr:twoCellAnchor>
    <xdr:from>
      <xdr:col>13</xdr:col>
      <xdr:colOff>186231</xdr:colOff>
      <xdr:row>16</xdr:row>
      <xdr:rowOff>126849</xdr:rowOff>
    </xdr:from>
    <xdr:to>
      <xdr:col>18</xdr:col>
      <xdr:colOff>403603</xdr:colOff>
      <xdr:row>19</xdr:row>
      <xdr:rowOff>32288</xdr:rowOff>
    </xdr:to>
    <xdr:sp macro="" textlink="">
      <xdr:nvSpPr>
        <xdr:cNvPr id="11" name="Rectangle 10">
          <a:extLst>
            <a:ext uri="{FF2B5EF4-FFF2-40B4-BE49-F238E27FC236}">
              <a16:creationId xmlns:a16="http://schemas.microsoft.com/office/drawing/2014/main" id="{98DEDF4F-F1D1-4D31-8A8C-FC899375E507}"/>
            </a:ext>
          </a:extLst>
        </xdr:cNvPr>
        <xdr:cNvSpPr/>
      </xdr:nvSpPr>
      <xdr:spPr>
        <a:xfrm>
          <a:off x="9000892" y="2968205"/>
          <a:ext cx="3607626" cy="438193"/>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b="1"/>
            <a:t>Average</a:t>
          </a:r>
          <a:r>
            <a:rPr lang="en-GB" sz="2000" b="1" baseline="0"/>
            <a:t> Patient Satisfaction</a:t>
          </a:r>
          <a:r>
            <a:rPr lang="en-GB" sz="2000" b="1"/>
            <a:t> </a:t>
          </a:r>
        </a:p>
      </xdr:txBody>
    </xdr:sp>
    <xdr:clientData/>
  </xdr:twoCellAnchor>
  <xdr:twoCellAnchor>
    <xdr:from>
      <xdr:col>20</xdr:col>
      <xdr:colOff>258431</xdr:colOff>
      <xdr:row>16</xdr:row>
      <xdr:rowOff>140291</xdr:rowOff>
    </xdr:from>
    <xdr:to>
      <xdr:col>25</xdr:col>
      <xdr:colOff>355171</xdr:colOff>
      <xdr:row>19</xdr:row>
      <xdr:rowOff>32288</xdr:rowOff>
    </xdr:to>
    <xdr:sp macro="" textlink="">
      <xdr:nvSpPr>
        <xdr:cNvPr id="12" name="Rectangle 11">
          <a:extLst>
            <a:ext uri="{FF2B5EF4-FFF2-40B4-BE49-F238E27FC236}">
              <a16:creationId xmlns:a16="http://schemas.microsoft.com/office/drawing/2014/main" id="{EFF774EE-8ECA-483E-A977-1B7202B3F456}"/>
            </a:ext>
          </a:extLst>
        </xdr:cNvPr>
        <xdr:cNvSpPr/>
      </xdr:nvSpPr>
      <xdr:spPr>
        <a:xfrm>
          <a:off x="13819448" y="2981647"/>
          <a:ext cx="3486994" cy="424751"/>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b="1"/>
            <a:t>     Treatment</a:t>
          </a:r>
          <a:r>
            <a:rPr lang="en-GB" sz="2000" b="1" baseline="0"/>
            <a:t> Cost</a:t>
          </a:r>
          <a:endParaRPr lang="en-GB" sz="2000" b="1"/>
        </a:p>
      </xdr:txBody>
    </xdr:sp>
    <xdr:clientData/>
  </xdr:twoCellAnchor>
  <xdr:twoCellAnchor>
    <xdr:from>
      <xdr:col>6</xdr:col>
      <xdr:colOff>211275</xdr:colOff>
      <xdr:row>40</xdr:row>
      <xdr:rowOff>97012</xdr:rowOff>
    </xdr:from>
    <xdr:to>
      <xdr:col>11</xdr:col>
      <xdr:colOff>529166</xdr:colOff>
      <xdr:row>42</xdr:row>
      <xdr:rowOff>176388</xdr:rowOff>
    </xdr:to>
    <xdr:sp macro="" textlink="">
      <xdr:nvSpPr>
        <xdr:cNvPr id="13" name="Rectangle 12">
          <a:extLst>
            <a:ext uri="{FF2B5EF4-FFF2-40B4-BE49-F238E27FC236}">
              <a16:creationId xmlns:a16="http://schemas.microsoft.com/office/drawing/2014/main" id="{44C9E3DD-AF03-4A1C-AA51-B36D7DF0C2A1}"/>
            </a:ext>
          </a:extLst>
        </xdr:cNvPr>
        <xdr:cNvSpPr/>
      </xdr:nvSpPr>
      <xdr:spPr>
        <a:xfrm>
          <a:off x="4180025" y="7152568"/>
          <a:ext cx="3625183" cy="432153"/>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b="1"/>
            <a:t>Readmission</a:t>
          </a:r>
          <a:r>
            <a:rPr lang="en-GB" sz="2000" b="1" baseline="0"/>
            <a:t> by Department</a:t>
          </a:r>
          <a:endParaRPr lang="en-GB" sz="2000" b="1"/>
        </a:p>
      </xdr:txBody>
    </xdr:sp>
    <xdr:clientData/>
  </xdr:twoCellAnchor>
  <xdr:twoCellAnchor editAs="oneCell">
    <xdr:from>
      <xdr:col>2</xdr:col>
      <xdr:colOff>621287</xdr:colOff>
      <xdr:row>33</xdr:row>
      <xdr:rowOff>63142</xdr:rowOff>
    </xdr:from>
    <xdr:to>
      <xdr:col>5</xdr:col>
      <xdr:colOff>409802</xdr:colOff>
      <xdr:row>47</xdr:row>
      <xdr:rowOff>37929</xdr:rowOff>
    </xdr:to>
    <mc:AlternateContent xmlns:mc="http://schemas.openxmlformats.org/markup-compatibility/2006" xmlns:a14="http://schemas.microsoft.com/office/drawing/2010/main">
      <mc:Choice Requires="a14">
        <xdr:graphicFrame macro="">
          <xdr:nvGraphicFramePr>
            <xdr:cNvPr id="14" name="Hospital">
              <a:extLst>
                <a:ext uri="{FF2B5EF4-FFF2-40B4-BE49-F238E27FC236}">
                  <a16:creationId xmlns:a16="http://schemas.microsoft.com/office/drawing/2014/main" id="{3400B829-A260-10FB-826C-36D2F9046254}"/>
                </a:ext>
              </a:extLst>
            </xdr:cNvPr>
            <xdr:cNvGraphicFramePr/>
          </xdr:nvGraphicFramePr>
          <xdr:xfrm>
            <a:off x="0" y="0"/>
            <a:ext cx="0" cy="0"/>
          </xdr:xfrm>
          <a:graphic>
            <a:graphicData uri="http://schemas.microsoft.com/office/drawing/2010/slicer">
              <sle:slicer xmlns:sle="http://schemas.microsoft.com/office/drawing/2010/slicer" name="Hospital"/>
            </a:graphicData>
          </a:graphic>
        </xdr:graphicFrame>
      </mc:Choice>
      <mc:Fallback xmlns="">
        <xdr:sp macro="" textlink="">
          <xdr:nvSpPr>
            <xdr:cNvPr id="0" name=""/>
            <xdr:cNvSpPr>
              <a:spLocks noTextEdit="1"/>
            </xdr:cNvSpPr>
          </xdr:nvSpPr>
          <xdr:spPr>
            <a:xfrm>
              <a:off x="1938324" y="6272031"/>
              <a:ext cx="1764071" cy="260886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623559</xdr:colOff>
      <xdr:row>17</xdr:row>
      <xdr:rowOff>165382</xdr:rowOff>
    </xdr:from>
    <xdr:to>
      <xdr:col>5</xdr:col>
      <xdr:colOff>412074</xdr:colOff>
      <xdr:row>31</xdr:row>
      <xdr:rowOff>140170</xdr:rowOff>
    </xdr:to>
    <mc:AlternateContent xmlns:mc="http://schemas.openxmlformats.org/markup-compatibility/2006" xmlns:a14="http://schemas.microsoft.com/office/drawing/2010/main">
      <mc:Choice Requires="a14">
        <xdr:graphicFrame macro="">
          <xdr:nvGraphicFramePr>
            <xdr:cNvPr id="15" name="Department">
              <a:extLst>
                <a:ext uri="{FF2B5EF4-FFF2-40B4-BE49-F238E27FC236}">
                  <a16:creationId xmlns:a16="http://schemas.microsoft.com/office/drawing/2014/main" id="{81F064E6-D322-42FE-E253-D368130FFC8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940596" y="3363901"/>
              <a:ext cx="1764071" cy="260886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16144</xdr:colOff>
      <xdr:row>10</xdr:row>
      <xdr:rowOff>109148</xdr:rowOff>
    </xdr:from>
    <xdr:to>
      <xdr:col>11</xdr:col>
      <xdr:colOff>0</xdr:colOff>
      <xdr:row>14</xdr:row>
      <xdr:rowOff>165178</xdr:rowOff>
    </xdr:to>
    <xdr:sp macro="" textlink="METRICS!$D$2">
      <xdr:nvSpPr>
        <xdr:cNvPr id="18" name="Rectangle 17">
          <a:extLst>
            <a:ext uri="{FF2B5EF4-FFF2-40B4-BE49-F238E27FC236}">
              <a16:creationId xmlns:a16="http://schemas.microsoft.com/office/drawing/2014/main" id="{38D5A719-792B-570F-F4EA-7CEFBE4CB4E0}"/>
            </a:ext>
          </a:extLst>
        </xdr:cNvPr>
        <xdr:cNvSpPr/>
      </xdr:nvSpPr>
      <xdr:spPr>
        <a:xfrm>
          <a:off x="4762500" y="1884995"/>
          <a:ext cx="2696059" cy="766369"/>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8069994-BBC8-4721-8D12-9460BB1A636E}" type="TxLink">
            <a:rPr lang="en-US" sz="1400" b="1" i="0" u="none" strike="noStrike">
              <a:solidFill>
                <a:schemeClr val="bg2"/>
              </a:solidFill>
              <a:latin typeface="Tahoma" panose="020B0604030504040204" pitchFamily="34" charset="0"/>
              <a:ea typeface="Tahoma" panose="020B0604030504040204" pitchFamily="34" charset="0"/>
              <a:cs typeface="Tahoma" panose="020B0604030504040204" pitchFamily="34" charset="0"/>
            </a:rPr>
            <a:pPr algn="ctr"/>
            <a:t>TOTAL PATIENT VISITS
500</a:t>
          </a:fld>
          <a:endParaRPr lang="en-GB" sz="1400" b="1">
            <a:solidFill>
              <a:schemeClr val="bg2"/>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577775</xdr:colOff>
      <xdr:row>10</xdr:row>
      <xdr:rowOff>111782</xdr:rowOff>
    </xdr:from>
    <xdr:to>
      <xdr:col>16</xdr:col>
      <xdr:colOff>79375</xdr:colOff>
      <xdr:row>14</xdr:row>
      <xdr:rowOff>153686</xdr:rowOff>
    </xdr:to>
    <xdr:sp macro="" textlink="METRICS!$E$3">
      <xdr:nvSpPr>
        <xdr:cNvPr id="19" name="Rectangle 18">
          <a:extLst>
            <a:ext uri="{FF2B5EF4-FFF2-40B4-BE49-F238E27FC236}">
              <a16:creationId xmlns:a16="http://schemas.microsoft.com/office/drawing/2014/main" id="{BC5C17B7-6830-4D02-91FD-7A92B0A0A805}"/>
            </a:ext>
          </a:extLst>
        </xdr:cNvPr>
        <xdr:cNvSpPr/>
      </xdr:nvSpPr>
      <xdr:spPr>
        <a:xfrm>
          <a:off x="8036334" y="1887629"/>
          <a:ext cx="2891855" cy="752243"/>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2EE9BEF-8812-4893-995C-0E3B26A3FA2C}" type="TxLink">
            <a:rPr lang="en-US" sz="1400" b="1" i="0" u="none" strike="noStrike">
              <a:solidFill>
                <a:schemeClr val="bg2"/>
              </a:solidFill>
              <a:latin typeface="Tahoma" panose="020B0604030504040204" pitchFamily="34" charset="0"/>
              <a:ea typeface="Tahoma" panose="020B0604030504040204" pitchFamily="34" charset="0"/>
              <a:cs typeface="Tahoma" panose="020B0604030504040204" pitchFamily="34" charset="0"/>
            </a:rPr>
            <a:pPr algn="l"/>
            <a:t>TOTAL TREATMENT COST
CNY 4,461,080</a:t>
          </a:fld>
          <a:endParaRPr lang="en-GB" sz="1400" b="1">
            <a:solidFill>
              <a:schemeClr val="bg2"/>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16</xdr:col>
      <xdr:colOff>511810</xdr:colOff>
      <xdr:row>10</xdr:row>
      <xdr:rowOff>100051</xdr:rowOff>
    </xdr:from>
    <xdr:to>
      <xdr:col>20</xdr:col>
      <xdr:colOff>573114</xdr:colOff>
      <xdr:row>14</xdr:row>
      <xdr:rowOff>156080</xdr:rowOff>
    </xdr:to>
    <xdr:sp macro="" textlink="METRICS!$E$4">
      <xdr:nvSpPr>
        <xdr:cNvPr id="20" name="Rectangle 19">
          <a:extLst>
            <a:ext uri="{FF2B5EF4-FFF2-40B4-BE49-F238E27FC236}">
              <a16:creationId xmlns:a16="http://schemas.microsoft.com/office/drawing/2014/main" id="{D790ADB2-B856-4CAE-A07A-EB1FABC84134}"/>
            </a:ext>
          </a:extLst>
        </xdr:cNvPr>
        <xdr:cNvSpPr/>
      </xdr:nvSpPr>
      <xdr:spPr>
        <a:xfrm>
          <a:off x="11360624" y="1875898"/>
          <a:ext cx="2773507" cy="766368"/>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6419EDD-6F56-4990-BD25-458A82214A91}" type="TxLink">
            <a:rPr lang="en-US" sz="1400" b="1" i="0" u="none" strike="noStrike">
              <a:solidFill>
                <a:schemeClr val="bg2"/>
              </a:solidFill>
              <a:latin typeface="Tahoma" panose="020B0604030504040204" pitchFamily="34" charset="0"/>
              <a:ea typeface="Tahoma" panose="020B0604030504040204" pitchFamily="34" charset="0"/>
              <a:cs typeface="Tahoma" panose="020B0604030504040204" pitchFamily="34" charset="0"/>
            </a:rPr>
            <a:pPr algn="l"/>
            <a:t>AVERAGE LENGTH OF STAY
6.5 days</a:t>
          </a:fld>
          <a:endParaRPr lang="en-GB" sz="1400" b="1">
            <a:solidFill>
              <a:schemeClr val="bg2"/>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21</xdr:col>
      <xdr:colOff>302781</xdr:colOff>
      <xdr:row>10</xdr:row>
      <xdr:rowOff>114057</xdr:rowOff>
    </xdr:from>
    <xdr:to>
      <xdr:col>25</xdr:col>
      <xdr:colOff>511378</xdr:colOff>
      <xdr:row>14</xdr:row>
      <xdr:rowOff>153685</xdr:rowOff>
    </xdr:to>
    <xdr:sp macro="" textlink="METRICS!$E$5">
      <xdr:nvSpPr>
        <xdr:cNvPr id="21" name="Rectangle 20">
          <a:extLst>
            <a:ext uri="{FF2B5EF4-FFF2-40B4-BE49-F238E27FC236}">
              <a16:creationId xmlns:a16="http://schemas.microsoft.com/office/drawing/2014/main" id="{2CCE6C22-2423-495E-B41E-C5E4D8AA17B2}"/>
            </a:ext>
          </a:extLst>
        </xdr:cNvPr>
        <xdr:cNvSpPr/>
      </xdr:nvSpPr>
      <xdr:spPr>
        <a:xfrm>
          <a:off x="14541849" y="1889904"/>
          <a:ext cx="2920800" cy="749967"/>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5B48553-7556-4DFD-BFA3-C0F195B3B205}" type="TxLink">
            <a:rPr lang="en-US" sz="1400" b="1" i="0" u="none" strike="noStrike">
              <a:solidFill>
                <a:schemeClr val="bg2"/>
              </a:solidFill>
              <a:latin typeface="Tahoma" panose="020B0604030504040204" pitchFamily="34" charset="0"/>
              <a:ea typeface="Tahoma" panose="020B0604030504040204" pitchFamily="34" charset="0"/>
              <a:cs typeface="Tahoma" panose="020B0604030504040204" pitchFamily="34" charset="0"/>
            </a:rPr>
            <a:pPr algn="l"/>
            <a:t>PATIENT SATISFACTION
2.98 / 5</a:t>
          </a:fld>
          <a:endParaRPr lang="en-GB" sz="1400" b="1">
            <a:solidFill>
              <a:schemeClr val="bg2"/>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257175</xdr:colOff>
      <xdr:row>16</xdr:row>
      <xdr:rowOff>19050</xdr:rowOff>
    </xdr:from>
    <xdr:to>
      <xdr:col>5</xdr:col>
      <xdr:colOff>561975</xdr:colOff>
      <xdr:row>31</xdr:row>
      <xdr:rowOff>47625</xdr:rowOff>
    </xdr:to>
    <xdr:graphicFrame macro="">
      <xdr:nvGraphicFramePr>
        <xdr:cNvPr id="2" name="Chart 1">
          <a:extLst>
            <a:ext uri="{FF2B5EF4-FFF2-40B4-BE49-F238E27FC236}">
              <a16:creationId xmlns:a16="http://schemas.microsoft.com/office/drawing/2014/main" id="{58BD7C43-16A6-3B8C-0D7C-DD91A1F323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olleyward6 MHH" refreshedDate="46290.019812384257" createdVersion="8" refreshedVersion="8" minRefreshableVersion="3" recordCount="500" xr:uid="{FA3A9339-64FF-420C-8F5E-CBF2747C5910}">
  <cacheSource type="worksheet">
    <worksheetSource name="PracticeData"/>
  </cacheSource>
  <cacheFields count="12">
    <cacheField name="Visit ID" numFmtId="0">
      <sharedItems/>
    </cacheField>
    <cacheField name="Visit Date" numFmtId="164">
      <sharedItems containsSemiMixedTypes="0" containsNonDate="0" containsDate="1" containsString="0" minDate="2025-01-01T00:00:00" maxDate="2025-12-29T00:00:00"/>
    </cacheField>
    <cacheField name="Province" numFmtId="0">
      <sharedItems count="5">
        <s v="Guangdong"/>
        <s v="Zhejiang"/>
        <s v="Sichuan"/>
        <s v="Beijing"/>
        <s v="Shanghai"/>
      </sharedItems>
    </cacheField>
    <cacheField name="Hospital" numFmtId="0">
      <sharedItems count="5">
        <s v="Guangzhou Health Centre"/>
        <s v="Hangzhou General"/>
        <s v="Chengdu Medical"/>
        <s v="Beijing City Hospital"/>
        <s v="Shanghai Central"/>
      </sharedItems>
    </cacheField>
    <cacheField name="Department" numFmtId="0">
      <sharedItems count="5">
        <s v="Orthopedics"/>
        <s v="General Medicine"/>
        <s v="Emergency"/>
        <s v="Cardiology"/>
        <s v="Pediatrics"/>
      </sharedItems>
    </cacheField>
    <cacheField name="Visit Type" numFmtId="0">
      <sharedItems count="3">
        <s v="Outpatient"/>
        <s v="Emergency"/>
        <s v="Inpatient"/>
      </sharedItems>
    </cacheField>
    <cacheField name="Age Group" numFmtId="0">
      <sharedItems/>
    </cacheField>
    <cacheField name="Wait Minutes" numFmtId="0">
      <sharedItems containsSemiMixedTypes="0" containsString="0" containsNumber="1" containsInteger="1" minValue="5" maxValue="170"/>
    </cacheField>
    <cacheField name="Length of Stay (Days)" numFmtId="0">
      <sharedItems containsSemiMixedTypes="0" containsString="0" containsNumber="1" containsInteger="1" minValue="0" maxValue="13"/>
    </cacheField>
    <cacheField name="Patient Satisfaction (1-5)" numFmtId="0">
      <sharedItems containsSemiMixedTypes="0" containsString="0" containsNumber="1" containsInteger="1" minValue="1" maxValue="5"/>
    </cacheField>
    <cacheField name="Treatment Cost (CNY)" numFmtId="0">
      <sharedItems containsSemiMixedTypes="0" containsString="0" containsNumber="1" containsInteger="1" minValue="209" maxValue="17881"/>
    </cacheField>
    <cacheField name="Readmitted Within 30 Days" numFmtId="0">
      <sharedItems count="2">
        <s v="Yes"/>
        <s v="No"/>
      </sharedItems>
    </cacheField>
  </cacheFields>
  <extLst>
    <ext xmlns:x14="http://schemas.microsoft.com/office/spreadsheetml/2009/9/main" uri="{725AE2AE-9491-48be-B2B4-4EB974FC3084}">
      <x14:pivotCacheDefinition pivotCacheId="14076119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02-0001"/>
    <d v="2025-05-05T00:00:00"/>
    <x v="0"/>
    <x v="0"/>
    <x v="0"/>
    <x v="0"/>
    <s v="75+"/>
    <n v="135"/>
    <n v="3"/>
    <n v="5"/>
    <n v="12041"/>
    <x v="0"/>
  </r>
  <r>
    <s v="02-0002"/>
    <d v="2025-08-24T00:00:00"/>
    <x v="1"/>
    <x v="1"/>
    <x v="1"/>
    <x v="1"/>
    <s v="55-74"/>
    <n v="74"/>
    <n v="2"/>
    <n v="1"/>
    <n v="9918"/>
    <x v="0"/>
  </r>
  <r>
    <s v="02-0003"/>
    <d v="2025-08-02T00:00:00"/>
    <x v="2"/>
    <x v="2"/>
    <x v="2"/>
    <x v="1"/>
    <s v="55-74"/>
    <n v="159"/>
    <n v="11"/>
    <n v="1"/>
    <n v="1032"/>
    <x v="1"/>
  </r>
  <r>
    <s v="02-0004"/>
    <d v="2025-07-10T00:00:00"/>
    <x v="1"/>
    <x v="1"/>
    <x v="0"/>
    <x v="0"/>
    <s v="35-54"/>
    <n v="138"/>
    <n v="5"/>
    <n v="3"/>
    <n v="7798"/>
    <x v="1"/>
  </r>
  <r>
    <s v="02-0005"/>
    <d v="2025-02-25T00:00:00"/>
    <x v="3"/>
    <x v="3"/>
    <x v="3"/>
    <x v="2"/>
    <s v="18-34"/>
    <n v="87"/>
    <n v="7"/>
    <n v="2"/>
    <n v="433"/>
    <x v="1"/>
  </r>
  <r>
    <s v="02-0006"/>
    <d v="2025-08-18T00:00:00"/>
    <x v="0"/>
    <x v="0"/>
    <x v="0"/>
    <x v="0"/>
    <s v="55-74"/>
    <n v="34"/>
    <n v="8"/>
    <n v="2"/>
    <n v="6542"/>
    <x v="0"/>
  </r>
  <r>
    <s v="02-0007"/>
    <d v="2025-12-13T00:00:00"/>
    <x v="1"/>
    <x v="1"/>
    <x v="0"/>
    <x v="2"/>
    <s v="75+"/>
    <n v="117"/>
    <n v="5"/>
    <n v="5"/>
    <n v="15258"/>
    <x v="0"/>
  </r>
  <r>
    <s v="02-0008"/>
    <d v="2025-01-19T00:00:00"/>
    <x v="3"/>
    <x v="3"/>
    <x v="2"/>
    <x v="2"/>
    <s v="0-17"/>
    <n v="32"/>
    <n v="2"/>
    <n v="3"/>
    <n v="9945"/>
    <x v="1"/>
  </r>
  <r>
    <s v="02-0009"/>
    <d v="2025-09-27T00:00:00"/>
    <x v="0"/>
    <x v="0"/>
    <x v="1"/>
    <x v="2"/>
    <s v="0-17"/>
    <n v="121"/>
    <n v="7"/>
    <n v="4"/>
    <n v="14786"/>
    <x v="1"/>
  </r>
  <r>
    <s v="02-0010"/>
    <d v="2025-02-22T00:00:00"/>
    <x v="3"/>
    <x v="3"/>
    <x v="1"/>
    <x v="2"/>
    <s v="35-54"/>
    <n v="11"/>
    <n v="1"/>
    <n v="1"/>
    <n v="7553"/>
    <x v="1"/>
  </r>
  <r>
    <s v="02-0011"/>
    <d v="2025-03-16T00:00:00"/>
    <x v="4"/>
    <x v="4"/>
    <x v="3"/>
    <x v="2"/>
    <s v="55-74"/>
    <n v="54"/>
    <n v="1"/>
    <n v="4"/>
    <n v="5553"/>
    <x v="1"/>
  </r>
  <r>
    <s v="02-0012"/>
    <d v="2025-01-03T00:00:00"/>
    <x v="2"/>
    <x v="2"/>
    <x v="0"/>
    <x v="0"/>
    <s v="55-74"/>
    <n v="49"/>
    <n v="3"/>
    <n v="3"/>
    <n v="6736"/>
    <x v="0"/>
  </r>
  <r>
    <s v="02-0013"/>
    <d v="2025-01-17T00:00:00"/>
    <x v="3"/>
    <x v="3"/>
    <x v="0"/>
    <x v="2"/>
    <s v="35-54"/>
    <n v="168"/>
    <n v="4"/>
    <n v="5"/>
    <n v="17618"/>
    <x v="1"/>
  </r>
  <r>
    <s v="02-0014"/>
    <d v="2025-08-01T00:00:00"/>
    <x v="3"/>
    <x v="3"/>
    <x v="0"/>
    <x v="1"/>
    <s v="55-74"/>
    <n v="80"/>
    <n v="8"/>
    <n v="5"/>
    <n v="7255"/>
    <x v="0"/>
  </r>
  <r>
    <s v="02-0015"/>
    <d v="2025-12-03T00:00:00"/>
    <x v="4"/>
    <x v="4"/>
    <x v="0"/>
    <x v="1"/>
    <s v="0-17"/>
    <n v="137"/>
    <n v="0"/>
    <n v="2"/>
    <n v="5801"/>
    <x v="1"/>
  </r>
  <r>
    <s v="02-0016"/>
    <d v="2025-11-16T00:00:00"/>
    <x v="4"/>
    <x v="4"/>
    <x v="4"/>
    <x v="0"/>
    <s v="18-34"/>
    <n v="143"/>
    <n v="3"/>
    <n v="2"/>
    <n v="12926"/>
    <x v="1"/>
  </r>
  <r>
    <s v="02-0017"/>
    <d v="2025-08-12T00:00:00"/>
    <x v="2"/>
    <x v="2"/>
    <x v="4"/>
    <x v="1"/>
    <s v="0-17"/>
    <n v="143"/>
    <n v="13"/>
    <n v="3"/>
    <n v="5322"/>
    <x v="1"/>
  </r>
  <r>
    <s v="02-0018"/>
    <d v="2025-05-27T00:00:00"/>
    <x v="1"/>
    <x v="1"/>
    <x v="3"/>
    <x v="1"/>
    <s v="18-34"/>
    <n v="146"/>
    <n v="4"/>
    <n v="1"/>
    <n v="7720"/>
    <x v="1"/>
  </r>
  <r>
    <s v="02-0019"/>
    <d v="2025-06-18T00:00:00"/>
    <x v="4"/>
    <x v="4"/>
    <x v="3"/>
    <x v="2"/>
    <s v="0-17"/>
    <n v="138"/>
    <n v="2"/>
    <n v="2"/>
    <n v="887"/>
    <x v="1"/>
  </r>
  <r>
    <s v="02-0020"/>
    <d v="2025-12-05T00:00:00"/>
    <x v="1"/>
    <x v="1"/>
    <x v="0"/>
    <x v="0"/>
    <s v="0-17"/>
    <n v="23"/>
    <n v="5"/>
    <n v="2"/>
    <n v="1383"/>
    <x v="0"/>
  </r>
  <r>
    <s v="02-0021"/>
    <d v="2025-10-10T00:00:00"/>
    <x v="2"/>
    <x v="2"/>
    <x v="0"/>
    <x v="0"/>
    <s v="0-17"/>
    <n v="76"/>
    <n v="9"/>
    <n v="1"/>
    <n v="2931"/>
    <x v="0"/>
  </r>
  <r>
    <s v="02-0022"/>
    <d v="2025-10-26T00:00:00"/>
    <x v="0"/>
    <x v="0"/>
    <x v="3"/>
    <x v="0"/>
    <s v="75+"/>
    <n v="162"/>
    <n v="1"/>
    <n v="2"/>
    <n v="7476"/>
    <x v="1"/>
  </r>
  <r>
    <s v="02-0023"/>
    <d v="2025-11-26T00:00:00"/>
    <x v="1"/>
    <x v="1"/>
    <x v="4"/>
    <x v="2"/>
    <s v="75+"/>
    <n v="110"/>
    <n v="7"/>
    <n v="5"/>
    <n v="2015"/>
    <x v="0"/>
  </r>
  <r>
    <s v="02-0024"/>
    <d v="2025-06-28T00:00:00"/>
    <x v="2"/>
    <x v="2"/>
    <x v="0"/>
    <x v="1"/>
    <s v="18-34"/>
    <n v="60"/>
    <n v="12"/>
    <n v="5"/>
    <n v="2022"/>
    <x v="0"/>
  </r>
  <r>
    <s v="02-0025"/>
    <d v="2025-12-28T00:00:00"/>
    <x v="2"/>
    <x v="2"/>
    <x v="3"/>
    <x v="1"/>
    <s v="75+"/>
    <n v="145"/>
    <n v="10"/>
    <n v="2"/>
    <n v="14427"/>
    <x v="1"/>
  </r>
  <r>
    <s v="02-0026"/>
    <d v="2025-09-19T00:00:00"/>
    <x v="2"/>
    <x v="2"/>
    <x v="4"/>
    <x v="1"/>
    <s v="55-74"/>
    <n v="125"/>
    <n v="12"/>
    <n v="5"/>
    <n v="8177"/>
    <x v="1"/>
  </r>
  <r>
    <s v="02-0027"/>
    <d v="2025-07-25T00:00:00"/>
    <x v="3"/>
    <x v="3"/>
    <x v="0"/>
    <x v="1"/>
    <s v="0-17"/>
    <n v="114"/>
    <n v="3"/>
    <n v="1"/>
    <n v="10043"/>
    <x v="1"/>
  </r>
  <r>
    <s v="02-0028"/>
    <d v="2025-06-15T00:00:00"/>
    <x v="2"/>
    <x v="2"/>
    <x v="2"/>
    <x v="0"/>
    <s v="55-74"/>
    <n v="141"/>
    <n v="4"/>
    <n v="5"/>
    <n v="8064"/>
    <x v="1"/>
  </r>
  <r>
    <s v="02-0029"/>
    <d v="2025-06-18T00:00:00"/>
    <x v="0"/>
    <x v="0"/>
    <x v="1"/>
    <x v="0"/>
    <s v="55-74"/>
    <n v="79"/>
    <n v="0"/>
    <n v="4"/>
    <n v="12945"/>
    <x v="1"/>
  </r>
  <r>
    <s v="02-0030"/>
    <d v="2025-09-11T00:00:00"/>
    <x v="4"/>
    <x v="4"/>
    <x v="3"/>
    <x v="2"/>
    <s v="35-54"/>
    <n v="53"/>
    <n v="10"/>
    <n v="3"/>
    <n v="2216"/>
    <x v="1"/>
  </r>
  <r>
    <s v="02-0031"/>
    <d v="2025-07-09T00:00:00"/>
    <x v="0"/>
    <x v="0"/>
    <x v="4"/>
    <x v="0"/>
    <s v="0-17"/>
    <n v="60"/>
    <n v="10"/>
    <n v="4"/>
    <n v="6877"/>
    <x v="0"/>
  </r>
  <r>
    <s v="02-0032"/>
    <d v="2025-12-08T00:00:00"/>
    <x v="2"/>
    <x v="2"/>
    <x v="4"/>
    <x v="1"/>
    <s v="35-54"/>
    <n v="14"/>
    <n v="0"/>
    <n v="1"/>
    <n v="2328"/>
    <x v="1"/>
  </r>
  <r>
    <s v="02-0033"/>
    <d v="2025-08-17T00:00:00"/>
    <x v="2"/>
    <x v="2"/>
    <x v="4"/>
    <x v="0"/>
    <s v="0-17"/>
    <n v="104"/>
    <n v="7"/>
    <n v="2"/>
    <n v="6255"/>
    <x v="1"/>
  </r>
  <r>
    <s v="02-0034"/>
    <d v="2025-09-06T00:00:00"/>
    <x v="0"/>
    <x v="0"/>
    <x v="3"/>
    <x v="0"/>
    <s v="18-34"/>
    <n v="30"/>
    <n v="5"/>
    <n v="4"/>
    <n v="15626"/>
    <x v="0"/>
  </r>
  <r>
    <s v="02-0035"/>
    <d v="2025-03-16T00:00:00"/>
    <x v="2"/>
    <x v="2"/>
    <x v="3"/>
    <x v="1"/>
    <s v="18-34"/>
    <n v="113"/>
    <n v="7"/>
    <n v="4"/>
    <n v="12545"/>
    <x v="0"/>
  </r>
  <r>
    <s v="02-0036"/>
    <d v="2025-11-04T00:00:00"/>
    <x v="1"/>
    <x v="1"/>
    <x v="4"/>
    <x v="2"/>
    <s v="75+"/>
    <n v="64"/>
    <n v="7"/>
    <n v="4"/>
    <n v="10829"/>
    <x v="1"/>
  </r>
  <r>
    <s v="02-0037"/>
    <d v="2025-05-17T00:00:00"/>
    <x v="4"/>
    <x v="4"/>
    <x v="2"/>
    <x v="1"/>
    <s v="18-34"/>
    <n v="151"/>
    <n v="6"/>
    <n v="1"/>
    <n v="3479"/>
    <x v="1"/>
  </r>
  <r>
    <s v="02-0038"/>
    <d v="2025-04-18T00:00:00"/>
    <x v="0"/>
    <x v="0"/>
    <x v="0"/>
    <x v="1"/>
    <s v="0-17"/>
    <n v="97"/>
    <n v="5"/>
    <n v="4"/>
    <n v="17761"/>
    <x v="1"/>
  </r>
  <r>
    <s v="02-0039"/>
    <d v="2025-01-25T00:00:00"/>
    <x v="2"/>
    <x v="2"/>
    <x v="0"/>
    <x v="0"/>
    <s v="55-74"/>
    <n v="159"/>
    <n v="8"/>
    <n v="4"/>
    <n v="467"/>
    <x v="1"/>
  </r>
  <r>
    <s v="02-0040"/>
    <d v="2025-02-09T00:00:00"/>
    <x v="2"/>
    <x v="2"/>
    <x v="3"/>
    <x v="0"/>
    <s v="35-54"/>
    <n v="168"/>
    <n v="8"/>
    <n v="1"/>
    <n v="6303"/>
    <x v="1"/>
  </r>
  <r>
    <s v="02-0041"/>
    <d v="2025-10-02T00:00:00"/>
    <x v="2"/>
    <x v="2"/>
    <x v="1"/>
    <x v="2"/>
    <s v="35-54"/>
    <n v="85"/>
    <n v="10"/>
    <n v="2"/>
    <n v="16416"/>
    <x v="1"/>
  </r>
  <r>
    <s v="02-0042"/>
    <d v="2025-01-15T00:00:00"/>
    <x v="1"/>
    <x v="1"/>
    <x v="2"/>
    <x v="2"/>
    <s v="18-34"/>
    <n v="164"/>
    <n v="7"/>
    <n v="2"/>
    <n v="12684"/>
    <x v="1"/>
  </r>
  <r>
    <s v="02-0043"/>
    <d v="2025-08-26T00:00:00"/>
    <x v="3"/>
    <x v="3"/>
    <x v="0"/>
    <x v="1"/>
    <s v="75+"/>
    <n v="167"/>
    <n v="13"/>
    <n v="5"/>
    <n v="2593"/>
    <x v="1"/>
  </r>
  <r>
    <s v="02-0044"/>
    <d v="2025-06-22T00:00:00"/>
    <x v="4"/>
    <x v="4"/>
    <x v="0"/>
    <x v="1"/>
    <s v="0-17"/>
    <n v="145"/>
    <n v="1"/>
    <n v="4"/>
    <n v="5557"/>
    <x v="1"/>
  </r>
  <r>
    <s v="02-0045"/>
    <d v="2025-12-14T00:00:00"/>
    <x v="0"/>
    <x v="0"/>
    <x v="4"/>
    <x v="0"/>
    <s v="0-17"/>
    <n v="81"/>
    <n v="13"/>
    <n v="5"/>
    <n v="1653"/>
    <x v="1"/>
  </r>
  <r>
    <s v="02-0046"/>
    <d v="2025-03-12T00:00:00"/>
    <x v="0"/>
    <x v="0"/>
    <x v="2"/>
    <x v="1"/>
    <s v="35-54"/>
    <n v="142"/>
    <n v="12"/>
    <n v="5"/>
    <n v="7914"/>
    <x v="1"/>
  </r>
  <r>
    <s v="02-0047"/>
    <d v="2025-09-22T00:00:00"/>
    <x v="1"/>
    <x v="1"/>
    <x v="2"/>
    <x v="1"/>
    <s v="75+"/>
    <n v="48"/>
    <n v="0"/>
    <n v="2"/>
    <n v="9822"/>
    <x v="1"/>
  </r>
  <r>
    <s v="02-0048"/>
    <d v="2025-02-17T00:00:00"/>
    <x v="4"/>
    <x v="4"/>
    <x v="1"/>
    <x v="2"/>
    <s v="0-17"/>
    <n v="16"/>
    <n v="11"/>
    <n v="5"/>
    <n v="13966"/>
    <x v="1"/>
  </r>
  <r>
    <s v="02-0049"/>
    <d v="2025-02-07T00:00:00"/>
    <x v="4"/>
    <x v="4"/>
    <x v="0"/>
    <x v="2"/>
    <s v="55-74"/>
    <n v="159"/>
    <n v="2"/>
    <n v="3"/>
    <n v="10483"/>
    <x v="1"/>
  </r>
  <r>
    <s v="02-0050"/>
    <d v="2025-01-04T00:00:00"/>
    <x v="0"/>
    <x v="0"/>
    <x v="2"/>
    <x v="0"/>
    <s v="55-74"/>
    <n v="48"/>
    <n v="8"/>
    <n v="3"/>
    <n v="6161"/>
    <x v="1"/>
  </r>
  <r>
    <s v="02-0051"/>
    <d v="2025-05-16T00:00:00"/>
    <x v="3"/>
    <x v="3"/>
    <x v="2"/>
    <x v="0"/>
    <s v="55-74"/>
    <n v="105"/>
    <n v="9"/>
    <n v="3"/>
    <n v="8244"/>
    <x v="0"/>
  </r>
  <r>
    <s v="02-0052"/>
    <d v="2025-04-02T00:00:00"/>
    <x v="3"/>
    <x v="3"/>
    <x v="4"/>
    <x v="2"/>
    <s v="0-17"/>
    <n v="25"/>
    <n v="7"/>
    <n v="1"/>
    <n v="9525"/>
    <x v="1"/>
  </r>
  <r>
    <s v="02-0053"/>
    <d v="2025-07-23T00:00:00"/>
    <x v="3"/>
    <x v="3"/>
    <x v="4"/>
    <x v="2"/>
    <s v="18-34"/>
    <n v="98"/>
    <n v="1"/>
    <n v="1"/>
    <n v="16186"/>
    <x v="1"/>
  </r>
  <r>
    <s v="02-0054"/>
    <d v="2025-07-14T00:00:00"/>
    <x v="4"/>
    <x v="4"/>
    <x v="3"/>
    <x v="2"/>
    <s v="35-54"/>
    <n v="27"/>
    <n v="1"/>
    <n v="5"/>
    <n v="9752"/>
    <x v="1"/>
  </r>
  <r>
    <s v="02-0055"/>
    <d v="2025-05-15T00:00:00"/>
    <x v="1"/>
    <x v="1"/>
    <x v="2"/>
    <x v="1"/>
    <s v="0-17"/>
    <n v="65"/>
    <n v="11"/>
    <n v="1"/>
    <n v="15067"/>
    <x v="1"/>
  </r>
  <r>
    <s v="02-0056"/>
    <d v="2025-09-18T00:00:00"/>
    <x v="3"/>
    <x v="3"/>
    <x v="3"/>
    <x v="1"/>
    <s v="35-54"/>
    <n v="66"/>
    <n v="7"/>
    <n v="3"/>
    <n v="2934"/>
    <x v="1"/>
  </r>
  <r>
    <s v="02-0057"/>
    <d v="2025-12-16T00:00:00"/>
    <x v="4"/>
    <x v="4"/>
    <x v="2"/>
    <x v="0"/>
    <s v="75+"/>
    <n v="145"/>
    <n v="10"/>
    <n v="2"/>
    <n v="15393"/>
    <x v="1"/>
  </r>
  <r>
    <s v="02-0058"/>
    <d v="2025-01-09T00:00:00"/>
    <x v="2"/>
    <x v="2"/>
    <x v="1"/>
    <x v="1"/>
    <s v="55-74"/>
    <n v="141"/>
    <n v="1"/>
    <n v="5"/>
    <n v="14074"/>
    <x v="1"/>
  </r>
  <r>
    <s v="02-0059"/>
    <d v="2025-03-23T00:00:00"/>
    <x v="0"/>
    <x v="0"/>
    <x v="1"/>
    <x v="1"/>
    <s v="35-54"/>
    <n v="52"/>
    <n v="12"/>
    <n v="1"/>
    <n v="317"/>
    <x v="1"/>
  </r>
  <r>
    <s v="02-0060"/>
    <d v="2025-09-20T00:00:00"/>
    <x v="0"/>
    <x v="0"/>
    <x v="2"/>
    <x v="1"/>
    <s v="75+"/>
    <n v="10"/>
    <n v="2"/>
    <n v="4"/>
    <n v="808"/>
    <x v="0"/>
  </r>
  <r>
    <s v="02-0061"/>
    <d v="2025-01-23T00:00:00"/>
    <x v="2"/>
    <x v="2"/>
    <x v="1"/>
    <x v="1"/>
    <s v="0-17"/>
    <n v="163"/>
    <n v="12"/>
    <n v="2"/>
    <n v="6738"/>
    <x v="1"/>
  </r>
  <r>
    <s v="02-0062"/>
    <d v="2025-07-18T00:00:00"/>
    <x v="2"/>
    <x v="2"/>
    <x v="2"/>
    <x v="2"/>
    <s v="55-74"/>
    <n v="112"/>
    <n v="6"/>
    <n v="4"/>
    <n v="6459"/>
    <x v="1"/>
  </r>
  <r>
    <s v="02-0063"/>
    <d v="2025-02-17T00:00:00"/>
    <x v="2"/>
    <x v="2"/>
    <x v="3"/>
    <x v="0"/>
    <s v="35-54"/>
    <n v="81"/>
    <n v="7"/>
    <n v="2"/>
    <n v="12589"/>
    <x v="1"/>
  </r>
  <r>
    <s v="02-0064"/>
    <d v="2025-07-25T00:00:00"/>
    <x v="1"/>
    <x v="1"/>
    <x v="2"/>
    <x v="0"/>
    <s v="55-74"/>
    <n v="17"/>
    <n v="0"/>
    <n v="2"/>
    <n v="6485"/>
    <x v="1"/>
  </r>
  <r>
    <s v="02-0065"/>
    <d v="2025-11-05T00:00:00"/>
    <x v="4"/>
    <x v="4"/>
    <x v="2"/>
    <x v="2"/>
    <s v="18-34"/>
    <n v="45"/>
    <n v="5"/>
    <n v="5"/>
    <n v="6912"/>
    <x v="0"/>
  </r>
  <r>
    <s v="02-0066"/>
    <d v="2025-10-15T00:00:00"/>
    <x v="1"/>
    <x v="1"/>
    <x v="2"/>
    <x v="2"/>
    <s v="75+"/>
    <n v="110"/>
    <n v="12"/>
    <n v="1"/>
    <n v="9229"/>
    <x v="1"/>
  </r>
  <r>
    <s v="02-0067"/>
    <d v="2025-12-08T00:00:00"/>
    <x v="1"/>
    <x v="1"/>
    <x v="4"/>
    <x v="0"/>
    <s v="0-17"/>
    <n v="10"/>
    <n v="3"/>
    <n v="4"/>
    <n v="11821"/>
    <x v="1"/>
  </r>
  <r>
    <s v="02-0068"/>
    <d v="2025-03-09T00:00:00"/>
    <x v="1"/>
    <x v="1"/>
    <x v="3"/>
    <x v="0"/>
    <s v="75+"/>
    <n v="98"/>
    <n v="9"/>
    <n v="4"/>
    <n v="1367"/>
    <x v="1"/>
  </r>
  <r>
    <s v="02-0069"/>
    <d v="2025-08-24T00:00:00"/>
    <x v="3"/>
    <x v="3"/>
    <x v="2"/>
    <x v="0"/>
    <s v="0-17"/>
    <n v="119"/>
    <n v="8"/>
    <n v="2"/>
    <n v="1372"/>
    <x v="1"/>
  </r>
  <r>
    <s v="02-0070"/>
    <d v="2025-01-14T00:00:00"/>
    <x v="3"/>
    <x v="3"/>
    <x v="3"/>
    <x v="0"/>
    <s v="75+"/>
    <n v="39"/>
    <n v="11"/>
    <n v="5"/>
    <n v="14020"/>
    <x v="0"/>
  </r>
  <r>
    <s v="02-0071"/>
    <d v="2025-12-06T00:00:00"/>
    <x v="3"/>
    <x v="3"/>
    <x v="2"/>
    <x v="0"/>
    <s v="55-74"/>
    <n v="95"/>
    <n v="4"/>
    <n v="1"/>
    <n v="3579"/>
    <x v="1"/>
  </r>
  <r>
    <s v="02-0072"/>
    <d v="2025-10-16T00:00:00"/>
    <x v="4"/>
    <x v="4"/>
    <x v="3"/>
    <x v="2"/>
    <s v="35-54"/>
    <n v="50"/>
    <n v="3"/>
    <n v="5"/>
    <n v="14541"/>
    <x v="0"/>
  </r>
  <r>
    <s v="02-0073"/>
    <d v="2025-12-16T00:00:00"/>
    <x v="0"/>
    <x v="0"/>
    <x v="0"/>
    <x v="0"/>
    <s v="18-34"/>
    <n v="143"/>
    <n v="0"/>
    <n v="3"/>
    <n v="16530"/>
    <x v="1"/>
  </r>
  <r>
    <s v="02-0074"/>
    <d v="2025-11-12T00:00:00"/>
    <x v="1"/>
    <x v="1"/>
    <x v="4"/>
    <x v="1"/>
    <s v="35-54"/>
    <n v="151"/>
    <n v="8"/>
    <n v="3"/>
    <n v="15389"/>
    <x v="0"/>
  </r>
  <r>
    <s v="02-0075"/>
    <d v="2025-03-08T00:00:00"/>
    <x v="4"/>
    <x v="4"/>
    <x v="0"/>
    <x v="2"/>
    <s v="0-17"/>
    <n v="41"/>
    <n v="10"/>
    <n v="4"/>
    <n v="4540"/>
    <x v="1"/>
  </r>
  <r>
    <s v="02-0076"/>
    <d v="2025-10-07T00:00:00"/>
    <x v="3"/>
    <x v="3"/>
    <x v="0"/>
    <x v="1"/>
    <s v="35-54"/>
    <n v="142"/>
    <n v="9"/>
    <n v="1"/>
    <n v="853"/>
    <x v="1"/>
  </r>
  <r>
    <s v="02-0077"/>
    <d v="2025-01-25T00:00:00"/>
    <x v="0"/>
    <x v="0"/>
    <x v="0"/>
    <x v="1"/>
    <s v="55-74"/>
    <n v="166"/>
    <n v="5"/>
    <n v="5"/>
    <n v="5756"/>
    <x v="1"/>
  </r>
  <r>
    <s v="02-0078"/>
    <d v="2025-10-14T00:00:00"/>
    <x v="3"/>
    <x v="3"/>
    <x v="0"/>
    <x v="1"/>
    <s v="0-17"/>
    <n v="35"/>
    <n v="8"/>
    <n v="4"/>
    <n v="17569"/>
    <x v="1"/>
  </r>
  <r>
    <s v="02-0079"/>
    <d v="2025-04-02T00:00:00"/>
    <x v="0"/>
    <x v="0"/>
    <x v="0"/>
    <x v="2"/>
    <s v="18-34"/>
    <n v="79"/>
    <n v="12"/>
    <n v="1"/>
    <n v="14891"/>
    <x v="1"/>
  </r>
  <r>
    <s v="02-0080"/>
    <d v="2025-03-06T00:00:00"/>
    <x v="0"/>
    <x v="0"/>
    <x v="3"/>
    <x v="1"/>
    <s v="0-17"/>
    <n v="97"/>
    <n v="10"/>
    <n v="4"/>
    <n v="501"/>
    <x v="1"/>
  </r>
  <r>
    <s v="02-0081"/>
    <d v="2025-05-28T00:00:00"/>
    <x v="1"/>
    <x v="1"/>
    <x v="1"/>
    <x v="2"/>
    <s v="55-74"/>
    <n v="125"/>
    <n v="11"/>
    <n v="4"/>
    <n v="12244"/>
    <x v="1"/>
  </r>
  <r>
    <s v="02-0082"/>
    <d v="2025-07-22T00:00:00"/>
    <x v="0"/>
    <x v="0"/>
    <x v="0"/>
    <x v="2"/>
    <s v="0-17"/>
    <n v="36"/>
    <n v="6"/>
    <n v="5"/>
    <n v="17439"/>
    <x v="1"/>
  </r>
  <r>
    <s v="02-0083"/>
    <d v="2025-03-14T00:00:00"/>
    <x v="1"/>
    <x v="1"/>
    <x v="4"/>
    <x v="0"/>
    <s v="55-74"/>
    <n v="45"/>
    <n v="11"/>
    <n v="2"/>
    <n v="17408"/>
    <x v="0"/>
  </r>
  <r>
    <s v="02-0084"/>
    <d v="2025-11-24T00:00:00"/>
    <x v="3"/>
    <x v="3"/>
    <x v="0"/>
    <x v="1"/>
    <s v="18-34"/>
    <n v="137"/>
    <n v="8"/>
    <n v="5"/>
    <n v="6281"/>
    <x v="1"/>
  </r>
  <r>
    <s v="02-0085"/>
    <d v="2025-07-28T00:00:00"/>
    <x v="3"/>
    <x v="3"/>
    <x v="2"/>
    <x v="2"/>
    <s v="55-74"/>
    <n v="32"/>
    <n v="5"/>
    <n v="1"/>
    <n v="7015"/>
    <x v="1"/>
  </r>
  <r>
    <s v="02-0086"/>
    <d v="2025-07-07T00:00:00"/>
    <x v="2"/>
    <x v="2"/>
    <x v="0"/>
    <x v="1"/>
    <s v="35-54"/>
    <n v="106"/>
    <n v="9"/>
    <n v="3"/>
    <n v="6852"/>
    <x v="1"/>
  </r>
  <r>
    <s v="02-0087"/>
    <d v="2025-01-14T00:00:00"/>
    <x v="0"/>
    <x v="0"/>
    <x v="1"/>
    <x v="0"/>
    <s v="75+"/>
    <n v="98"/>
    <n v="13"/>
    <n v="1"/>
    <n v="9615"/>
    <x v="0"/>
  </r>
  <r>
    <s v="02-0088"/>
    <d v="2025-06-08T00:00:00"/>
    <x v="2"/>
    <x v="2"/>
    <x v="4"/>
    <x v="2"/>
    <s v="75+"/>
    <n v="80"/>
    <n v="5"/>
    <n v="4"/>
    <n v="2651"/>
    <x v="1"/>
  </r>
  <r>
    <s v="02-0089"/>
    <d v="2025-08-07T00:00:00"/>
    <x v="1"/>
    <x v="1"/>
    <x v="4"/>
    <x v="0"/>
    <s v="35-54"/>
    <n v="37"/>
    <n v="7"/>
    <n v="3"/>
    <n v="16591"/>
    <x v="1"/>
  </r>
  <r>
    <s v="02-0090"/>
    <d v="2025-02-06T00:00:00"/>
    <x v="4"/>
    <x v="4"/>
    <x v="3"/>
    <x v="2"/>
    <s v="18-34"/>
    <n v="31"/>
    <n v="1"/>
    <n v="1"/>
    <n v="6322"/>
    <x v="1"/>
  </r>
  <r>
    <s v="02-0091"/>
    <d v="2025-10-19T00:00:00"/>
    <x v="4"/>
    <x v="4"/>
    <x v="1"/>
    <x v="1"/>
    <s v="35-54"/>
    <n v="120"/>
    <n v="7"/>
    <n v="5"/>
    <n v="8600"/>
    <x v="1"/>
  </r>
  <r>
    <s v="02-0092"/>
    <d v="2025-04-06T00:00:00"/>
    <x v="2"/>
    <x v="2"/>
    <x v="1"/>
    <x v="2"/>
    <s v="75+"/>
    <n v="154"/>
    <n v="1"/>
    <n v="1"/>
    <n v="3700"/>
    <x v="0"/>
  </r>
  <r>
    <s v="02-0093"/>
    <d v="2025-11-04T00:00:00"/>
    <x v="3"/>
    <x v="3"/>
    <x v="2"/>
    <x v="1"/>
    <s v="55-74"/>
    <n v="141"/>
    <n v="11"/>
    <n v="5"/>
    <n v="993"/>
    <x v="0"/>
  </r>
  <r>
    <s v="02-0094"/>
    <d v="2025-10-26T00:00:00"/>
    <x v="2"/>
    <x v="2"/>
    <x v="3"/>
    <x v="2"/>
    <s v="75+"/>
    <n v="116"/>
    <n v="4"/>
    <n v="1"/>
    <n v="3899"/>
    <x v="0"/>
  </r>
  <r>
    <s v="02-0095"/>
    <d v="2025-02-26T00:00:00"/>
    <x v="2"/>
    <x v="2"/>
    <x v="4"/>
    <x v="1"/>
    <s v="35-54"/>
    <n v="15"/>
    <n v="8"/>
    <n v="4"/>
    <n v="8174"/>
    <x v="0"/>
  </r>
  <r>
    <s v="02-0096"/>
    <d v="2025-06-06T00:00:00"/>
    <x v="4"/>
    <x v="4"/>
    <x v="2"/>
    <x v="2"/>
    <s v="18-34"/>
    <n v="114"/>
    <n v="11"/>
    <n v="1"/>
    <n v="10663"/>
    <x v="1"/>
  </r>
  <r>
    <s v="02-0097"/>
    <d v="2025-12-28T00:00:00"/>
    <x v="3"/>
    <x v="3"/>
    <x v="3"/>
    <x v="2"/>
    <s v="18-34"/>
    <n v="87"/>
    <n v="13"/>
    <n v="4"/>
    <n v="16394"/>
    <x v="1"/>
  </r>
  <r>
    <s v="02-0098"/>
    <d v="2025-09-15T00:00:00"/>
    <x v="3"/>
    <x v="3"/>
    <x v="3"/>
    <x v="0"/>
    <s v="75+"/>
    <n v="49"/>
    <n v="6"/>
    <n v="1"/>
    <n v="16177"/>
    <x v="0"/>
  </r>
  <r>
    <s v="02-0099"/>
    <d v="2025-08-08T00:00:00"/>
    <x v="2"/>
    <x v="2"/>
    <x v="1"/>
    <x v="0"/>
    <s v="75+"/>
    <n v="34"/>
    <n v="4"/>
    <n v="3"/>
    <n v="15045"/>
    <x v="1"/>
  </r>
  <r>
    <s v="02-0100"/>
    <d v="2025-02-27T00:00:00"/>
    <x v="1"/>
    <x v="1"/>
    <x v="0"/>
    <x v="0"/>
    <s v="18-34"/>
    <n v="69"/>
    <n v="1"/>
    <n v="4"/>
    <n v="10099"/>
    <x v="1"/>
  </r>
  <r>
    <s v="02-0101"/>
    <d v="2025-07-19T00:00:00"/>
    <x v="4"/>
    <x v="4"/>
    <x v="4"/>
    <x v="2"/>
    <s v="75+"/>
    <n v="130"/>
    <n v="8"/>
    <n v="3"/>
    <n v="7250"/>
    <x v="1"/>
  </r>
  <r>
    <s v="02-0102"/>
    <d v="2025-02-13T00:00:00"/>
    <x v="4"/>
    <x v="4"/>
    <x v="2"/>
    <x v="0"/>
    <s v="35-54"/>
    <n v="80"/>
    <n v="8"/>
    <n v="1"/>
    <n v="11614"/>
    <x v="1"/>
  </r>
  <r>
    <s v="02-0103"/>
    <d v="2025-11-14T00:00:00"/>
    <x v="4"/>
    <x v="4"/>
    <x v="2"/>
    <x v="1"/>
    <s v="75+"/>
    <n v="119"/>
    <n v="6"/>
    <n v="3"/>
    <n v="10044"/>
    <x v="1"/>
  </r>
  <r>
    <s v="02-0104"/>
    <d v="2025-12-18T00:00:00"/>
    <x v="4"/>
    <x v="4"/>
    <x v="2"/>
    <x v="1"/>
    <s v="0-17"/>
    <n v="18"/>
    <n v="7"/>
    <n v="1"/>
    <n v="13592"/>
    <x v="0"/>
  </r>
  <r>
    <s v="02-0105"/>
    <d v="2025-07-22T00:00:00"/>
    <x v="1"/>
    <x v="1"/>
    <x v="4"/>
    <x v="2"/>
    <s v="55-74"/>
    <n v="125"/>
    <n v="3"/>
    <n v="5"/>
    <n v="2822"/>
    <x v="1"/>
  </r>
  <r>
    <s v="02-0106"/>
    <d v="2025-01-08T00:00:00"/>
    <x v="4"/>
    <x v="4"/>
    <x v="4"/>
    <x v="1"/>
    <s v="35-54"/>
    <n v="9"/>
    <n v="3"/>
    <n v="3"/>
    <n v="11113"/>
    <x v="0"/>
  </r>
  <r>
    <s v="02-0107"/>
    <d v="2025-06-09T00:00:00"/>
    <x v="4"/>
    <x v="4"/>
    <x v="4"/>
    <x v="1"/>
    <s v="35-54"/>
    <n v="104"/>
    <n v="4"/>
    <n v="3"/>
    <n v="5646"/>
    <x v="1"/>
  </r>
  <r>
    <s v="02-0108"/>
    <d v="2025-04-13T00:00:00"/>
    <x v="2"/>
    <x v="2"/>
    <x v="1"/>
    <x v="1"/>
    <s v="35-54"/>
    <n v="98"/>
    <n v="8"/>
    <n v="1"/>
    <n v="1664"/>
    <x v="1"/>
  </r>
  <r>
    <s v="02-0109"/>
    <d v="2025-08-04T00:00:00"/>
    <x v="1"/>
    <x v="1"/>
    <x v="3"/>
    <x v="1"/>
    <s v="0-17"/>
    <n v="48"/>
    <n v="3"/>
    <n v="3"/>
    <n v="531"/>
    <x v="1"/>
  </r>
  <r>
    <s v="02-0110"/>
    <d v="2025-07-15T00:00:00"/>
    <x v="1"/>
    <x v="1"/>
    <x v="1"/>
    <x v="1"/>
    <s v="75+"/>
    <n v="17"/>
    <n v="6"/>
    <n v="4"/>
    <n v="8035"/>
    <x v="1"/>
  </r>
  <r>
    <s v="02-0111"/>
    <d v="2025-03-12T00:00:00"/>
    <x v="3"/>
    <x v="3"/>
    <x v="4"/>
    <x v="2"/>
    <s v="18-34"/>
    <n v="31"/>
    <n v="10"/>
    <n v="1"/>
    <n v="1236"/>
    <x v="0"/>
  </r>
  <r>
    <s v="02-0112"/>
    <d v="2025-10-03T00:00:00"/>
    <x v="2"/>
    <x v="2"/>
    <x v="1"/>
    <x v="2"/>
    <s v="18-34"/>
    <n v="118"/>
    <n v="13"/>
    <n v="5"/>
    <n v="13348"/>
    <x v="1"/>
  </r>
  <r>
    <s v="02-0113"/>
    <d v="2025-05-17T00:00:00"/>
    <x v="1"/>
    <x v="1"/>
    <x v="1"/>
    <x v="0"/>
    <s v="18-34"/>
    <n v="139"/>
    <n v="7"/>
    <n v="3"/>
    <n v="17025"/>
    <x v="1"/>
  </r>
  <r>
    <s v="02-0114"/>
    <d v="2025-03-23T00:00:00"/>
    <x v="1"/>
    <x v="1"/>
    <x v="1"/>
    <x v="1"/>
    <s v="35-54"/>
    <n v="92"/>
    <n v="10"/>
    <n v="2"/>
    <n v="13680"/>
    <x v="1"/>
  </r>
  <r>
    <s v="02-0115"/>
    <d v="2025-08-05T00:00:00"/>
    <x v="1"/>
    <x v="1"/>
    <x v="0"/>
    <x v="1"/>
    <s v="0-17"/>
    <n v="20"/>
    <n v="4"/>
    <n v="2"/>
    <n v="16300"/>
    <x v="1"/>
  </r>
  <r>
    <s v="02-0116"/>
    <d v="2025-02-12T00:00:00"/>
    <x v="1"/>
    <x v="1"/>
    <x v="0"/>
    <x v="0"/>
    <s v="18-34"/>
    <n v="131"/>
    <n v="9"/>
    <n v="3"/>
    <n v="3545"/>
    <x v="1"/>
  </r>
  <r>
    <s v="02-0117"/>
    <d v="2025-07-02T00:00:00"/>
    <x v="4"/>
    <x v="4"/>
    <x v="0"/>
    <x v="2"/>
    <s v="75+"/>
    <n v="51"/>
    <n v="11"/>
    <n v="4"/>
    <n v="8185"/>
    <x v="1"/>
  </r>
  <r>
    <s v="02-0118"/>
    <d v="2025-07-11T00:00:00"/>
    <x v="0"/>
    <x v="0"/>
    <x v="2"/>
    <x v="2"/>
    <s v="0-17"/>
    <n v="12"/>
    <n v="11"/>
    <n v="4"/>
    <n v="4073"/>
    <x v="1"/>
  </r>
  <r>
    <s v="02-0119"/>
    <d v="2025-10-25T00:00:00"/>
    <x v="4"/>
    <x v="4"/>
    <x v="2"/>
    <x v="1"/>
    <s v="35-54"/>
    <n v="13"/>
    <n v="1"/>
    <n v="2"/>
    <n v="11899"/>
    <x v="1"/>
  </r>
  <r>
    <s v="02-0120"/>
    <d v="2025-08-26T00:00:00"/>
    <x v="2"/>
    <x v="2"/>
    <x v="4"/>
    <x v="1"/>
    <s v="0-17"/>
    <n v="34"/>
    <n v="11"/>
    <n v="2"/>
    <n v="3634"/>
    <x v="1"/>
  </r>
  <r>
    <s v="02-0121"/>
    <d v="2025-07-25T00:00:00"/>
    <x v="1"/>
    <x v="1"/>
    <x v="4"/>
    <x v="0"/>
    <s v="55-74"/>
    <n v="79"/>
    <n v="7"/>
    <n v="4"/>
    <n v="5298"/>
    <x v="1"/>
  </r>
  <r>
    <s v="02-0122"/>
    <d v="2025-07-04T00:00:00"/>
    <x v="4"/>
    <x v="4"/>
    <x v="1"/>
    <x v="0"/>
    <s v="55-74"/>
    <n v="35"/>
    <n v="0"/>
    <n v="3"/>
    <n v="11694"/>
    <x v="1"/>
  </r>
  <r>
    <s v="02-0123"/>
    <d v="2025-08-15T00:00:00"/>
    <x v="4"/>
    <x v="4"/>
    <x v="0"/>
    <x v="1"/>
    <s v="55-74"/>
    <n v="83"/>
    <n v="3"/>
    <n v="4"/>
    <n v="14250"/>
    <x v="1"/>
  </r>
  <r>
    <s v="02-0124"/>
    <d v="2025-02-18T00:00:00"/>
    <x v="3"/>
    <x v="3"/>
    <x v="1"/>
    <x v="1"/>
    <s v="75+"/>
    <n v="39"/>
    <n v="1"/>
    <n v="3"/>
    <n v="2530"/>
    <x v="1"/>
  </r>
  <r>
    <s v="02-0125"/>
    <d v="2025-05-26T00:00:00"/>
    <x v="0"/>
    <x v="0"/>
    <x v="2"/>
    <x v="2"/>
    <s v="18-34"/>
    <n v="124"/>
    <n v="9"/>
    <n v="3"/>
    <n v="17132"/>
    <x v="1"/>
  </r>
  <r>
    <s v="02-0126"/>
    <d v="2025-03-09T00:00:00"/>
    <x v="1"/>
    <x v="1"/>
    <x v="2"/>
    <x v="2"/>
    <s v="75+"/>
    <n v="9"/>
    <n v="2"/>
    <n v="3"/>
    <n v="4359"/>
    <x v="1"/>
  </r>
  <r>
    <s v="02-0127"/>
    <d v="2025-08-16T00:00:00"/>
    <x v="2"/>
    <x v="2"/>
    <x v="2"/>
    <x v="1"/>
    <s v="0-17"/>
    <n v="57"/>
    <n v="0"/>
    <n v="2"/>
    <n v="10200"/>
    <x v="1"/>
  </r>
  <r>
    <s v="02-0128"/>
    <d v="2025-05-14T00:00:00"/>
    <x v="0"/>
    <x v="0"/>
    <x v="0"/>
    <x v="2"/>
    <s v="35-54"/>
    <n v="84"/>
    <n v="13"/>
    <n v="5"/>
    <n v="3468"/>
    <x v="1"/>
  </r>
  <r>
    <s v="02-0129"/>
    <d v="2025-07-06T00:00:00"/>
    <x v="3"/>
    <x v="3"/>
    <x v="4"/>
    <x v="1"/>
    <s v="0-17"/>
    <n v="46"/>
    <n v="13"/>
    <n v="5"/>
    <n v="606"/>
    <x v="1"/>
  </r>
  <r>
    <s v="02-0130"/>
    <d v="2025-10-22T00:00:00"/>
    <x v="3"/>
    <x v="3"/>
    <x v="4"/>
    <x v="0"/>
    <s v="18-34"/>
    <n v="156"/>
    <n v="7"/>
    <n v="5"/>
    <n v="17646"/>
    <x v="0"/>
  </r>
  <r>
    <s v="02-0131"/>
    <d v="2025-01-12T00:00:00"/>
    <x v="1"/>
    <x v="1"/>
    <x v="4"/>
    <x v="2"/>
    <s v="75+"/>
    <n v="45"/>
    <n v="13"/>
    <n v="4"/>
    <n v="8603"/>
    <x v="1"/>
  </r>
  <r>
    <s v="02-0132"/>
    <d v="2025-03-08T00:00:00"/>
    <x v="3"/>
    <x v="3"/>
    <x v="2"/>
    <x v="1"/>
    <s v="75+"/>
    <n v="110"/>
    <n v="1"/>
    <n v="2"/>
    <n v="3393"/>
    <x v="1"/>
  </r>
  <r>
    <s v="02-0133"/>
    <d v="2025-09-24T00:00:00"/>
    <x v="3"/>
    <x v="3"/>
    <x v="3"/>
    <x v="1"/>
    <s v="35-54"/>
    <n v="137"/>
    <n v="0"/>
    <n v="3"/>
    <n v="11139"/>
    <x v="0"/>
  </r>
  <r>
    <s v="02-0134"/>
    <d v="2025-06-08T00:00:00"/>
    <x v="1"/>
    <x v="1"/>
    <x v="0"/>
    <x v="2"/>
    <s v="55-74"/>
    <n v="142"/>
    <n v="11"/>
    <n v="1"/>
    <n v="13753"/>
    <x v="1"/>
  </r>
  <r>
    <s v="02-0135"/>
    <d v="2025-01-10T00:00:00"/>
    <x v="4"/>
    <x v="4"/>
    <x v="3"/>
    <x v="2"/>
    <s v="75+"/>
    <n v="57"/>
    <n v="11"/>
    <n v="4"/>
    <n v="6703"/>
    <x v="1"/>
  </r>
  <r>
    <s v="02-0136"/>
    <d v="2025-03-24T00:00:00"/>
    <x v="0"/>
    <x v="0"/>
    <x v="1"/>
    <x v="1"/>
    <s v="75+"/>
    <n v="11"/>
    <n v="8"/>
    <n v="5"/>
    <n v="2712"/>
    <x v="1"/>
  </r>
  <r>
    <s v="02-0137"/>
    <d v="2025-09-15T00:00:00"/>
    <x v="4"/>
    <x v="4"/>
    <x v="3"/>
    <x v="1"/>
    <s v="55-74"/>
    <n v="137"/>
    <n v="9"/>
    <n v="3"/>
    <n v="6704"/>
    <x v="1"/>
  </r>
  <r>
    <s v="02-0138"/>
    <d v="2025-08-10T00:00:00"/>
    <x v="0"/>
    <x v="0"/>
    <x v="3"/>
    <x v="1"/>
    <s v="75+"/>
    <n v="97"/>
    <n v="1"/>
    <n v="4"/>
    <n v="13403"/>
    <x v="1"/>
  </r>
  <r>
    <s v="02-0139"/>
    <d v="2025-01-01T00:00:00"/>
    <x v="3"/>
    <x v="3"/>
    <x v="3"/>
    <x v="0"/>
    <s v="0-17"/>
    <n v="38"/>
    <n v="5"/>
    <n v="3"/>
    <n v="14925"/>
    <x v="0"/>
  </r>
  <r>
    <s v="02-0140"/>
    <d v="2025-11-06T00:00:00"/>
    <x v="2"/>
    <x v="2"/>
    <x v="4"/>
    <x v="0"/>
    <s v="0-17"/>
    <n v="128"/>
    <n v="9"/>
    <n v="2"/>
    <n v="15078"/>
    <x v="1"/>
  </r>
  <r>
    <s v="02-0141"/>
    <d v="2025-05-26T00:00:00"/>
    <x v="1"/>
    <x v="1"/>
    <x v="3"/>
    <x v="0"/>
    <s v="35-54"/>
    <n v="79"/>
    <n v="4"/>
    <n v="3"/>
    <n v="13665"/>
    <x v="0"/>
  </r>
  <r>
    <s v="02-0142"/>
    <d v="2025-05-25T00:00:00"/>
    <x v="1"/>
    <x v="1"/>
    <x v="0"/>
    <x v="2"/>
    <s v="75+"/>
    <n v="133"/>
    <n v="1"/>
    <n v="3"/>
    <n v="410"/>
    <x v="1"/>
  </r>
  <r>
    <s v="02-0143"/>
    <d v="2025-11-09T00:00:00"/>
    <x v="3"/>
    <x v="3"/>
    <x v="2"/>
    <x v="0"/>
    <s v="0-17"/>
    <n v="83"/>
    <n v="13"/>
    <n v="1"/>
    <n v="12850"/>
    <x v="0"/>
  </r>
  <r>
    <s v="02-0144"/>
    <d v="2025-11-13T00:00:00"/>
    <x v="1"/>
    <x v="1"/>
    <x v="0"/>
    <x v="1"/>
    <s v="55-74"/>
    <n v="157"/>
    <n v="2"/>
    <n v="2"/>
    <n v="15635"/>
    <x v="1"/>
  </r>
  <r>
    <s v="02-0145"/>
    <d v="2025-04-25T00:00:00"/>
    <x v="2"/>
    <x v="2"/>
    <x v="0"/>
    <x v="0"/>
    <s v="18-34"/>
    <n v="154"/>
    <n v="10"/>
    <n v="4"/>
    <n v="12588"/>
    <x v="0"/>
  </r>
  <r>
    <s v="02-0146"/>
    <d v="2025-05-26T00:00:00"/>
    <x v="0"/>
    <x v="0"/>
    <x v="3"/>
    <x v="0"/>
    <s v="35-54"/>
    <n v="104"/>
    <n v="3"/>
    <n v="2"/>
    <n v="11843"/>
    <x v="1"/>
  </r>
  <r>
    <s v="02-0147"/>
    <d v="2025-08-03T00:00:00"/>
    <x v="4"/>
    <x v="4"/>
    <x v="4"/>
    <x v="2"/>
    <s v="35-54"/>
    <n v="99"/>
    <n v="11"/>
    <n v="4"/>
    <n v="16507"/>
    <x v="0"/>
  </r>
  <r>
    <s v="02-0148"/>
    <d v="2025-06-24T00:00:00"/>
    <x v="3"/>
    <x v="3"/>
    <x v="2"/>
    <x v="1"/>
    <s v="55-74"/>
    <n v="83"/>
    <n v="5"/>
    <n v="3"/>
    <n v="2350"/>
    <x v="1"/>
  </r>
  <r>
    <s v="02-0149"/>
    <d v="2025-05-26T00:00:00"/>
    <x v="4"/>
    <x v="4"/>
    <x v="4"/>
    <x v="0"/>
    <s v="18-34"/>
    <n v="139"/>
    <n v="6"/>
    <n v="5"/>
    <n v="11533"/>
    <x v="1"/>
  </r>
  <r>
    <s v="02-0150"/>
    <d v="2025-05-21T00:00:00"/>
    <x v="3"/>
    <x v="3"/>
    <x v="1"/>
    <x v="0"/>
    <s v="55-74"/>
    <n v="59"/>
    <n v="6"/>
    <n v="1"/>
    <n v="11445"/>
    <x v="0"/>
  </r>
  <r>
    <s v="02-0151"/>
    <d v="2025-10-13T00:00:00"/>
    <x v="2"/>
    <x v="2"/>
    <x v="2"/>
    <x v="2"/>
    <s v="55-74"/>
    <n v="71"/>
    <n v="2"/>
    <n v="3"/>
    <n v="13913"/>
    <x v="1"/>
  </r>
  <r>
    <s v="02-0152"/>
    <d v="2025-12-14T00:00:00"/>
    <x v="2"/>
    <x v="2"/>
    <x v="3"/>
    <x v="0"/>
    <s v="75+"/>
    <n v="122"/>
    <n v="0"/>
    <n v="1"/>
    <n v="10849"/>
    <x v="1"/>
  </r>
  <r>
    <s v="02-0153"/>
    <d v="2025-08-21T00:00:00"/>
    <x v="1"/>
    <x v="1"/>
    <x v="1"/>
    <x v="0"/>
    <s v="0-17"/>
    <n v="139"/>
    <n v="4"/>
    <n v="3"/>
    <n v="12506"/>
    <x v="1"/>
  </r>
  <r>
    <s v="02-0154"/>
    <d v="2025-06-07T00:00:00"/>
    <x v="1"/>
    <x v="1"/>
    <x v="4"/>
    <x v="2"/>
    <s v="55-74"/>
    <n v="50"/>
    <n v="2"/>
    <n v="4"/>
    <n v="3778"/>
    <x v="1"/>
  </r>
  <r>
    <s v="02-0155"/>
    <d v="2025-02-25T00:00:00"/>
    <x v="2"/>
    <x v="2"/>
    <x v="2"/>
    <x v="1"/>
    <s v="35-54"/>
    <n v="122"/>
    <n v="11"/>
    <n v="4"/>
    <n v="11382"/>
    <x v="1"/>
  </r>
  <r>
    <s v="02-0156"/>
    <d v="2025-07-09T00:00:00"/>
    <x v="4"/>
    <x v="4"/>
    <x v="2"/>
    <x v="0"/>
    <s v="18-34"/>
    <n v="13"/>
    <n v="4"/>
    <n v="1"/>
    <n v="16777"/>
    <x v="1"/>
  </r>
  <r>
    <s v="02-0157"/>
    <d v="2025-12-18T00:00:00"/>
    <x v="1"/>
    <x v="1"/>
    <x v="2"/>
    <x v="1"/>
    <s v="55-74"/>
    <n v="126"/>
    <n v="6"/>
    <n v="1"/>
    <n v="8913"/>
    <x v="0"/>
  </r>
  <r>
    <s v="02-0158"/>
    <d v="2025-01-28T00:00:00"/>
    <x v="1"/>
    <x v="1"/>
    <x v="3"/>
    <x v="2"/>
    <s v="55-74"/>
    <n v="20"/>
    <n v="4"/>
    <n v="2"/>
    <n v="13485"/>
    <x v="0"/>
  </r>
  <r>
    <s v="02-0159"/>
    <d v="2025-08-22T00:00:00"/>
    <x v="2"/>
    <x v="2"/>
    <x v="4"/>
    <x v="2"/>
    <s v="75+"/>
    <n v="116"/>
    <n v="5"/>
    <n v="2"/>
    <n v="9892"/>
    <x v="1"/>
  </r>
  <r>
    <s v="02-0160"/>
    <d v="2025-02-10T00:00:00"/>
    <x v="2"/>
    <x v="2"/>
    <x v="4"/>
    <x v="2"/>
    <s v="18-34"/>
    <n v="53"/>
    <n v="1"/>
    <n v="2"/>
    <n v="2748"/>
    <x v="1"/>
  </r>
  <r>
    <s v="02-0161"/>
    <d v="2025-06-27T00:00:00"/>
    <x v="0"/>
    <x v="0"/>
    <x v="2"/>
    <x v="0"/>
    <s v="55-74"/>
    <n v="96"/>
    <n v="0"/>
    <n v="3"/>
    <n v="13721"/>
    <x v="0"/>
  </r>
  <r>
    <s v="02-0162"/>
    <d v="2025-02-19T00:00:00"/>
    <x v="0"/>
    <x v="0"/>
    <x v="4"/>
    <x v="2"/>
    <s v="0-17"/>
    <n v="154"/>
    <n v="9"/>
    <n v="2"/>
    <n v="4002"/>
    <x v="0"/>
  </r>
  <r>
    <s v="02-0163"/>
    <d v="2025-12-13T00:00:00"/>
    <x v="2"/>
    <x v="2"/>
    <x v="2"/>
    <x v="1"/>
    <s v="55-74"/>
    <n v="69"/>
    <n v="12"/>
    <n v="1"/>
    <n v="2554"/>
    <x v="1"/>
  </r>
  <r>
    <s v="02-0164"/>
    <d v="2025-04-19T00:00:00"/>
    <x v="1"/>
    <x v="1"/>
    <x v="3"/>
    <x v="1"/>
    <s v="55-74"/>
    <n v="156"/>
    <n v="6"/>
    <n v="5"/>
    <n v="8038"/>
    <x v="1"/>
  </r>
  <r>
    <s v="02-0165"/>
    <d v="2025-05-27T00:00:00"/>
    <x v="4"/>
    <x v="4"/>
    <x v="4"/>
    <x v="0"/>
    <s v="75+"/>
    <n v="74"/>
    <n v="10"/>
    <n v="5"/>
    <n v="15594"/>
    <x v="1"/>
  </r>
  <r>
    <s v="02-0166"/>
    <d v="2025-01-08T00:00:00"/>
    <x v="1"/>
    <x v="1"/>
    <x v="1"/>
    <x v="2"/>
    <s v="0-17"/>
    <n v="16"/>
    <n v="4"/>
    <n v="5"/>
    <n v="10558"/>
    <x v="0"/>
  </r>
  <r>
    <s v="02-0167"/>
    <d v="2025-01-04T00:00:00"/>
    <x v="3"/>
    <x v="3"/>
    <x v="4"/>
    <x v="2"/>
    <s v="0-17"/>
    <n v="26"/>
    <n v="1"/>
    <n v="1"/>
    <n v="17430"/>
    <x v="1"/>
  </r>
  <r>
    <s v="02-0168"/>
    <d v="2025-11-09T00:00:00"/>
    <x v="2"/>
    <x v="2"/>
    <x v="0"/>
    <x v="2"/>
    <s v="0-17"/>
    <n v="65"/>
    <n v="13"/>
    <n v="5"/>
    <n v="1488"/>
    <x v="1"/>
  </r>
  <r>
    <s v="02-0169"/>
    <d v="2025-12-04T00:00:00"/>
    <x v="4"/>
    <x v="4"/>
    <x v="3"/>
    <x v="1"/>
    <s v="75+"/>
    <n v="56"/>
    <n v="11"/>
    <n v="4"/>
    <n v="14197"/>
    <x v="0"/>
  </r>
  <r>
    <s v="02-0170"/>
    <d v="2025-06-04T00:00:00"/>
    <x v="1"/>
    <x v="1"/>
    <x v="1"/>
    <x v="0"/>
    <s v="0-17"/>
    <n v="101"/>
    <n v="12"/>
    <n v="5"/>
    <n v="443"/>
    <x v="1"/>
  </r>
  <r>
    <s v="02-0171"/>
    <d v="2025-06-25T00:00:00"/>
    <x v="2"/>
    <x v="2"/>
    <x v="2"/>
    <x v="0"/>
    <s v="18-34"/>
    <n v="109"/>
    <n v="5"/>
    <n v="2"/>
    <n v="2685"/>
    <x v="1"/>
  </r>
  <r>
    <s v="02-0172"/>
    <d v="2025-11-23T00:00:00"/>
    <x v="3"/>
    <x v="3"/>
    <x v="0"/>
    <x v="1"/>
    <s v="0-17"/>
    <n v="70"/>
    <n v="11"/>
    <n v="5"/>
    <n v="10594"/>
    <x v="1"/>
  </r>
  <r>
    <s v="02-0173"/>
    <d v="2025-04-06T00:00:00"/>
    <x v="0"/>
    <x v="0"/>
    <x v="2"/>
    <x v="1"/>
    <s v="35-54"/>
    <n v="14"/>
    <n v="5"/>
    <n v="3"/>
    <n v="5180"/>
    <x v="0"/>
  </r>
  <r>
    <s v="02-0174"/>
    <d v="2025-03-28T00:00:00"/>
    <x v="4"/>
    <x v="4"/>
    <x v="4"/>
    <x v="1"/>
    <s v="0-17"/>
    <n v="46"/>
    <n v="9"/>
    <n v="2"/>
    <n v="11616"/>
    <x v="1"/>
  </r>
  <r>
    <s v="02-0175"/>
    <d v="2025-03-11T00:00:00"/>
    <x v="3"/>
    <x v="3"/>
    <x v="3"/>
    <x v="0"/>
    <s v="75+"/>
    <n v="124"/>
    <n v="7"/>
    <n v="4"/>
    <n v="14925"/>
    <x v="1"/>
  </r>
  <r>
    <s v="02-0176"/>
    <d v="2025-09-24T00:00:00"/>
    <x v="4"/>
    <x v="4"/>
    <x v="1"/>
    <x v="0"/>
    <s v="35-54"/>
    <n v="137"/>
    <n v="4"/>
    <n v="4"/>
    <n v="17551"/>
    <x v="1"/>
  </r>
  <r>
    <s v="02-0177"/>
    <d v="2025-02-22T00:00:00"/>
    <x v="2"/>
    <x v="2"/>
    <x v="1"/>
    <x v="1"/>
    <s v="35-54"/>
    <n v="149"/>
    <n v="11"/>
    <n v="1"/>
    <n v="3683"/>
    <x v="0"/>
  </r>
  <r>
    <s v="02-0178"/>
    <d v="2025-09-19T00:00:00"/>
    <x v="0"/>
    <x v="0"/>
    <x v="2"/>
    <x v="0"/>
    <s v="55-74"/>
    <n v="40"/>
    <n v="6"/>
    <n v="2"/>
    <n v="2431"/>
    <x v="1"/>
  </r>
  <r>
    <s v="02-0179"/>
    <d v="2025-08-23T00:00:00"/>
    <x v="2"/>
    <x v="2"/>
    <x v="0"/>
    <x v="1"/>
    <s v="55-74"/>
    <n v="18"/>
    <n v="6"/>
    <n v="4"/>
    <n v="17644"/>
    <x v="1"/>
  </r>
  <r>
    <s v="02-0180"/>
    <d v="2025-04-12T00:00:00"/>
    <x v="1"/>
    <x v="1"/>
    <x v="1"/>
    <x v="1"/>
    <s v="0-17"/>
    <n v="41"/>
    <n v="6"/>
    <n v="3"/>
    <n v="10692"/>
    <x v="0"/>
  </r>
  <r>
    <s v="02-0181"/>
    <d v="2025-06-08T00:00:00"/>
    <x v="1"/>
    <x v="1"/>
    <x v="0"/>
    <x v="1"/>
    <s v="35-54"/>
    <n v="97"/>
    <n v="9"/>
    <n v="2"/>
    <n v="3603"/>
    <x v="0"/>
  </r>
  <r>
    <s v="02-0182"/>
    <d v="2025-08-19T00:00:00"/>
    <x v="3"/>
    <x v="3"/>
    <x v="0"/>
    <x v="1"/>
    <s v="75+"/>
    <n v="94"/>
    <n v="13"/>
    <n v="4"/>
    <n v="8091"/>
    <x v="0"/>
  </r>
  <r>
    <s v="02-0183"/>
    <d v="2025-07-17T00:00:00"/>
    <x v="0"/>
    <x v="0"/>
    <x v="0"/>
    <x v="0"/>
    <s v="35-54"/>
    <n v="162"/>
    <n v="2"/>
    <n v="4"/>
    <n v="9040"/>
    <x v="1"/>
  </r>
  <r>
    <s v="02-0184"/>
    <d v="2025-11-26T00:00:00"/>
    <x v="1"/>
    <x v="1"/>
    <x v="0"/>
    <x v="0"/>
    <s v="18-34"/>
    <n v="138"/>
    <n v="6"/>
    <n v="5"/>
    <n v="13948"/>
    <x v="1"/>
  </r>
  <r>
    <s v="02-0185"/>
    <d v="2025-07-20T00:00:00"/>
    <x v="4"/>
    <x v="4"/>
    <x v="4"/>
    <x v="1"/>
    <s v="18-34"/>
    <n v="22"/>
    <n v="11"/>
    <n v="1"/>
    <n v="6000"/>
    <x v="1"/>
  </r>
  <r>
    <s v="02-0186"/>
    <d v="2025-08-26T00:00:00"/>
    <x v="3"/>
    <x v="3"/>
    <x v="2"/>
    <x v="2"/>
    <s v="75+"/>
    <n v="135"/>
    <n v="5"/>
    <n v="4"/>
    <n v="9904"/>
    <x v="1"/>
  </r>
  <r>
    <s v="02-0187"/>
    <d v="2025-05-18T00:00:00"/>
    <x v="4"/>
    <x v="4"/>
    <x v="0"/>
    <x v="2"/>
    <s v="0-17"/>
    <n v="5"/>
    <n v="10"/>
    <n v="1"/>
    <n v="8870"/>
    <x v="0"/>
  </r>
  <r>
    <s v="02-0188"/>
    <d v="2025-05-06T00:00:00"/>
    <x v="1"/>
    <x v="1"/>
    <x v="0"/>
    <x v="2"/>
    <s v="55-74"/>
    <n v="149"/>
    <n v="2"/>
    <n v="2"/>
    <n v="10511"/>
    <x v="1"/>
  </r>
  <r>
    <s v="02-0189"/>
    <d v="2025-09-05T00:00:00"/>
    <x v="3"/>
    <x v="3"/>
    <x v="0"/>
    <x v="1"/>
    <s v="35-54"/>
    <n v="58"/>
    <n v="4"/>
    <n v="4"/>
    <n v="4996"/>
    <x v="1"/>
  </r>
  <r>
    <s v="02-0190"/>
    <d v="2025-09-05T00:00:00"/>
    <x v="3"/>
    <x v="3"/>
    <x v="2"/>
    <x v="0"/>
    <s v="75+"/>
    <n v="160"/>
    <n v="13"/>
    <n v="2"/>
    <n v="14923"/>
    <x v="1"/>
  </r>
  <r>
    <s v="02-0191"/>
    <d v="2025-11-02T00:00:00"/>
    <x v="2"/>
    <x v="2"/>
    <x v="4"/>
    <x v="1"/>
    <s v="0-17"/>
    <n v="148"/>
    <n v="5"/>
    <n v="5"/>
    <n v="8779"/>
    <x v="0"/>
  </r>
  <r>
    <s v="02-0192"/>
    <d v="2025-10-24T00:00:00"/>
    <x v="4"/>
    <x v="4"/>
    <x v="3"/>
    <x v="1"/>
    <s v="55-74"/>
    <n v="159"/>
    <n v="12"/>
    <n v="5"/>
    <n v="2120"/>
    <x v="1"/>
  </r>
  <r>
    <s v="02-0193"/>
    <d v="2025-10-10T00:00:00"/>
    <x v="1"/>
    <x v="1"/>
    <x v="2"/>
    <x v="1"/>
    <s v="0-17"/>
    <n v="102"/>
    <n v="8"/>
    <n v="3"/>
    <n v="2152"/>
    <x v="1"/>
  </r>
  <r>
    <s v="02-0194"/>
    <d v="2025-03-11T00:00:00"/>
    <x v="4"/>
    <x v="4"/>
    <x v="4"/>
    <x v="0"/>
    <s v="35-54"/>
    <n v="169"/>
    <n v="1"/>
    <n v="3"/>
    <n v="10441"/>
    <x v="1"/>
  </r>
  <r>
    <s v="02-0195"/>
    <d v="2025-02-02T00:00:00"/>
    <x v="3"/>
    <x v="3"/>
    <x v="2"/>
    <x v="2"/>
    <s v="75+"/>
    <n v="134"/>
    <n v="0"/>
    <n v="2"/>
    <n v="12801"/>
    <x v="1"/>
  </r>
  <r>
    <s v="02-0196"/>
    <d v="2025-12-23T00:00:00"/>
    <x v="1"/>
    <x v="1"/>
    <x v="4"/>
    <x v="2"/>
    <s v="55-74"/>
    <n v="118"/>
    <n v="12"/>
    <n v="5"/>
    <n v="4323"/>
    <x v="1"/>
  </r>
  <r>
    <s v="02-0197"/>
    <d v="2025-10-10T00:00:00"/>
    <x v="4"/>
    <x v="4"/>
    <x v="3"/>
    <x v="0"/>
    <s v="0-17"/>
    <n v="25"/>
    <n v="5"/>
    <n v="4"/>
    <n v="17881"/>
    <x v="0"/>
  </r>
  <r>
    <s v="02-0198"/>
    <d v="2025-09-12T00:00:00"/>
    <x v="1"/>
    <x v="1"/>
    <x v="3"/>
    <x v="2"/>
    <s v="55-74"/>
    <n v="22"/>
    <n v="9"/>
    <n v="1"/>
    <n v="14704"/>
    <x v="1"/>
  </r>
  <r>
    <s v="02-0199"/>
    <d v="2025-08-21T00:00:00"/>
    <x v="0"/>
    <x v="0"/>
    <x v="3"/>
    <x v="0"/>
    <s v="35-54"/>
    <n v="104"/>
    <n v="1"/>
    <n v="1"/>
    <n v="14030"/>
    <x v="1"/>
  </r>
  <r>
    <s v="02-0200"/>
    <d v="2025-01-06T00:00:00"/>
    <x v="2"/>
    <x v="2"/>
    <x v="2"/>
    <x v="0"/>
    <s v="0-17"/>
    <n v="144"/>
    <n v="9"/>
    <n v="4"/>
    <n v="14190"/>
    <x v="0"/>
  </r>
  <r>
    <s v="02-0201"/>
    <d v="2025-06-13T00:00:00"/>
    <x v="3"/>
    <x v="3"/>
    <x v="0"/>
    <x v="1"/>
    <s v="18-34"/>
    <n v="33"/>
    <n v="6"/>
    <n v="4"/>
    <n v="1579"/>
    <x v="1"/>
  </r>
  <r>
    <s v="02-0202"/>
    <d v="2025-10-13T00:00:00"/>
    <x v="4"/>
    <x v="4"/>
    <x v="0"/>
    <x v="0"/>
    <s v="18-34"/>
    <n v="35"/>
    <n v="13"/>
    <n v="2"/>
    <n v="4155"/>
    <x v="0"/>
  </r>
  <r>
    <s v="02-0203"/>
    <d v="2025-03-20T00:00:00"/>
    <x v="2"/>
    <x v="2"/>
    <x v="4"/>
    <x v="0"/>
    <s v="18-34"/>
    <n v="168"/>
    <n v="4"/>
    <n v="3"/>
    <n v="7455"/>
    <x v="1"/>
  </r>
  <r>
    <s v="02-0204"/>
    <d v="2025-04-14T00:00:00"/>
    <x v="4"/>
    <x v="4"/>
    <x v="0"/>
    <x v="2"/>
    <s v="75+"/>
    <n v="145"/>
    <n v="6"/>
    <n v="1"/>
    <n v="9225"/>
    <x v="1"/>
  </r>
  <r>
    <s v="02-0205"/>
    <d v="2025-11-06T00:00:00"/>
    <x v="0"/>
    <x v="0"/>
    <x v="4"/>
    <x v="1"/>
    <s v="35-54"/>
    <n v="170"/>
    <n v="4"/>
    <n v="5"/>
    <n v="10002"/>
    <x v="0"/>
  </r>
  <r>
    <s v="02-0206"/>
    <d v="2025-08-09T00:00:00"/>
    <x v="1"/>
    <x v="1"/>
    <x v="0"/>
    <x v="1"/>
    <s v="18-34"/>
    <n v="35"/>
    <n v="1"/>
    <n v="3"/>
    <n v="938"/>
    <x v="0"/>
  </r>
  <r>
    <s v="02-0207"/>
    <d v="2025-01-13T00:00:00"/>
    <x v="3"/>
    <x v="3"/>
    <x v="2"/>
    <x v="2"/>
    <s v="55-74"/>
    <n v="88"/>
    <n v="12"/>
    <n v="4"/>
    <n v="775"/>
    <x v="1"/>
  </r>
  <r>
    <s v="02-0208"/>
    <d v="2025-09-11T00:00:00"/>
    <x v="2"/>
    <x v="2"/>
    <x v="1"/>
    <x v="1"/>
    <s v="18-34"/>
    <n v="162"/>
    <n v="3"/>
    <n v="1"/>
    <n v="5057"/>
    <x v="1"/>
  </r>
  <r>
    <s v="02-0209"/>
    <d v="2025-03-04T00:00:00"/>
    <x v="2"/>
    <x v="2"/>
    <x v="3"/>
    <x v="1"/>
    <s v="75+"/>
    <n v="123"/>
    <n v="11"/>
    <n v="2"/>
    <n v="12045"/>
    <x v="1"/>
  </r>
  <r>
    <s v="02-0210"/>
    <d v="2025-10-12T00:00:00"/>
    <x v="4"/>
    <x v="4"/>
    <x v="3"/>
    <x v="2"/>
    <s v="75+"/>
    <n v="107"/>
    <n v="0"/>
    <n v="1"/>
    <n v="2959"/>
    <x v="0"/>
  </r>
  <r>
    <s v="02-0211"/>
    <d v="2025-08-18T00:00:00"/>
    <x v="4"/>
    <x v="4"/>
    <x v="1"/>
    <x v="2"/>
    <s v="18-34"/>
    <n v="14"/>
    <n v="4"/>
    <n v="5"/>
    <n v="7353"/>
    <x v="1"/>
  </r>
  <r>
    <s v="02-0212"/>
    <d v="2025-02-17T00:00:00"/>
    <x v="1"/>
    <x v="1"/>
    <x v="3"/>
    <x v="2"/>
    <s v="75+"/>
    <n v="24"/>
    <n v="0"/>
    <n v="2"/>
    <n v="7883"/>
    <x v="0"/>
  </r>
  <r>
    <s v="02-0213"/>
    <d v="2025-04-17T00:00:00"/>
    <x v="2"/>
    <x v="2"/>
    <x v="0"/>
    <x v="0"/>
    <s v="55-74"/>
    <n v="41"/>
    <n v="10"/>
    <n v="4"/>
    <n v="1292"/>
    <x v="1"/>
  </r>
  <r>
    <s v="02-0214"/>
    <d v="2025-10-05T00:00:00"/>
    <x v="1"/>
    <x v="1"/>
    <x v="2"/>
    <x v="1"/>
    <s v="0-17"/>
    <n v="164"/>
    <n v="4"/>
    <n v="3"/>
    <n v="13509"/>
    <x v="1"/>
  </r>
  <r>
    <s v="02-0215"/>
    <d v="2025-07-08T00:00:00"/>
    <x v="1"/>
    <x v="1"/>
    <x v="1"/>
    <x v="2"/>
    <s v="0-17"/>
    <n v="138"/>
    <n v="0"/>
    <n v="2"/>
    <n v="9880"/>
    <x v="1"/>
  </r>
  <r>
    <s v="02-0216"/>
    <d v="2025-08-03T00:00:00"/>
    <x v="0"/>
    <x v="0"/>
    <x v="4"/>
    <x v="2"/>
    <s v="18-34"/>
    <n v="135"/>
    <n v="3"/>
    <n v="4"/>
    <n v="5088"/>
    <x v="1"/>
  </r>
  <r>
    <s v="02-0217"/>
    <d v="2025-07-03T00:00:00"/>
    <x v="2"/>
    <x v="2"/>
    <x v="0"/>
    <x v="2"/>
    <s v="35-54"/>
    <n v="142"/>
    <n v="3"/>
    <n v="5"/>
    <n v="15102"/>
    <x v="1"/>
  </r>
  <r>
    <s v="02-0218"/>
    <d v="2025-06-28T00:00:00"/>
    <x v="1"/>
    <x v="1"/>
    <x v="4"/>
    <x v="2"/>
    <s v="0-17"/>
    <n v="6"/>
    <n v="10"/>
    <n v="2"/>
    <n v="4217"/>
    <x v="1"/>
  </r>
  <r>
    <s v="02-0219"/>
    <d v="2025-10-28T00:00:00"/>
    <x v="2"/>
    <x v="2"/>
    <x v="2"/>
    <x v="1"/>
    <s v="75+"/>
    <n v="86"/>
    <n v="1"/>
    <n v="3"/>
    <n v="12524"/>
    <x v="1"/>
  </r>
  <r>
    <s v="02-0220"/>
    <d v="2025-01-03T00:00:00"/>
    <x v="4"/>
    <x v="4"/>
    <x v="2"/>
    <x v="1"/>
    <s v="35-54"/>
    <n v="73"/>
    <n v="5"/>
    <n v="2"/>
    <n v="17134"/>
    <x v="1"/>
  </r>
  <r>
    <s v="02-0221"/>
    <d v="2025-09-17T00:00:00"/>
    <x v="2"/>
    <x v="2"/>
    <x v="3"/>
    <x v="2"/>
    <s v="35-54"/>
    <n v="61"/>
    <n v="5"/>
    <n v="4"/>
    <n v="2020"/>
    <x v="1"/>
  </r>
  <r>
    <s v="02-0222"/>
    <d v="2025-04-02T00:00:00"/>
    <x v="1"/>
    <x v="1"/>
    <x v="1"/>
    <x v="1"/>
    <s v="75+"/>
    <n v="60"/>
    <n v="6"/>
    <n v="3"/>
    <n v="5965"/>
    <x v="1"/>
  </r>
  <r>
    <s v="02-0223"/>
    <d v="2025-06-02T00:00:00"/>
    <x v="3"/>
    <x v="3"/>
    <x v="1"/>
    <x v="2"/>
    <s v="35-54"/>
    <n v="148"/>
    <n v="7"/>
    <n v="1"/>
    <n v="874"/>
    <x v="1"/>
  </r>
  <r>
    <s v="02-0224"/>
    <d v="2025-10-16T00:00:00"/>
    <x v="0"/>
    <x v="0"/>
    <x v="0"/>
    <x v="0"/>
    <s v="18-34"/>
    <n v="54"/>
    <n v="12"/>
    <n v="5"/>
    <n v="6620"/>
    <x v="1"/>
  </r>
  <r>
    <s v="02-0225"/>
    <d v="2025-06-17T00:00:00"/>
    <x v="1"/>
    <x v="1"/>
    <x v="0"/>
    <x v="1"/>
    <s v="18-34"/>
    <n v="119"/>
    <n v="1"/>
    <n v="3"/>
    <n v="583"/>
    <x v="1"/>
  </r>
  <r>
    <s v="02-0226"/>
    <d v="2025-07-28T00:00:00"/>
    <x v="2"/>
    <x v="2"/>
    <x v="2"/>
    <x v="1"/>
    <s v="35-54"/>
    <n v="72"/>
    <n v="1"/>
    <n v="2"/>
    <n v="10063"/>
    <x v="1"/>
  </r>
  <r>
    <s v="02-0227"/>
    <d v="2025-01-23T00:00:00"/>
    <x v="1"/>
    <x v="1"/>
    <x v="0"/>
    <x v="2"/>
    <s v="75+"/>
    <n v="106"/>
    <n v="3"/>
    <n v="3"/>
    <n v="7633"/>
    <x v="1"/>
  </r>
  <r>
    <s v="02-0228"/>
    <d v="2025-12-14T00:00:00"/>
    <x v="4"/>
    <x v="4"/>
    <x v="4"/>
    <x v="1"/>
    <s v="0-17"/>
    <n v="42"/>
    <n v="11"/>
    <n v="3"/>
    <n v="15140"/>
    <x v="1"/>
  </r>
  <r>
    <s v="02-0229"/>
    <d v="2025-01-02T00:00:00"/>
    <x v="0"/>
    <x v="0"/>
    <x v="4"/>
    <x v="1"/>
    <s v="55-74"/>
    <n v="54"/>
    <n v="13"/>
    <n v="3"/>
    <n v="9975"/>
    <x v="1"/>
  </r>
  <r>
    <s v="02-0230"/>
    <d v="2025-03-05T00:00:00"/>
    <x v="2"/>
    <x v="2"/>
    <x v="1"/>
    <x v="1"/>
    <s v="75+"/>
    <n v="17"/>
    <n v="13"/>
    <n v="2"/>
    <n v="7960"/>
    <x v="0"/>
  </r>
  <r>
    <s v="02-0231"/>
    <d v="2025-10-23T00:00:00"/>
    <x v="1"/>
    <x v="1"/>
    <x v="4"/>
    <x v="0"/>
    <s v="75+"/>
    <n v="164"/>
    <n v="5"/>
    <n v="4"/>
    <n v="5342"/>
    <x v="1"/>
  </r>
  <r>
    <s v="02-0232"/>
    <d v="2025-08-18T00:00:00"/>
    <x v="2"/>
    <x v="2"/>
    <x v="3"/>
    <x v="1"/>
    <s v="35-54"/>
    <n v="144"/>
    <n v="4"/>
    <n v="3"/>
    <n v="11951"/>
    <x v="1"/>
  </r>
  <r>
    <s v="02-0233"/>
    <d v="2025-12-22T00:00:00"/>
    <x v="4"/>
    <x v="4"/>
    <x v="3"/>
    <x v="0"/>
    <s v="35-54"/>
    <n v="159"/>
    <n v="12"/>
    <n v="4"/>
    <n v="6665"/>
    <x v="0"/>
  </r>
  <r>
    <s v="02-0234"/>
    <d v="2025-08-16T00:00:00"/>
    <x v="1"/>
    <x v="1"/>
    <x v="3"/>
    <x v="1"/>
    <s v="75+"/>
    <n v="67"/>
    <n v="11"/>
    <n v="1"/>
    <n v="3280"/>
    <x v="1"/>
  </r>
  <r>
    <s v="02-0235"/>
    <d v="2025-11-20T00:00:00"/>
    <x v="0"/>
    <x v="0"/>
    <x v="1"/>
    <x v="0"/>
    <s v="18-34"/>
    <n v="156"/>
    <n v="12"/>
    <n v="2"/>
    <n v="11237"/>
    <x v="1"/>
  </r>
  <r>
    <s v="02-0236"/>
    <d v="2025-06-28T00:00:00"/>
    <x v="4"/>
    <x v="4"/>
    <x v="2"/>
    <x v="1"/>
    <s v="0-17"/>
    <n v="135"/>
    <n v="0"/>
    <n v="5"/>
    <n v="12213"/>
    <x v="0"/>
  </r>
  <r>
    <s v="02-0237"/>
    <d v="2025-07-09T00:00:00"/>
    <x v="1"/>
    <x v="1"/>
    <x v="4"/>
    <x v="2"/>
    <s v="0-17"/>
    <n v="99"/>
    <n v="1"/>
    <n v="5"/>
    <n v="13215"/>
    <x v="1"/>
  </r>
  <r>
    <s v="02-0238"/>
    <d v="2025-07-13T00:00:00"/>
    <x v="0"/>
    <x v="0"/>
    <x v="0"/>
    <x v="2"/>
    <s v="18-34"/>
    <n v="162"/>
    <n v="9"/>
    <n v="4"/>
    <n v="12585"/>
    <x v="1"/>
  </r>
  <r>
    <s v="02-0239"/>
    <d v="2025-10-13T00:00:00"/>
    <x v="2"/>
    <x v="2"/>
    <x v="3"/>
    <x v="2"/>
    <s v="75+"/>
    <n v="119"/>
    <n v="11"/>
    <n v="5"/>
    <n v="9660"/>
    <x v="1"/>
  </r>
  <r>
    <s v="02-0240"/>
    <d v="2025-10-16T00:00:00"/>
    <x v="3"/>
    <x v="3"/>
    <x v="0"/>
    <x v="2"/>
    <s v="0-17"/>
    <n v="15"/>
    <n v="13"/>
    <n v="5"/>
    <n v="11173"/>
    <x v="1"/>
  </r>
  <r>
    <s v="02-0241"/>
    <d v="2025-10-27T00:00:00"/>
    <x v="4"/>
    <x v="4"/>
    <x v="2"/>
    <x v="0"/>
    <s v="35-54"/>
    <n v="102"/>
    <n v="10"/>
    <n v="3"/>
    <n v="5109"/>
    <x v="0"/>
  </r>
  <r>
    <s v="02-0242"/>
    <d v="2025-08-10T00:00:00"/>
    <x v="0"/>
    <x v="0"/>
    <x v="2"/>
    <x v="2"/>
    <s v="18-34"/>
    <n v="88"/>
    <n v="4"/>
    <n v="1"/>
    <n v="4487"/>
    <x v="1"/>
  </r>
  <r>
    <s v="02-0243"/>
    <d v="2025-12-24T00:00:00"/>
    <x v="3"/>
    <x v="3"/>
    <x v="3"/>
    <x v="1"/>
    <s v="55-74"/>
    <n v="163"/>
    <n v="10"/>
    <n v="3"/>
    <n v="14766"/>
    <x v="0"/>
  </r>
  <r>
    <s v="02-0244"/>
    <d v="2025-05-03T00:00:00"/>
    <x v="0"/>
    <x v="0"/>
    <x v="1"/>
    <x v="2"/>
    <s v="55-74"/>
    <n v="22"/>
    <n v="3"/>
    <n v="1"/>
    <n v="15841"/>
    <x v="0"/>
  </r>
  <r>
    <s v="02-0245"/>
    <d v="2025-11-02T00:00:00"/>
    <x v="1"/>
    <x v="1"/>
    <x v="1"/>
    <x v="0"/>
    <s v="18-34"/>
    <n v="68"/>
    <n v="2"/>
    <n v="4"/>
    <n v="16206"/>
    <x v="1"/>
  </r>
  <r>
    <s v="02-0246"/>
    <d v="2025-06-20T00:00:00"/>
    <x v="4"/>
    <x v="4"/>
    <x v="0"/>
    <x v="1"/>
    <s v="55-74"/>
    <n v="21"/>
    <n v="4"/>
    <n v="4"/>
    <n v="16289"/>
    <x v="1"/>
  </r>
  <r>
    <s v="02-0247"/>
    <d v="2025-07-06T00:00:00"/>
    <x v="1"/>
    <x v="1"/>
    <x v="0"/>
    <x v="0"/>
    <s v="18-34"/>
    <n v="143"/>
    <n v="10"/>
    <n v="3"/>
    <n v="12600"/>
    <x v="1"/>
  </r>
  <r>
    <s v="02-0248"/>
    <d v="2025-05-23T00:00:00"/>
    <x v="1"/>
    <x v="1"/>
    <x v="2"/>
    <x v="2"/>
    <s v="55-74"/>
    <n v="98"/>
    <n v="13"/>
    <n v="2"/>
    <n v="14576"/>
    <x v="0"/>
  </r>
  <r>
    <s v="02-0249"/>
    <d v="2025-05-22T00:00:00"/>
    <x v="1"/>
    <x v="1"/>
    <x v="0"/>
    <x v="0"/>
    <s v="18-34"/>
    <n v="18"/>
    <n v="4"/>
    <n v="3"/>
    <n v="5926"/>
    <x v="1"/>
  </r>
  <r>
    <s v="02-0250"/>
    <d v="2025-02-14T00:00:00"/>
    <x v="0"/>
    <x v="0"/>
    <x v="4"/>
    <x v="0"/>
    <s v="75+"/>
    <n v="38"/>
    <n v="0"/>
    <n v="4"/>
    <n v="14603"/>
    <x v="1"/>
  </r>
  <r>
    <s v="02-0251"/>
    <d v="2025-07-19T00:00:00"/>
    <x v="3"/>
    <x v="3"/>
    <x v="0"/>
    <x v="0"/>
    <s v="0-17"/>
    <n v="138"/>
    <n v="11"/>
    <n v="3"/>
    <n v="7271"/>
    <x v="1"/>
  </r>
  <r>
    <s v="02-0252"/>
    <d v="2025-06-12T00:00:00"/>
    <x v="4"/>
    <x v="4"/>
    <x v="2"/>
    <x v="0"/>
    <s v="55-74"/>
    <n v="134"/>
    <n v="11"/>
    <n v="2"/>
    <n v="14639"/>
    <x v="1"/>
  </r>
  <r>
    <s v="02-0253"/>
    <d v="2025-08-08T00:00:00"/>
    <x v="4"/>
    <x v="4"/>
    <x v="0"/>
    <x v="0"/>
    <s v="0-17"/>
    <n v="11"/>
    <n v="12"/>
    <n v="1"/>
    <n v="244"/>
    <x v="0"/>
  </r>
  <r>
    <s v="02-0254"/>
    <d v="2025-01-04T00:00:00"/>
    <x v="2"/>
    <x v="2"/>
    <x v="3"/>
    <x v="2"/>
    <s v="18-34"/>
    <n v="132"/>
    <n v="5"/>
    <n v="2"/>
    <n v="15368"/>
    <x v="1"/>
  </r>
  <r>
    <s v="02-0255"/>
    <d v="2025-08-14T00:00:00"/>
    <x v="0"/>
    <x v="0"/>
    <x v="2"/>
    <x v="0"/>
    <s v="0-17"/>
    <n v="158"/>
    <n v="7"/>
    <n v="5"/>
    <n v="8311"/>
    <x v="1"/>
  </r>
  <r>
    <s v="02-0256"/>
    <d v="2025-10-13T00:00:00"/>
    <x v="1"/>
    <x v="1"/>
    <x v="2"/>
    <x v="2"/>
    <s v="75+"/>
    <n v="69"/>
    <n v="12"/>
    <n v="5"/>
    <n v="14882"/>
    <x v="1"/>
  </r>
  <r>
    <s v="02-0257"/>
    <d v="2025-08-24T00:00:00"/>
    <x v="2"/>
    <x v="2"/>
    <x v="1"/>
    <x v="1"/>
    <s v="35-54"/>
    <n v="56"/>
    <n v="7"/>
    <n v="1"/>
    <n v="7219"/>
    <x v="1"/>
  </r>
  <r>
    <s v="02-0258"/>
    <d v="2025-10-09T00:00:00"/>
    <x v="0"/>
    <x v="0"/>
    <x v="3"/>
    <x v="2"/>
    <s v="55-74"/>
    <n v="143"/>
    <n v="9"/>
    <n v="2"/>
    <n v="2979"/>
    <x v="1"/>
  </r>
  <r>
    <s v="02-0259"/>
    <d v="2025-06-04T00:00:00"/>
    <x v="1"/>
    <x v="1"/>
    <x v="1"/>
    <x v="1"/>
    <s v="35-54"/>
    <n v="20"/>
    <n v="11"/>
    <n v="3"/>
    <n v="14651"/>
    <x v="1"/>
  </r>
  <r>
    <s v="02-0260"/>
    <d v="2025-12-23T00:00:00"/>
    <x v="3"/>
    <x v="3"/>
    <x v="3"/>
    <x v="2"/>
    <s v="35-54"/>
    <n v="111"/>
    <n v="6"/>
    <n v="1"/>
    <n v="16878"/>
    <x v="1"/>
  </r>
  <r>
    <s v="02-0261"/>
    <d v="2025-11-27T00:00:00"/>
    <x v="0"/>
    <x v="0"/>
    <x v="0"/>
    <x v="2"/>
    <s v="35-54"/>
    <n v="42"/>
    <n v="4"/>
    <n v="2"/>
    <n v="14202"/>
    <x v="1"/>
  </r>
  <r>
    <s v="02-0262"/>
    <d v="2025-03-17T00:00:00"/>
    <x v="1"/>
    <x v="1"/>
    <x v="1"/>
    <x v="1"/>
    <s v="55-74"/>
    <n v="59"/>
    <n v="12"/>
    <n v="2"/>
    <n v="12470"/>
    <x v="1"/>
  </r>
  <r>
    <s v="02-0263"/>
    <d v="2025-07-16T00:00:00"/>
    <x v="4"/>
    <x v="4"/>
    <x v="2"/>
    <x v="2"/>
    <s v="35-54"/>
    <n v="42"/>
    <n v="9"/>
    <n v="1"/>
    <n v="1597"/>
    <x v="1"/>
  </r>
  <r>
    <s v="02-0264"/>
    <d v="2025-04-18T00:00:00"/>
    <x v="3"/>
    <x v="3"/>
    <x v="3"/>
    <x v="1"/>
    <s v="55-74"/>
    <n v="55"/>
    <n v="13"/>
    <n v="5"/>
    <n v="4056"/>
    <x v="1"/>
  </r>
  <r>
    <s v="02-0265"/>
    <d v="2025-08-02T00:00:00"/>
    <x v="1"/>
    <x v="1"/>
    <x v="4"/>
    <x v="1"/>
    <s v="35-54"/>
    <n v="133"/>
    <n v="8"/>
    <n v="2"/>
    <n v="4062"/>
    <x v="1"/>
  </r>
  <r>
    <s v="02-0266"/>
    <d v="2025-09-25T00:00:00"/>
    <x v="0"/>
    <x v="0"/>
    <x v="4"/>
    <x v="1"/>
    <s v="18-34"/>
    <n v="29"/>
    <n v="7"/>
    <n v="3"/>
    <n v="12478"/>
    <x v="1"/>
  </r>
  <r>
    <s v="02-0267"/>
    <d v="2025-09-14T00:00:00"/>
    <x v="4"/>
    <x v="4"/>
    <x v="4"/>
    <x v="0"/>
    <s v="55-74"/>
    <n v="97"/>
    <n v="9"/>
    <n v="5"/>
    <n v="10792"/>
    <x v="1"/>
  </r>
  <r>
    <s v="02-0268"/>
    <d v="2025-03-25T00:00:00"/>
    <x v="3"/>
    <x v="3"/>
    <x v="0"/>
    <x v="1"/>
    <s v="55-74"/>
    <n v="40"/>
    <n v="7"/>
    <n v="1"/>
    <n v="1030"/>
    <x v="1"/>
  </r>
  <r>
    <s v="02-0269"/>
    <d v="2025-06-10T00:00:00"/>
    <x v="1"/>
    <x v="1"/>
    <x v="1"/>
    <x v="1"/>
    <s v="18-34"/>
    <n v="81"/>
    <n v="11"/>
    <n v="5"/>
    <n v="3522"/>
    <x v="1"/>
  </r>
  <r>
    <s v="02-0270"/>
    <d v="2025-03-02T00:00:00"/>
    <x v="0"/>
    <x v="0"/>
    <x v="0"/>
    <x v="0"/>
    <s v="35-54"/>
    <n v="109"/>
    <n v="11"/>
    <n v="1"/>
    <n v="15308"/>
    <x v="1"/>
  </r>
  <r>
    <s v="02-0271"/>
    <d v="2025-07-12T00:00:00"/>
    <x v="4"/>
    <x v="4"/>
    <x v="0"/>
    <x v="0"/>
    <s v="35-54"/>
    <n v="73"/>
    <n v="8"/>
    <n v="2"/>
    <n v="2038"/>
    <x v="1"/>
  </r>
  <r>
    <s v="02-0272"/>
    <d v="2025-11-10T00:00:00"/>
    <x v="0"/>
    <x v="0"/>
    <x v="1"/>
    <x v="2"/>
    <s v="0-17"/>
    <n v="158"/>
    <n v="3"/>
    <n v="3"/>
    <n v="9055"/>
    <x v="1"/>
  </r>
  <r>
    <s v="02-0273"/>
    <d v="2025-05-04T00:00:00"/>
    <x v="3"/>
    <x v="3"/>
    <x v="4"/>
    <x v="2"/>
    <s v="0-17"/>
    <n v="132"/>
    <n v="6"/>
    <n v="4"/>
    <n v="2940"/>
    <x v="1"/>
  </r>
  <r>
    <s v="02-0274"/>
    <d v="2025-02-15T00:00:00"/>
    <x v="1"/>
    <x v="1"/>
    <x v="4"/>
    <x v="2"/>
    <s v="18-34"/>
    <n v="9"/>
    <n v="9"/>
    <n v="3"/>
    <n v="7267"/>
    <x v="1"/>
  </r>
  <r>
    <s v="02-0275"/>
    <d v="2025-06-15T00:00:00"/>
    <x v="0"/>
    <x v="0"/>
    <x v="0"/>
    <x v="0"/>
    <s v="18-34"/>
    <n v="42"/>
    <n v="5"/>
    <n v="3"/>
    <n v="3576"/>
    <x v="1"/>
  </r>
  <r>
    <s v="02-0276"/>
    <d v="2025-07-23T00:00:00"/>
    <x v="0"/>
    <x v="0"/>
    <x v="2"/>
    <x v="2"/>
    <s v="75+"/>
    <n v="164"/>
    <n v="0"/>
    <n v="4"/>
    <n v="9983"/>
    <x v="1"/>
  </r>
  <r>
    <s v="02-0277"/>
    <d v="2025-05-20T00:00:00"/>
    <x v="0"/>
    <x v="0"/>
    <x v="3"/>
    <x v="0"/>
    <s v="35-54"/>
    <n v="92"/>
    <n v="3"/>
    <n v="4"/>
    <n v="1196"/>
    <x v="1"/>
  </r>
  <r>
    <s v="02-0278"/>
    <d v="2025-10-14T00:00:00"/>
    <x v="0"/>
    <x v="0"/>
    <x v="1"/>
    <x v="1"/>
    <s v="35-54"/>
    <n v="110"/>
    <n v="3"/>
    <n v="4"/>
    <n v="9755"/>
    <x v="1"/>
  </r>
  <r>
    <s v="02-0279"/>
    <d v="2025-09-18T00:00:00"/>
    <x v="0"/>
    <x v="0"/>
    <x v="3"/>
    <x v="1"/>
    <s v="0-17"/>
    <n v="118"/>
    <n v="0"/>
    <n v="3"/>
    <n v="14763"/>
    <x v="0"/>
  </r>
  <r>
    <s v="02-0280"/>
    <d v="2025-10-24T00:00:00"/>
    <x v="4"/>
    <x v="4"/>
    <x v="3"/>
    <x v="1"/>
    <s v="75+"/>
    <n v="108"/>
    <n v="9"/>
    <n v="1"/>
    <n v="3939"/>
    <x v="1"/>
  </r>
  <r>
    <s v="02-0281"/>
    <d v="2025-04-04T00:00:00"/>
    <x v="0"/>
    <x v="0"/>
    <x v="3"/>
    <x v="0"/>
    <s v="35-54"/>
    <n v="109"/>
    <n v="12"/>
    <n v="1"/>
    <n v="6123"/>
    <x v="1"/>
  </r>
  <r>
    <s v="02-0282"/>
    <d v="2025-05-26T00:00:00"/>
    <x v="4"/>
    <x v="4"/>
    <x v="2"/>
    <x v="2"/>
    <s v="35-54"/>
    <n v="98"/>
    <n v="0"/>
    <n v="4"/>
    <n v="15766"/>
    <x v="1"/>
  </r>
  <r>
    <s v="02-0283"/>
    <d v="2025-08-20T00:00:00"/>
    <x v="2"/>
    <x v="2"/>
    <x v="2"/>
    <x v="0"/>
    <s v="18-34"/>
    <n v="21"/>
    <n v="7"/>
    <n v="5"/>
    <n v="10615"/>
    <x v="1"/>
  </r>
  <r>
    <s v="02-0284"/>
    <d v="2025-02-07T00:00:00"/>
    <x v="0"/>
    <x v="0"/>
    <x v="0"/>
    <x v="1"/>
    <s v="18-34"/>
    <n v="67"/>
    <n v="9"/>
    <n v="3"/>
    <n v="14709"/>
    <x v="1"/>
  </r>
  <r>
    <s v="02-0285"/>
    <d v="2025-06-23T00:00:00"/>
    <x v="4"/>
    <x v="4"/>
    <x v="0"/>
    <x v="2"/>
    <s v="0-17"/>
    <n v="13"/>
    <n v="3"/>
    <n v="5"/>
    <n v="3547"/>
    <x v="1"/>
  </r>
  <r>
    <s v="02-0286"/>
    <d v="2025-09-22T00:00:00"/>
    <x v="1"/>
    <x v="1"/>
    <x v="4"/>
    <x v="0"/>
    <s v="0-17"/>
    <n v="74"/>
    <n v="5"/>
    <n v="3"/>
    <n v="14249"/>
    <x v="1"/>
  </r>
  <r>
    <s v="02-0287"/>
    <d v="2025-12-07T00:00:00"/>
    <x v="1"/>
    <x v="1"/>
    <x v="2"/>
    <x v="0"/>
    <s v="35-54"/>
    <n v="98"/>
    <n v="10"/>
    <n v="1"/>
    <n v="10064"/>
    <x v="1"/>
  </r>
  <r>
    <s v="02-0288"/>
    <d v="2025-09-01T00:00:00"/>
    <x v="4"/>
    <x v="4"/>
    <x v="4"/>
    <x v="1"/>
    <s v="75+"/>
    <n v="49"/>
    <n v="6"/>
    <n v="4"/>
    <n v="1310"/>
    <x v="1"/>
  </r>
  <r>
    <s v="02-0289"/>
    <d v="2025-06-10T00:00:00"/>
    <x v="3"/>
    <x v="3"/>
    <x v="1"/>
    <x v="1"/>
    <s v="55-74"/>
    <n v="16"/>
    <n v="11"/>
    <n v="1"/>
    <n v="1609"/>
    <x v="1"/>
  </r>
  <r>
    <s v="02-0290"/>
    <d v="2025-10-02T00:00:00"/>
    <x v="2"/>
    <x v="2"/>
    <x v="4"/>
    <x v="1"/>
    <s v="0-17"/>
    <n v="69"/>
    <n v="13"/>
    <n v="4"/>
    <n v="16311"/>
    <x v="1"/>
  </r>
  <r>
    <s v="02-0291"/>
    <d v="2025-11-10T00:00:00"/>
    <x v="2"/>
    <x v="2"/>
    <x v="4"/>
    <x v="1"/>
    <s v="55-74"/>
    <n v="77"/>
    <n v="3"/>
    <n v="4"/>
    <n v="13837"/>
    <x v="1"/>
  </r>
  <r>
    <s v="02-0292"/>
    <d v="2025-10-27T00:00:00"/>
    <x v="0"/>
    <x v="0"/>
    <x v="3"/>
    <x v="0"/>
    <s v="18-34"/>
    <n v="149"/>
    <n v="11"/>
    <n v="4"/>
    <n v="10712"/>
    <x v="1"/>
  </r>
  <r>
    <s v="02-0293"/>
    <d v="2025-01-20T00:00:00"/>
    <x v="3"/>
    <x v="3"/>
    <x v="2"/>
    <x v="0"/>
    <s v="35-54"/>
    <n v="18"/>
    <n v="10"/>
    <n v="4"/>
    <n v="11956"/>
    <x v="1"/>
  </r>
  <r>
    <s v="02-0294"/>
    <d v="2025-02-11T00:00:00"/>
    <x v="4"/>
    <x v="4"/>
    <x v="1"/>
    <x v="2"/>
    <s v="55-74"/>
    <n v="72"/>
    <n v="13"/>
    <n v="5"/>
    <n v="1647"/>
    <x v="1"/>
  </r>
  <r>
    <s v="02-0295"/>
    <d v="2025-05-24T00:00:00"/>
    <x v="2"/>
    <x v="2"/>
    <x v="0"/>
    <x v="0"/>
    <s v="18-34"/>
    <n v="32"/>
    <n v="6"/>
    <n v="2"/>
    <n v="14418"/>
    <x v="1"/>
  </r>
  <r>
    <s v="02-0296"/>
    <d v="2025-06-05T00:00:00"/>
    <x v="3"/>
    <x v="3"/>
    <x v="0"/>
    <x v="0"/>
    <s v="0-17"/>
    <n v="130"/>
    <n v="4"/>
    <n v="4"/>
    <n v="2291"/>
    <x v="1"/>
  </r>
  <r>
    <s v="02-0297"/>
    <d v="2025-07-18T00:00:00"/>
    <x v="3"/>
    <x v="3"/>
    <x v="2"/>
    <x v="2"/>
    <s v="18-34"/>
    <n v="94"/>
    <n v="5"/>
    <n v="1"/>
    <n v="12093"/>
    <x v="1"/>
  </r>
  <r>
    <s v="02-0298"/>
    <d v="2025-03-09T00:00:00"/>
    <x v="2"/>
    <x v="2"/>
    <x v="4"/>
    <x v="1"/>
    <s v="18-34"/>
    <n v="74"/>
    <n v="7"/>
    <n v="2"/>
    <n v="11045"/>
    <x v="0"/>
  </r>
  <r>
    <s v="02-0299"/>
    <d v="2025-02-01T00:00:00"/>
    <x v="3"/>
    <x v="3"/>
    <x v="1"/>
    <x v="1"/>
    <s v="35-54"/>
    <n v="101"/>
    <n v="11"/>
    <n v="1"/>
    <n v="17639"/>
    <x v="0"/>
  </r>
  <r>
    <s v="02-0300"/>
    <d v="2025-02-11T00:00:00"/>
    <x v="2"/>
    <x v="2"/>
    <x v="0"/>
    <x v="0"/>
    <s v="55-74"/>
    <n v="80"/>
    <n v="13"/>
    <n v="2"/>
    <n v="8661"/>
    <x v="1"/>
  </r>
  <r>
    <s v="02-0301"/>
    <d v="2025-12-07T00:00:00"/>
    <x v="1"/>
    <x v="1"/>
    <x v="0"/>
    <x v="2"/>
    <s v="55-74"/>
    <n v="129"/>
    <n v="6"/>
    <n v="2"/>
    <n v="8887"/>
    <x v="1"/>
  </r>
  <r>
    <s v="02-0302"/>
    <d v="2025-04-25T00:00:00"/>
    <x v="1"/>
    <x v="1"/>
    <x v="0"/>
    <x v="0"/>
    <s v="18-34"/>
    <n v="5"/>
    <n v="12"/>
    <n v="1"/>
    <n v="9322"/>
    <x v="0"/>
  </r>
  <r>
    <s v="02-0303"/>
    <d v="2025-03-18T00:00:00"/>
    <x v="3"/>
    <x v="3"/>
    <x v="0"/>
    <x v="1"/>
    <s v="55-74"/>
    <n v="16"/>
    <n v="13"/>
    <n v="4"/>
    <n v="2132"/>
    <x v="0"/>
  </r>
  <r>
    <s v="02-0304"/>
    <d v="2025-04-05T00:00:00"/>
    <x v="2"/>
    <x v="2"/>
    <x v="2"/>
    <x v="2"/>
    <s v="0-17"/>
    <n v="69"/>
    <n v="2"/>
    <n v="4"/>
    <n v="1091"/>
    <x v="1"/>
  </r>
  <r>
    <s v="02-0305"/>
    <d v="2025-04-17T00:00:00"/>
    <x v="3"/>
    <x v="3"/>
    <x v="0"/>
    <x v="1"/>
    <s v="0-17"/>
    <n v="119"/>
    <n v="6"/>
    <n v="4"/>
    <n v="6944"/>
    <x v="0"/>
  </r>
  <r>
    <s v="02-0306"/>
    <d v="2025-07-22T00:00:00"/>
    <x v="4"/>
    <x v="4"/>
    <x v="3"/>
    <x v="2"/>
    <s v="55-74"/>
    <n v="137"/>
    <n v="3"/>
    <n v="4"/>
    <n v="2915"/>
    <x v="1"/>
  </r>
  <r>
    <s v="02-0307"/>
    <d v="2025-05-21T00:00:00"/>
    <x v="4"/>
    <x v="4"/>
    <x v="4"/>
    <x v="2"/>
    <s v="75+"/>
    <n v="64"/>
    <n v="0"/>
    <n v="3"/>
    <n v="14609"/>
    <x v="1"/>
  </r>
  <r>
    <s v="02-0308"/>
    <d v="2025-02-22T00:00:00"/>
    <x v="0"/>
    <x v="0"/>
    <x v="4"/>
    <x v="0"/>
    <s v="75+"/>
    <n v="52"/>
    <n v="11"/>
    <n v="2"/>
    <n v="8326"/>
    <x v="1"/>
  </r>
  <r>
    <s v="02-0309"/>
    <d v="2025-08-08T00:00:00"/>
    <x v="2"/>
    <x v="2"/>
    <x v="3"/>
    <x v="0"/>
    <s v="35-54"/>
    <n v="6"/>
    <n v="12"/>
    <n v="4"/>
    <n v="10752"/>
    <x v="1"/>
  </r>
  <r>
    <s v="02-0310"/>
    <d v="2025-12-04T00:00:00"/>
    <x v="1"/>
    <x v="1"/>
    <x v="2"/>
    <x v="2"/>
    <s v="55-74"/>
    <n v="83"/>
    <n v="1"/>
    <n v="1"/>
    <n v="9786"/>
    <x v="1"/>
  </r>
  <r>
    <s v="02-0311"/>
    <d v="2025-02-15T00:00:00"/>
    <x v="1"/>
    <x v="1"/>
    <x v="4"/>
    <x v="0"/>
    <s v="75+"/>
    <n v="129"/>
    <n v="10"/>
    <n v="4"/>
    <n v="15321"/>
    <x v="1"/>
  </r>
  <r>
    <s v="02-0312"/>
    <d v="2025-05-27T00:00:00"/>
    <x v="2"/>
    <x v="2"/>
    <x v="4"/>
    <x v="1"/>
    <s v="35-54"/>
    <n v="9"/>
    <n v="1"/>
    <n v="2"/>
    <n v="8495"/>
    <x v="1"/>
  </r>
  <r>
    <s v="02-0313"/>
    <d v="2025-04-02T00:00:00"/>
    <x v="4"/>
    <x v="4"/>
    <x v="4"/>
    <x v="1"/>
    <s v="18-34"/>
    <n v="150"/>
    <n v="3"/>
    <n v="3"/>
    <n v="15778"/>
    <x v="1"/>
  </r>
  <r>
    <s v="02-0314"/>
    <d v="2025-05-27T00:00:00"/>
    <x v="0"/>
    <x v="0"/>
    <x v="1"/>
    <x v="1"/>
    <s v="35-54"/>
    <n v="46"/>
    <n v="1"/>
    <n v="5"/>
    <n v="506"/>
    <x v="0"/>
  </r>
  <r>
    <s v="02-0315"/>
    <d v="2025-03-15T00:00:00"/>
    <x v="1"/>
    <x v="1"/>
    <x v="0"/>
    <x v="1"/>
    <s v="0-17"/>
    <n v="12"/>
    <n v="5"/>
    <n v="3"/>
    <n v="1359"/>
    <x v="1"/>
  </r>
  <r>
    <s v="02-0316"/>
    <d v="2025-12-12T00:00:00"/>
    <x v="0"/>
    <x v="0"/>
    <x v="0"/>
    <x v="0"/>
    <s v="18-34"/>
    <n v="163"/>
    <n v="8"/>
    <n v="1"/>
    <n v="9259"/>
    <x v="1"/>
  </r>
  <r>
    <s v="02-0317"/>
    <d v="2025-03-03T00:00:00"/>
    <x v="2"/>
    <x v="2"/>
    <x v="3"/>
    <x v="2"/>
    <s v="75+"/>
    <n v="71"/>
    <n v="12"/>
    <n v="2"/>
    <n v="1606"/>
    <x v="0"/>
  </r>
  <r>
    <s v="02-0318"/>
    <d v="2025-05-15T00:00:00"/>
    <x v="2"/>
    <x v="2"/>
    <x v="1"/>
    <x v="1"/>
    <s v="18-34"/>
    <n v="33"/>
    <n v="5"/>
    <n v="1"/>
    <n v="5190"/>
    <x v="1"/>
  </r>
  <r>
    <s v="02-0319"/>
    <d v="2025-01-11T00:00:00"/>
    <x v="2"/>
    <x v="2"/>
    <x v="0"/>
    <x v="2"/>
    <s v="75+"/>
    <n v="98"/>
    <n v="12"/>
    <n v="2"/>
    <n v="13232"/>
    <x v="1"/>
  </r>
  <r>
    <s v="02-0320"/>
    <d v="2025-08-05T00:00:00"/>
    <x v="3"/>
    <x v="3"/>
    <x v="3"/>
    <x v="0"/>
    <s v="0-17"/>
    <n v="17"/>
    <n v="4"/>
    <n v="4"/>
    <n v="5190"/>
    <x v="1"/>
  </r>
  <r>
    <s v="02-0321"/>
    <d v="2025-03-07T00:00:00"/>
    <x v="2"/>
    <x v="2"/>
    <x v="4"/>
    <x v="2"/>
    <s v="0-17"/>
    <n v="121"/>
    <n v="12"/>
    <n v="4"/>
    <n v="15928"/>
    <x v="1"/>
  </r>
  <r>
    <s v="02-0322"/>
    <d v="2025-06-22T00:00:00"/>
    <x v="1"/>
    <x v="1"/>
    <x v="0"/>
    <x v="2"/>
    <s v="35-54"/>
    <n v="115"/>
    <n v="10"/>
    <n v="4"/>
    <n v="15084"/>
    <x v="1"/>
  </r>
  <r>
    <s v="02-0323"/>
    <d v="2025-11-21T00:00:00"/>
    <x v="4"/>
    <x v="4"/>
    <x v="2"/>
    <x v="0"/>
    <s v="0-17"/>
    <n v="151"/>
    <n v="2"/>
    <n v="3"/>
    <n v="8845"/>
    <x v="1"/>
  </r>
  <r>
    <s v="02-0324"/>
    <d v="2025-03-11T00:00:00"/>
    <x v="2"/>
    <x v="2"/>
    <x v="1"/>
    <x v="2"/>
    <s v="18-34"/>
    <n v="116"/>
    <n v="8"/>
    <n v="4"/>
    <n v="4773"/>
    <x v="1"/>
  </r>
  <r>
    <s v="02-0325"/>
    <d v="2025-12-18T00:00:00"/>
    <x v="1"/>
    <x v="1"/>
    <x v="2"/>
    <x v="0"/>
    <s v="18-34"/>
    <n v="157"/>
    <n v="13"/>
    <n v="5"/>
    <n v="14982"/>
    <x v="1"/>
  </r>
  <r>
    <s v="02-0326"/>
    <d v="2025-04-22T00:00:00"/>
    <x v="0"/>
    <x v="0"/>
    <x v="2"/>
    <x v="1"/>
    <s v="75+"/>
    <n v="15"/>
    <n v="2"/>
    <n v="3"/>
    <n v="7102"/>
    <x v="1"/>
  </r>
  <r>
    <s v="02-0327"/>
    <d v="2025-09-05T00:00:00"/>
    <x v="4"/>
    <x v="4"/>
    <x v="4"/>
    <x v="0"/>
    <s v="0-17"/>
    <n v="56"/>
    <n v="4"/>
    <n v="2"/>
    <n v="3357"/>
    <x v="1"/>
  </r>
  <r>
    <s v="02-0328"/>
    <d v="2025-04-08T00:00:00"/>
    <x v="4"/>
    <x v="4"/>
    <x v="0"/>
    <x v="0"/>
    <s v="0-17"/>
    <n v="54"/>
    <n v="6"/>
    <n v="1"/>
    <n v="3131"/>
    <x v="1"/>
  </r>
  <r>
    <s v="02-0329"/>
    <d v="2025-02-13T00:00:00"/>
    <x v="2"/>
    <x v="2"/>
    <x v="4"/>
    <x v="2"/>
    <s v="35-54"/>
    <n v="118"/>
    <n v="6"/>
    <n v="3"/>
    <n v="3693"/>
    <x v="0"/>
  </r>
  <r>
    <s v="02-0330"/>
    <d v="2025-03-01T00:00:00"/>
    <x v="1"/>
    <x v="1"/>
    <x v="2"/>
    <x v="2"/>
    <s v="18-34"/>
    <n v="18"/>
    <n v="8"/>
    <n v="3"/>
    <n v="14199"/>
    <x v="1"/>
  </r>
  <r>
    <s v="02-0331"/>
    <d v="2025-05-21T00:00:00"/>
    <x v="0"/>
    <x v="0"/>
    <x v="1"/>
    <x v="2"/>
    <s v="35-54"/>
    <n v="30"/>
    <n v="2"/>
    <n v="3"/>
    <n v="4592"/>
    <x v="1"/>
  </r>
  <r>
    <s v="02-0332"/>
    <d v="2025-01-12T00:00:00"/>
    <x v="1"/>
    <x v="1"/>
    <x v="4"/>
    <x v="1"/>
    <s v="0-17"/>
    <n v="33"/>
    <n v="9"/>
    <n v="5"/>
    <n v="12681"/>
    <x v="1"/>
  </r>
  <r>
    <s v="02-0333"/>
    <d v="2025-07-10T00:00:00"/>
    <x v="3"/>
    <x v="3"/>
    <x v="1"/>
    <x v="1"/>
    <s v="18-34"/>
    <n v="157"/>
    <n v="5"/>
    <n v="4"/>
    <n v="7433"/>
    <x v="1"/>
  </r>
  <r>
    <s v="02-0334"/>
    <d v="2025-10-21T00:00:00"/>
    <x v="3"/>
    <x v="3"/>
    <x v="2"/>
    <x v="2"/>
    <s v="0-17"/>
    <n v="98"/>
    <n v="9"/>
    <n v="1"/>
    <n v="8486"/>
    <x v="0"/>
  </r>
  <r>
    <s v="02-0335"/>
    <d v="2025-03-12T00:00:00"/>
    <x v="2"/>
    <x v="2"/>
    <x v="3"/>
    <x v="1"/>
    <s v="35-54"/>
    <n v="59"/>
    <n v="2"/>
    <n v="1"/>
    <n v="8826"/>
    <x v="1"/>
  </r>
  <r>
    <s v="02-0336"/>
    <d v="2025-07-27T00:00:00"/>
    <x v="2"/>
    <x v="2"/>
    <x v="3"/>
    <x v="2"/>
    <s v="18-34"/>
    <n v="68"/>
    <n v="7"/>
    <n v="2"/>
    <n v="1089"/>
    <x v="0"/>
  </r>
  <r>
    <s v="02-0337"/>
    <d v="2025-03-11T00:00:00"/>
    <x v="3"/>
    <x v="3"/>
    <x v="3"/>
    <x v="0"/>
    <s v="55-74"/>
    <n v="157"/>
    <n v="2"/>
    <n v="2"/>
    <n v="17695"/>
    <x v="1"/>
  </r>
  <r>
    <s v="02-0338"/>
    <d v="2025-12-24T00:00:00"/>
    <x v="3"/>
    <x v="3"/>
    <x v="0"/>
    <x v="0"/>
    <s v="0-17"/>
    <n v="150"/>
    <n v="2"/>
    <n v="5"/>
    <n v="10061"/>
    <x v="1"/>
  </r>
  <r>
    <s v="02-0339"/>
    <d v="2025-07-13T00:00:00"/>
    <x v="4"/>
    <x v="4"/>
    <x v="4"/>
    <x v="1"/>
    <s v="0-17"/>
    <n v="144"/>
    <n v="9"/>
    <n v="3"/>
    <n v="5434"/>
    <x v="1"/>
  </r>
  <r>
    <s v="02-0340"/>
    <d v="2025-09-10T00:00:00"/>
    <x v="4"/>
    <x v="4"/>
    <x v="1"/>
    <x v="1"/>
    <s v="0-17"/>
    <n v="87"/>
    <n v="1"/>
    <n v="3"/>
    <n v="209"/>
    <x v="1"/>
  </r>
  <r>
    <s v="02-0341"/>
    <d v="2025-03-09T00:00:00"/>
    <x v="3"/>
    <x v="3"/>
    <x v="1"/>
    <x v="2"/>
    <s v="35-54"/>
    <n v="20"/>
    <n v="6"/>
    <n v="2"/>
    <n v="4963"/>
    <x v="1"/>
  </r>
  <r>
    <s v="02-0342"/>
    <d v="2025-03-28T00:00:00"/>
    <x v="2"/>
    <x v="2"/>
    <x v="4"/>
    <x v="2"/>
    <s v="0-17"/>
    <n v="123"/>
    <n v="7"/>
    <n v="2"/>
    <n v="1351"/>
    <x v="0"/>
  </r>
  <r>
    <s v="02-0343"/>
    <d v="2025-02-14T00:00:00"/>
    <x v="4"/>
    <x v="4"/>
    <x v="2"/>
    <x v="0"/>
    <s v="18-34"/>
    <n v="38"/>
    <n v="8"/>
    <n v="3"/>
    <n v="14621"/>
    <x v="1"/>
  </r>
  <r>
    <s v="02-0344"/>
    <d v="2025-08-22T00:00:00"/>
    <x v="3"/>
    <x v="3"/>
    <x v="1"/>
    <x v="0"/>
    <s v="0-17"/>
    <n v="72"/>
    <n v="3"/>
    <n v="3"/>
    <n v="12604"/>
    <x v="1"/>
  </r>
  <r>
    <s v="02-0345"/>
    <d v="2025-12-28T00:00:00"/>
    <x v="3"/>
    <x v="3"/>
    <x v="4"/>
    <x v="0"/>
    <s v="35-54"/>
    <n v="147"/>
    <n v="13"/>
    <n v="2"/>
    <n v="7410"/>
    <x v="1"/>
  </r>
  <r>
    <s v="02-0346"/>
    <d v="2025-04-20T00:00:00"/>
    <x v="1"/>
    <x v="1"/>
    <x v="4"/>
    <x v="1"/>
    <s v="55-74"/>
    <n v="67"/>
    <n v="1"/>
    <n v="1"/>
    <n v="15366"/>
    <x v="1"/>
  </r>
  <r>
    <s v="02-0347"/>
    <d v="2025-05-27T00:00:00"/>
    <x v="1"/>
    <x v="1"/>
    <x v="2"/>
    <x v="1"/>
    <s v="75+"/>
    <n v="143"/>
    <n v="5"/>
    <n v="2"/>
    <n v="8702"/>
    <x v="1"/>
  </r>
  <r>
    <s v="02-0348"/>
    <d v="2025-04-14T00:00:00"/>
    <x v="0"/>
    <x v="0"/>
    <x v="2"/>
    <x v="0"/>
    <s v="55-74"/>
    <n v="102"/>
    <n v="3"/>
    <n v="1"/>
    <n v="6073"/>
    <x v="0"/>
  </r>
  <r>
    <s v="02-0349"/>
    <d v="2025-09-07T00:00:00"/>
    <x v="0"/>
    <x v="0"/>
    <x v="2"/>
    <x v="0"/>
    <s v="0-17"/>
    <n v="89"/>
    <n v="2"/>
    <n v="2"/>
    <n v="5541"/>
    <x v="0"/>
  </r>
  <r>
    <s v="02-0350"/>
    <d v="2025-07-28T00:00:00"/>
    <x v="2"/>
    <x v="2"/>
    <x v="0"/>
    <x v="1"/>
    <s v="0-17"/>
    <n v="107"/>
    <n v="3"/>
    <n v="3"/>
    <n v="4418"/>
    <x v="1"/>
  </r>
  <r>
    <s v="02-0351"/>
    <d v="2025-12-02T00:00:00"/>
    <x v="0"/>
    <x v="0"/>
    <x v="0"/>
    <x v="2"/>
    <s v="0-17"/>
    <n v="166"/>
    <n v="1"/>
    <n v="2"/>
    <n v="17394"/>
    <x v="1"/>
  </r>
  <r>
    <s v="02-0352"/>
    <d v="2025-02-05T00:00:00"/>
    <x v="3"/>
    <x v="3"/>
    <x v="3"/>
    <x v="1"/>
    <s v="18-34"/>
    <n v="12"/>
    <n v="1"/>
    <n v="3"/>
    <n v="5942"/>
    <x v="1"/>
  </r>
  <r>
    <s v="02-0353"/>
    <d v="2025-03-23T00:00:00"/>
    <x v="3"/>
    <x v="3"/>
    <x v="2"/>
    <x v="0"/>
    <s v="0-17"/>
    <n v="22"/>
    <n v="2"/>
    <n v="3"/>
    <n v="10235"/>
    <x v="1"/>
  </r>
  <r>
    <s v="02-0354"/>
    <d v="2025-12-23T00:00:00"/>
    <x v="4"/>
    <x v="4"/>
    <x v="3"/>
    <x v="0"/>
    <s v="35-54"/>
    <n v="121"/>
    <n v="12"/>
    <n v="1"/>
    <n v="9155"/>
    <x v="1"/>
  </r>
  <r>
    <s v="02-0355"/>
    <d v="2025-10-10T00:00:00"/>
    <x v="1"/>
    <x v="1"/>
    <x v="1"/>
    <x v="2"/>
    <s v="75+"/>
    <n v="119"/>
    <n v="4"/>
    <n v="2"/>
    <n v="9175"/>
    <x v="1"/>
  </r>
  <r>
    <s v="02-0356"/>
    <d v="2025-12-21T00:00:00"/>
    <x v="4"/>
    <x v="4"/>
    <x v="2"/>
    <x v="1"/>
    <s v="75+"/>
    <n v="111"/>
    <n v="4"/>
    <n v="1"/>
    <n v="14159"/>
    <x v="1"/>
  </r>
  <r>
    <s v="02-0357"/>
    <d v="2025-01-27T00:00:00"/>
    <x v="3"/>
    <x v="3"/>
    <x v="1"/>
    <x v="1"/>
    <s v="18-34"/>
    <n v="120"/>
    <n v="7"/>
    <n v="1"/>
    <n v="11914"/>
    <x v="0"/>
  </r>
  <r>
    <s v="02-0358"/>
    <d v="2025-03-16T00:00:00"/>
    <x v="1"/>
    <x v="1"/>
    <x v="4"/>
    <x v="0"/>
    <s v="75+"/>
    <n v="45"/>
    <n v="3"/>
    <n v="1"/>
    <n v="11718"/>
    <x v="0"/>
  </r>
  <r>
    <s v="02-0359"/>
    <d v="2025-05-20T00:00:00"/>
    <x v="3"/>
    <x v="3"/>
    <x v="2"/>
    <x v="2"/>
    <s v="18-34"/>
    <n v="164"/>
    <n v="10"/>
    <n v="3"/>
    <n v="644"/>
    <x v="1"/>
  </r>
  <r>
    <s v="02-0360"/>
    <d v="2025-10-22T00:00:00"/>
    <x v="1"/>
    <x v="1"/>
    <x v="0"/>
    <x v="2"/>
    <s v="35-54"/>
    <n v="105"/>
    <n v="0"/>
    <n v="1"/>
    <n v="5556"/>
    <x v="1"/>
  </r>
  <r>
    <s v="02-0361"/>
    <d v="2025-05-25T00:00:00"/>
    <x v="2"/>
    <x v="2"/>
    <x v="1"/>
    <x v="2"/>
    <s v="18-34"/>
    <n v="59"/>
    <n v="4"/>
    <n v="3"/>
    <n v="13337"/>
    <x v="1"/>
  </r>
  <r>
    <s v="02-0362"/>
    <d v="2025-02-13T00:00:00"/>
    <x v="4"/>
    <x v="4"/>
    <x v="3"/>
    <x v="2"/>
    <s v="0-17"/>
    <n v="165"/>
    <n v="13"/>
    <n v="4"/>
    <n v="1793"/>
    <x v="1"/>
  </r>
  <r>
    <s v="02-0363"/>
    <d v="2025-11-11T00:00:00"/>
    <x v="3"/>
    <x v="3"/>
    <x v="1"/>
    <x v="2"/>
    <s v="0-17"/>
    <n v="167"/>
    <n v="4"/>
    <n v="1"/>
    <n v="12685"/>
    <x v="1"/>
  </r>
  <r>
    <s v="02-0364"/>
    <d v="2025-07-18T00:00:00"/>
    <x v="4"/>
    <x v="4"/>
    <x v="3"/>
    <x v="0"/>
    <s v="35-54"/>
    <n v="62"/>
    <n v="4"/>
    <n v="4"/>
    <n v="6534"/>
    <x v="1"/>
  </r>
  <r>
    <s v="02-0365"/>
    <d v="2025-05-03T00:00:00"/>
    <x v="3"/>
    <x v="3"/>
    <x v="4"/>
    <x v="0"/>
    <s v="35-54"/>
    <n v="141"/>
    <n v="10"/>
    <n v="1"/>
    <n v="16542"/>
    <x v="1"/>
  </r>
  <r>
    <s v="02-0366"/>
    <d v="2025-04-15T00:00:00"/>
    <x v="2"/>
    <x v="2"/>
    <x v="3"/>
    <x v="1"/>
    <s v="35-54"/>
    <n v="87"/>
    <n v="11"/>
    <n v="3"/>
    <n v="4664"/>
    <x v="1"/>
  </r>
  <r>
    <s v="02-0367"/>
    <d v="2025-12-08T00:00:00"/>
    <x v="2"/>
    <x v="2"/>
    <x v="3"/>
    <x v="1"/>
    <s v="18-34"/>
    <n v="24"/>
    <n v="11"/>
    <n v="2"/>
    <n v="13485"/>
    <x v="1"/>
  </r>
  <r>
    <s v="02-0368"/>
    <d v="2025-08-28T00:00:00"/>
    <x v="2"/>
    <x v="2"/>
    <x v="2"/>
    <x v="1"/>
    <s v="18-34"/>
    <n v="158"/>
    <n v="6"/>
    <n v="1"/>
    <n v="16453"/>
    <x v="0"/>
  </r>
  <r>
    <s v="02-0369"/>
    <d v="2025-09-13T00:00:00"/>
    <x v="0"/>
    <x v="0"/>
    <x v="3"/>
    <x v="0"/>
    <s v="18-34"/>
    <n v="32"/>
    <n v="13"/>
    <n v="3"/>
    <n v="17107"/>
    <x v="1"/>
  </r>
  <r>
    <s v="02-0370"/>
    <d v="2025-12-05T00:00:00"/>
    <x v="2"/>
    <x v="2"/>
    <x v="4"/>
    <x v="2"/>
    <s v="18-34"/>
    <n v="132"/>
    <n v="4"/>
    <n v="5"/>
    <n v="3058"/>
    <x v="1"/>
  </r>
  <r>
    <s v="02-0371"/>
    <d v="2025-02-11T00:00:00"/>
    <x v="3"/>
    <x v="3"/>
    <x v="0"/>
    <x v="2"/>
    <s v="35-54"/>
    <n v="36"/>
    <n v="6"/>
    <n v="2"/>
    <n v="10751"/>
    <x v="1"/>
  </r>
  <r>
    <s v="02-0372"/>
    <d v="2025-10-28T00:00:00"/>
    <x v="1"/>
    <x v="1"/>
    <x v="4"/>
    <x v="1"/>
    <s v="0-17"/>
    <n v="147"/>
    <n v="13"/>
    <n v="3"/>
    <n v="17574"/>
    <x v="1"/>
  </r>
  <r>
    <s v="02-0373"/>
    <d v="2025-08-01T00:00:00"/>
    <x v="3"/>
    <x v="3"/>
    <x v="1"/>
    <x v="1"/>
    <s v="55-74"/>
    <n v="158"/>
    <n v="11"/>
    <n v="5"/>
    <n v="9917"/>
    <x v="1"/>
  </r>
  <r>
    <s v="02-0374"/>
    <d v="2025-05-24T00:00:00"/>
    <x v="4"/>
    <x v="4"/>
    <x v="0"/>
    <x v="0"/>
    <s v="75+"/>
    <n v="113"/>
    <n v="10"/>
    <n v="3"/>
    <n v="9795"/>
    <x v="1"/>
  </r>
  <r>
    <s v="02-0375"/>
    <d v="2025-06-20T00:00:00"/>
    <x v="0"/>
    <x v="0"/>
    <x v="0"/>
    <x v="1"/>
    <s v="18-34"/>
    <n v="166"/>
    <n v="5"/>
    <n v="2"/>
    <n v="14401"/>
    <x v="0"/>
  </r>
  <r>
    <s v="02-0376"/>
    <d v="2025-06-28T00:00:00"/>
    <x v="3"/>
    <x v="3"/>
    <x v="1"/>
    <x v="2"/>
    <s v="75+"/>
    <n v="169"/>
    <n v="13"/>
    <n v="5"/>
    <n v="3134"/>
    <x v="0"/>
  </r>
  <r>
    <s v="02-0377"/>
    <d v="2025-04-24T00:00:00"/>
    <x v="1"/>
    <x v="1"/>
    <x v="4"/>
    <x v="2"/>
    <s v="0-17"/>
    <n v="47"/>
    <n v="13"/>
    <n v="2"/>
    <n v="15074"/>
    <x v="0"/>
  </r>
  <r>
    <s v="02-0378"/>
    <d v="2025-09-16T00:00:00"/>
    <x v="4"/>
    <x v="4"/>
    <x v="4"/>
    <x v="0"/>
    <s v="75+"/>
    <n v="170"/>
    <n v="1"/>
    <n v="5"/>
    <n v="243"/>
    <x v="1"/>
  </r>
  <r>
    <s v="02-0379"/>
    <d v="2025-12-07T00:00:00"/>
    <x v="2"/>
    <x v="2"/>
    <x v="2"/>
    <x v="2"/>
    <s v="35-54"/>
    <n v="30"/>
    <n v="4"/>
    <n v="5"/>
    <n v="5320"/>
    <x v="1"/>
  </r>
  <r>
    <s v="02-0380"/>
    <d v="2025-04-20T00:00:00"/>
    <x v="0"/>
    <x v="0"/>
    <x v="4"/>
    <x v="0"/>
    <s v="0-17"/>
    <n v="115"/>
    <n v="7"/>
    <n v="2"/>
    <n v="10990"/>
    <x v="0"/>
  </r>
  <r>
    <s v="02-0381"/>
    <d v="2025-09-21T00:00:00"/>
    <x v="4"/>
    <x v="4"/>
    <x v="2"/>
    <x v="0"/>
    <s v="55-74"/>
    <n v="34"/>
    <n v="10"/>
    <n v="3"/>
    <n v="12268"/>
    <x v="1"/>
  </r>
  <r>
    <s v="02-0382"/>
    <d v="2025-02-25T00:00:00"/>
    <x v="0"/>
    <x v="0"/>
    <x v="0"/>
    <x v="2"/>
    <s v="0-17"/>
    <n v="12"/>
    <n v="2"/>
    <n v="2"/>
    <n v="6161"/>
    <x v="1"/>
  </r>
  <r>
    <s v="02-0383"/>
    <d v="2025-06-18T00:00:00"/>
    <x v="3"/>
    <x v="3"/>
    <x v="4"/>
    <x v="2"/>
    <s v="75+"/>
    <n v="21"/>
    <n v="1"/>
    <n v="3"/>
    <n v="14614"/>
    <x v="0"/>
  </r>
  <r>
    <s v="02-0384"/>
    <d v="2025-11-26T00:00:00"/>
    <x v="1"/>
    <x v="1"/>
    <x v="3"/>
    <x v="2"/>
    <s v="0-17"/>
    <n v="82"/>
    <n v="9"/>
    <n v="2"/>
    <n v="12220"/>
    <x v="0"/>
  </r>
  <r>
    <s v="02-0385"/>
    <d v="2025-12-07T00:00:00"/>
    <x v="4"/>
    <x v="4"/>
    <x v="1"/>
    <x v="0"/>
    <s v="35-54"/>
    <n v="56"/>
    <n v="3"/>
    <n v="1"/>
    <n v="15035"/>
    <x v="1"/>
  </r>
  <r>
    <s v="02-0386"/>
    <d v="2025-06-09T00:00:00"/>
    <x v="1"/>
    <x v="1"/>
    <x v="1"/>
    <x v="1"/>
    <s v="35-54"/>
    <n v="166"/>
    <n v="13"/>
    <n v="1"/>
    <n v="17569"/>
    <x v="0"/>
  </r>
  <r>
    <s v="02-0387"/>
    <d v="2025-03-06T00:00:00"/>
    <x v="0"/>
    <x v="0"/>
    <x v="1"/>
    <x v="0"/>
    <s v="0-17"/>
    <n v="23"/>
    <n v="12"/>
    <n v="5"/>
    <n v="12352"/>
    <x v="1"/>
  </r>
  <r>
    <s v="02-0388"/>
    <d v="2025-11-25T00:00:00"/>
    <x v="4"/>
    <x v="4"/>
    <x v="2"/>
    <x v="0"/>
    <s v="55-74"/>
    <n v="37"/>
    <n v="3"/>
    <n v="5"/>
    <n v="7461"/>
    <x v="1"/>
  </r>
  <r>
    <s v="02-0389"/>
    <d v="2025-06-15T00:00:00"/>
    <x v="2"/>
    <x v="2"/>
    <x v="0"/>
    <x v="1"/>
    <s v="18-34"/>
    <n v="46"/>
    <n v="6"/>
    <n v="5"/>
    <n v="3914"/>
    <x v="0"/>
  </r>
  <r>
    <s v="02-0390"/>
    <d v="2025-11-04T00:00:00"/>
    <x v="3"/>
    <x v="3"/>
    <x v="4"/>
    <x v="2"/>
    <s v="35-54"/>
    <n v="22"/>
    <n v="6"/>
    <n v="1"/>
    <n v="3109"/>
    <x v="1"/>
  </r>
  <r>
    <s v="02-0391"/>
    <d v="2025-05-06T00:00:00"/>
    <x v="4"/>
    <x v="4"/>
    <x v="1"/>
    <x v="1"/>
    <s v="18-34"/>
    <n v="35"/>
    <n v="1"/>
    <n v="5"/>
    <n v="4257"/>
    <x v="0"/>
  </r>
  <r>
    <s v="02-0392"/>
    <d v="2025-08-16T00:00:00"/>
    <x v="3"/>
    <x v="3"/>
    <x v="3"/>
    <x v="0"/>
    <s v="55-74"/>
    <n v="161"/>
    <n v="3"/>
    <n v="2"/>
    <n v="11051"/>
    <x v="0"/>
  </r>
  <r>
    <s v="02-0393"/>
    <d v="2025-12-25T00:00:00"/>
    <x v="2"/>
    <x v="2"/>
    <x v="0"/>
    <x v="1"/>
    <s v="75+"/>
    <n v="41"/>
    <n v="11"/>
    <n v="5"/>
    <n v="12290"/>
    <x v="1"/>
  </r>
  <r>
    <s v="02-0394"/>
    <d v="2025-04-14T00:00:00"/>
    <x v="4"/>
    <x v="4"/>
    <x v="0"/>
    <x v="1"/>
    <s v="55-74"/>
    <n v="148"/>
    <n v="1"/>
    <n v="5"/>
    <n v="7422"/>
    <x v="1"/>
  </r>
  <r>
    <s v="02-0395"/>
    <d v="2025-09-03T00:00:00"/>
    <x v="4"/>
    <x v="4"/>
    <x v="3"/>
    <x v="2"/>
    <s v="35-54"/>
    <n v="48"/>
    <n v="8"/>
    <n v="5"/>
    <n v="8607"/>
    <x v="1"/>
  </r>
  <r>
    <s v="02-0396"/>
    <d v="2025-07-11T00:00:00"/>
    <x v="2"/>
    <x v="2"/>
    <x v="2"/>
    <x v="1"/>
    <s v="75+"/>
    <n v="53"/>
    <n v="11"/>
    <n v="5"/>
    <n v="17360"/>
    <x v="1"/>
  </r>
  <r>
    <s v="02-0397"/>
    <d v="2025-08-10T00:00:00"/>
    <x v="2"/>
    <x v="2"/>
    <x v="0"/>
    <x v="1"/>
    <s v="0-17"/>
    <n v="124"/>
    <n v="13"/>
    <n v="2"/>
    <n v="3757"/>
    <x v="1"/>
  </r>
  <r>
    <s v="02-0398"/>
    <d v="2025-06-07T00:00:00"/>
    <x v="4"/>
    <x v="4"/>
    <x v="1"/>
    <x v="0"/>
    <s v="75+"/>
    <n v="121"/>
    <n v="5"/>
    <n v="3"/>
    <n v="3359"/>
    <x v="1"/>
  </r>
  <r>
    <s v="02-0399"/>
    <d v="2025-03-23T00:00:00"/>
    <x v="4"/>
    <x v="4"/>
    <x v="2"/>
    <x v="2"/>
    <s v="0-17"/>
    <n v="110"/>
    <n v="1"/>
    <n v="2"/>
    <n v="17779"/>
    <x v="1"/>
  </r>
  <r>
    <s v="02-0400"/>
    <d v="2025-06-02T00:00:00"/>
    <x v="4"/>
    <x v="4"/>
    <x v="1"/>
    <x v="0"/>
    <s v="75+"/>
    <n v="21"/>
    <n v="10"/>
    <n v="5"/>
    <n v="12538"/>
    <x v="1"/>
  </r>
  <r>
    <s v="02-0401"/>
    <d v="2025-07-22T00:00:00"/>
    <x v="3"/>
    <x v="3"/>
    <x v="0"/>
    <x v="0"/>
    <s v="75+"/>
    <n v="50"/>
    <n v="12"/>
    <n v="4"/>
    <n v="4082"/>
    <x v="1"/>
  </r>
  <r>
    <s v="02-0402"/>
    <d v="2025-01-03T00:00:00"/>
    <x v="0"/>
    <x v="0"/>
    <x v="2"/>
    <x v="2"/>
    <s v="18-34"/>
    <n v="78"/>
    <n v="9"/>
    <n v="1"/>
    <n v="1092"/>
    <x v="1"/>
  </r>
  <r>
    <s v="02-0403"/>
    <d v="2025-09-09T00:00:00"/>
    <x v="1"/>
    <x v="1"/>
    <x v="1"/>
    <x v="1"/>
    <s v="0-17"/>
    <n v="158"/>
    <n v="11"/>
    <n v="4"/>
    <n v="17645"/>
    <x v="0"/>
  </r>
  <r>
    <s v="02-0404"/>
    <d v="2025-11-13T00:00:00"/>
    <x v="3"/>
    <x v="3"/>
    <x v="0"/>
    <x v="2"/>
    <s v="55-74"/>
    <n v="79"/>
    <n v="4"/>
    <n v="3"/>
    <n v="10219"/>
    <x v="1"/>
  </r>
  <r>
    <s v="02-0405"/>
    <d v="2025-04-15T00:00:00"/>
    <x v="0"/>
    <x v="0"/>
    <x v="4"/>
    <x v="2"/>
    <s v="75+"/>
    <n v="95"/>
    <n v="10"/>
    <n v="3"/>
    <n v="10766"/>
    <x v="0"/>
  </r>
  <r>
    <s v="02-0406"/>
    <d v="2025-06-04T00:00:00"/>
    <x v="1"/>
    <x v="1"/>
    <x v="1"/>
    <x v="0"/>
    <s v="18-34"/>
    <n v="139"/>
    <n v="8"/>
    <n v="3"/>
    <n v="11736"/>
    <x v="1"/>
  </r>
  <r>
    <s v="02-0407"/>
    <d v="2025-12-01T00:00:00"/>
    <x v="3"/>
    <x v="3"/>
    <x v="4"/>
    <x v="2"/>
    <s v="0-17"/>
    <n v="131"/>
    <n v="9"/>
    <n v="5"/>
    <n v="17792"/>
    <x v="1"/>
  </r>
  <r>
    <s v="02-0408"/>
    <d v="2025-09-04T00:00:00"/>
    <x v="1"/>
    <x v="1"/>
    <x v="0"/>
    <x v="0"/>
    <s v="18-34"/>
    <n v="100"/>
    <n v="2"/>
    <n v="1"/>
    <n v="5100"/>
    <x v="1"/>
  </r>
  <r>
    <s v="02-0409"/>
    <d v="2025-11-02T00:00:00"/>
    <x v="4"/>
    <x v="4"/>
    <x v="1"/>
    <x v="2"/>
    <s v="0-17"/>
    <n v="70"/>
    <n v="6"/>
    <n v="3"/>
    <n v="9617"/>
    <x v="1"/>
  </r>
  <r>
    <s v="02-0410"/>
    <d v="2025-12-09T00:00:00"/>
    <x v="1"/>
    <x v="1"/>
    <x v="4"/>
    <x v="2"/>
    <s v="35-54"/>
    <n v="28"/>
    <n v="8"/>
    <n v="4"/>
    <n v="2235"/>
    <x v="1"/>
  </r>
  <r>
    <s v="02-0411"/>
    <d v="2025-02-28T00:00:00"/>
    <x v="2"/>
    <x v="2"/>
    <x v="4"/>
    <x v="0"/>
    <s v="75+"/>
    <n v="44"/>
    <n v="6"/>
    <n v="1"/>
    <n v="14286"/>
    <x v="1"/>
  </r>
  <r>
    <s v="02-0412"/>
    <d v="2025-04-28T00:00:00"/>
    <x v="3"/>
    <x v="3"/>
    <x v="3"/>
    <x v="2"/>
    <s v="0-17"/>
    <n v="158"/>
    <n v="13"/>
    <n v="5"/>
    <n v="10075"/>
    <x v="1"/>
  </r>
  <r>
    <s v="02-0413"/>
    <d v="2025-05-05T00:00:00"/>
    <x v="2"/>
    <x v="2"/>
    <x v="3"/>
    <x v="0"/>
    <s v="55-74"/>
    <n v="106"/>
    <n v="2"/>
    <n v="4"/>
    <n v="4504"/>
    <x v="1"/>
  </r>
  <r>
    <s v="02-0414"/>
    <d v="2025-05-26T00:00:00"/>
    <x v="2"/>
    <x v="2"/>
    <x v="2"/>
    <x v="1"/>
    <s v="55-74"/>
    <n v="80"/>
    <n v="4"/>
    <n v="4"/>
    <n v="471"/>
    <x v="0"/>
  </r>
  <r>
    <s v="02-0415"/>
    <d v="2025-03-15T00:00:00"/>
    <x v="4"/>
    <x v="4"/>
    <x v="2"/>
    <x v="0"/>
    <s v="35-54"/>
    <n v="92"/>
    <n v="11"/>
    <n v="2"/>
    <n v="7255"/>
    <x v="1"/>
  </r>
  <r>
    <s v="02-0416"/>
    <d v="2025-10-19T00:00:00"/>
    <x v="3"/>
    <x v="3"/>
    <x v="2"/>
    <x v="0"/>
    <s v="35-54"/>
    <n v="124"/>
    <n v="9"/>
    <n v="5"/>
    <n v="8456"/>
    <x v="1"/>
  </r>
  <r>
    <s v="02-0417"/>
    <d v="2025-11-25T00:00:00"/>
    <x v="1"/>
    <x v="1"/>
    <x v="3"/>
    <x v="0"/>
    <s v="0-17"/>
    <n v="84"/>
    <n v="4"/>
    <n v="4"/>
    <n v="6536"/>
    <x v="1"/>
  </r>
  <r>
    <s v="02-0418"/>
    <d v="2025-05-08T00:00:00"/>
    <x v="0"/>
    <x v="0"/>
    <x v="2"/>
    <x v="2"/>
    <s v="35-54"/>
    <n v="77"/>
    <n v="9"/>
    <n v="3"/>
    <n v="15099"/>
    <x v="1"/>
  </r>
  <r>
    <s v="02-0419"/>
    <d v="2025-04-07T00:00:00"/>
    <x v="4"/>
    <x v="4"/>
    <x v="0"/>
    <x v="2"/>
    <s v="55-74"/>
    <n v="79"/>
    <n v="0"/>
    <n v="1"/>
    <n v="3931"/>
    <x v="1"/>
  </r>
  <r>
    <s v="02-0420"/>
    <d v="2025-09-25T00:00:00"/>
    <x v="4"/>
    <x v="4"/>
    <x v="2"/>
    <x v="1"/>
    <s v="18-34"/>
    <n v="102"/>
    <n v="5"/>
    <n v="2"/>
    <n v="13699"/>
    <x v="1"/>
  </r>
  <r>
    <s v="02-0421"/>
    <d v="2025-03-02T00:00:00"/>
    <x v="1"/>
    <x v="1"/>
    <x v="1"/>
    <x v="2"/>
    <s v="75+"/>
    <n v="58"/>
    <n v="5"/>
    <n v="4"/>
    <n v="4678"/>
    <x v="1"/>
  </r>
  <r>
    <s v="02-0422"/>
    <d v="2025-05-13T00:00:00"/>
    <x v="0"/>
    <x v="0"/>
    <x v="3"/>
    <x v="2"/>
    <s v="35-54"/>
    <n v="6"/>
    <n v="12"/>
    <n v="1"/>
    <n v="9267"/>
    <x v="1"/>
  </r>
  <r>
    <s v="02-0423"/>
    <d v="2025-10-05T00:00:00"/>
    <x v="3"/>
    <x v="3"/>
    <x v="1"/>
    <x v="2"/>
    <s v="35-54"/>
    <n v="140"/>
    <n v="10"/>
    <n v="5"/>
    <n v="13567"/>
    <x v="1"/>
  </r>
  <r>
    <s v="02-0424"/>
    <d v="2025-03-14T00:00:00"/>
    <x v="2"/>
    <x v="2"/>
    <x v="4"/>
    <x v="0"/>
    <s v="18-34"/>
    <n v="29"/>
    <n v="9"/>
    <n v="1"/>
    <n v="5787"/>
    <x v="0"/>
  </r>
  <r>
    <s v="02-0425"/>
    <d v="2025-01-27T00:00:00"/>
    <x v="2"/>
    <x v="2"/>
    <x v="1"/>
    <x v="0"/>
    <s v="75+"/>
    <n v="129"/>
    <n v="1"/>
    <n v="3"/>
    <n v="15533"/>
    <x v="1"/>
  </r>
  <r>
    <s v="02-0426"/>
    <d v="2025-06-07T00:00:00"/>
    <x v="0"/>
    <x v="0"/>
    <x v="3"/>
    <x v="2"/>
    <s v="75+"/>
    <n v="91"/>
    <n v="1"/>
    <n v="2"/>
    <n v="11496"/>
    <x v="0"/>
  </r>
  <r>
    <s v="02-0427"/>
    <d v="2025-02-15T00:00:00"/>
    <x v="2"/>
    <x v="2"/>
    <x v="0"/>
    <x v="2"/>
    <s v="75+"/>
    <n v="126"/>
    <n v="12"/>
    <n v="5"/>
    <n v="9446"/>
    <x v="1"/>
  </r>
  <r>
    <s v="02-0428"/>
    <d v="2025-06-19T00:00:00"/>
    <x v="2"/>
    <x v="2"/>
    <x v="2"/>
    <x v="2"/>
    <s v="18-34"/>
    <n v="113"/>
    <n v="4"/>
    <n v="2"/>
    <n v="16883"/>
    <x v="1"/>
  </r>
  <r>
    <s v="02-0429"/>
    <d v="2025-12-04T00:00:00"/>
    <x v="1"/>
    <x v="1"/>
    <x v="3"/>
    <x v="2"/>
    <s v="55-74"/>
    <n v="46"/>
    <n v="6"/>
    <n v="3"/>
    <n v="11521"/>
    <x v="0"/>
  </r>
  <r>
    <s v="02-0430"/>
    <d v="2025-09-25T00:00:00"/>
    <x v="4"/>
    <x v="4"/>
    <x v="1"/>
    <x v="1"/>
    <s v="0-17"/>
    <n v="132"/>
    <n v="5"/>
    <n v="5"/>
    <n v="5903"/>
    <x v="1"/>
  </r>
  <r>
    <s v="02-0431"/>
    <d v="2025-10-24T00:00:00"/>
    <x v="1"/>
    <x v="1"/>
    <x v="2"/>
    <x v="1"/>
    <s v="75+"/>
    <n v="61"/>
    <n v="7"/>
    <n v="2"/>
    <n v="15857"/>
    <x v="1"/>
  </r>
  <r>
    <s v="02-0432"/>
    <d v="2025-06-12T00:00:00"/>
    <x v="2"/>
    <x v="2"/>
    <x v="1"/>
    <x v="2"/>
    <s v="35-54"/>
    <n v="18"/>
    <n v="7"/>
    <n v="5"/>
    <n v="1760"/>
    <x v="1"/>
  </r>
  <r>
    <s v="02-0433"/>
    <d v="2025-06-12T00:00:00"/>
    <x v="4"/>
    <x v="4"/>
    <x v="4"/>
    <x v="0"/>
    <s v="35-54"/>
    <n v="43"/>
    <n v="12"/>
    <n v="3"/>
    <n v="12329"/>
    <x v="1"/>
  </r>
  <r>
    <s v="02-0434"/>
    <d v="2025-11-25T00:00:00"/>
    <x v="0"/>
    <x v="0"/>
    <x v="2"/>
    <x v="2"/>
    <s v="0-17"/>
    <n v="57"/>
    <n v="12"/>
    <n v="1"/>
    <n v="14714"/>
    <x v="1"/>
  </r>
  <r>
    <s v="02-0435"/>
    <d v="2025-06-23T00:00:00"/>
    <x v="0"/>
    <x v="0"/>
    <x v="4"/>
    <x v="0"/>
    <s v="55-74"/>
    <n v="102"/>
    <n v="5"/>
    <n v="4"/>
    <n v="1227"/>
    <x v="1"/>
  </r>
  <r>
    <s v="02-0436"/>
    <d v="2025-07-17T00:00:00"/>
    <x v="1"/>
    <x v="1"/>
    <x v="1"/>
    <x v="2"/>
    <s v="75+"/>
    <n v="36"/>
    <n v="12"/>
    <n v="1"/>
    <n v="6187"/>
    <x v="1"/>
  </r>
  <r>
    <s v="02-0437"/>
    <d v="2025-04-18T00:00:00"/>
    <x v="3"/>
    <x v="3"/>
    <x v="4"/>
    <x v="0"/>
    <s v="35-54"/>
    <n v="151"/>
    <n v="2"/>
    <n v="1"/>
    <n v="5193"/>
    <x v="1"/>
  </r>
  <r>
    <s v="02-0438"/>
    <d v="2025-02-26T00:00:00"/>
    <x v="1"/>
    <x v="1"/>
    <x v="0"/>
    <x v="0"/>
    <s v="0-17"/>
    <n v="151"/>
    <n v="10"/>
    <n v="3"/>
    <n v="6345"/>
    <x v="1"/>
  </r>
  <r>
    <s v="02-0439"/>
    <d v="2025-06-28T00:00:00"/>
    <x v="1"/>
    <x v="1"/>
    <x v="3"/>
    <x v="2"/>
    <s v="35-54"/>
    <n v="11"/>
    <n v="2"/>
    <n v="3"/>
    <n v="11494"/>
    <x v="1"/>
  </r>
  <r>
    <s v="02-0440"/>
    <d v="2025-02-21T00:00:00"/>
    <x v="0"/>
    <x v="0"/>
    <x v="2"/>
    <x v="2"/>
    <s v="75+"/>
    <n v="92"/>
    <n v="11"/>
    <n v="4"/>
    <n v="10381"/>
    <x v="1"/>
  </r>
  <r>
    <s v="02-0441"/>
    <d v="2025-02-16T00:00:00"/>
    <x v="1"/>
    <x v="1"/>
    <x v="1"/>
    <x v="2"/>
    <s v="55-74"/>
    <n v="43"/>
    <n v="1"/>
    <n v="1"/>
    <n v="5605"/>
    <x v="1"/>
  </r>
  <r>
    <s v="02-0442"/>
    <d v="2025-11-27T00:00:00"/>
    <x v="2"/>
    <x v="2"/>
    <x v="3"/>
    <x v="2"/>
    <s v="55-74"/>
    <n v="132"/>
    <n v="8"/>
    <n v="1"/>
    <n v="15258"/>
    <x v="1"/>
  </r>
  <r>
    <s v="02-0443"/>
    <d v="2025-08-05T00:00:00"/>
    <x v="4"/>
    <x v="4"/>
    <x v="0"/>
    <x v="0"/>
    <s v="35-54"/>
    <n v="139"/>
    <n v="12"/>
    <n v="3"/>
    <n v="2149"/>
    <x v="0"/>
  </r>
  <r>
    <s v="02-0444"/>
    <d v="2025-05-28T00:00:00"/>
    <x v="2"/>
    <x v="2"/>
    <x v="2"/>
    <x v="2"/>
    <s v="75+"/>
    <n v="74"/>
    <n v="12"/>
    <n v="5"/>
    <n v="5266"/>
    <x v="1"/>
  </r>
  <r>
    <s v="02-0445"/>
    <d v="2025-05-16T00:00:00"/>
    <x v="4"/>
    <x v="4"/>
    <x v="0"/>
    <x v="2"/>
    <s v="75+"/>
    <n v="71"/>
    <n v="4"/>
    <n v="2"/>
    <n v="4227"/>
    <x v="1"/>
  </r>
  <r>
    <s v="02-0446"/>
    <d v="2025-01-28T00:00:00"/>
    <x v="3"/>
    <x v="3"/>
    <x v="2"/>
    <x v="1"/>
    <s v="35-54"/>
    <n v="94"/>
    <n v="1"/>
    <n v="5"/>
    <n v="8865"/>
    <x v="1"/>
  </r>
  <r>
    <s v="02-0447"/>
    <d v="2025-06-10T00:00:00"/>
    <x v="2"/>
    <x v="2"/>
    <x v="0"/>
    <x v="0"/>
    <s v="35-54"/>
    <n v="20"/>
    <n v="12"/>
    <n v="1"/>
    <n v="7985"/>
    <x v="1"/>
  </r>
  <r>
    <s v="02-0448"/>
    <d v="2025-03-03T00:00:00"/>
    <x v="3"/>
    <x v="3"/>
    <x v="4"/>
    <x v="2"/>
    <s v="55-74"/>
    <n v="49"/>
    <n v="12"/>
    <n v="5"/>
    <n v="8317"/>
    <x v="0"/>
  </r>
  <r>
    <s v="02-0449"/>
    <d v="2025-06-26T00:00:00"/>
    <x v="0"/>
    <x v="0"/>
    <x v="1"/>
    <x v="1"/>
    <s v="75+"/>
    <n v="157"/>
    <n v="6"/>
    <n v="2"/>
    <n v="13572"/>
    <x v="1"/>
  </r>
  <r>
    <s v="02-0450"/>
    <d v="2025-04-17T00:00:00"/>
    <x v="4"/>
    <x v="4"/>
    <x v="1"/>
    <x v="1"/>
    <s v="35-54"/>
    <n v="84"/>
    <n v="4"/>
    <n v="1"/>
    <n v="3527"/>
    <x v="1"/>
  </r>
  <r>
    <s v="02-0451"/>
    <d v="2025-07-06T00:00:00"/>
    <x v="0"/>
    <x v="0"/>
    <x v="3"/>
    <x v="2"/>
    <s v="75+"/>
    <n v="169"/>
    <n v="2"/>
    <n v="4"/>
    <n v="10954"/>
    <x v="0"/>
  </r>
  <r>
    <s v="02-0452"/>
    <d v="2025-04-27T00:00:00"/>
    <x v="3"/>
    <x v="3"/>
    <x v="1"/>
    <x v="0"/>
    <s v="75+"/>
    <n v="152"/>
    <n v="8"/>
    <n v="2"/>
    <n v="15388"/>
    <x v="1"/>
  </r>
  <r>
    <s v="02-0453"/>
    <d v="2025-12-01T00:00:00"/>
    <x v="3"/>
    <x v="3"/>
    <x v="0"/>
    <x v="2"/>
    <s v="35-54"/>
    <n v="93"/>
    <n v="5"/>
    <n v="3"/>
    <n v="4789"/>
    <x v="1"/>
  </r>
  <r>
    <s v="02-0454"/>
    <d v="2025-10-03T00:00:00"/>
    <x v="0"/>
    <x v="0"/>
    <x v="2"/>
    <x v="2"/>
    <s v="0-17"/>
    <n v="89"/>
    <n v="13"/>
    <n v="2"/>
    <n v="9454"/>
    <x v="1"/>
  </r>
  <r>
    <s v="02-0455"/>
    <d v="2025-01-16T00:00:00"/>
    <x v="0"/>
    <x v="0"/>
    <x v="3"/>
    <x v="2"/>
    <s v="75+"/>
    <n v="79"/>
    <n v="2"/>
    <n v="1"/>
    <n v="11518"/>
    <x v="1"/>
  </r>
  <r>
    <s v="02-0456"/>
    <d v="2025-12-07T00:00:00"/>
    <x v="0"/>
    <x v="0"/>
    <x v="2"/>
    <x v="2"/>
    <s v="0-17"/>
    <n v="108"/>
    <n v="8"/>
    <n v="3"/>
    <n v="14083"/>
    <x v="1"/>
  </r>
  <r>
    <s v="02-0457"/>
    <d v="2025-06-28T00:00:00"/>
    <x v="2"/>
    <x v="2"/>
    <x v="4"/>
    <x v="0"/>
    <s v="75+"/>
    <n v="163"/>
    <n v="8"/>
    <n v="3"/>
    <n v="10482"/>
    <x v="1"/>
  </r>
  <r>
    <s v="02-0458"/>
    <d v="2025-03-05T00:00:00"/>
    <x v="3"/>
    <x v="3"/>
    <x v="4"/>
    <x v="1"/>
    <s v="75+"/>
    <n v="110"/>
    <n v="4"/>
    <n v="1"/>
    <n v="12525"/>
    <x v="1"/>
  </r>
  <r>
    <s v="02-0459"/>
    <d v="2025-03-15T00:00:00"/>
    <x v="2"/>
    <x v="2"/>
    <x v="0"/>
    <x v="2"/>
    <s v="0-17"/>
    <n v="108"/>
    <n v="0"/>
    <n v="3"/>
    <n v="11404"/>
    <x v="0"/>
  </r>
  <r>
    <s v="02-0460"/>
    <d v="2025-06-07T00:00:00"/>
    <x v="0"/>
    <x v="0"/>
    <x v="1"/>
    <x v="1"/>
    <s v="75+"/>
    <n v="72"/>
    <n v="4"/>
    <n v="1"/>
    <n v="10524"/>
    <x v="1"/>
  </r>
  <r>
    <s v="02-0461"/>
    <d v="2025-04-23T00:00:00"/>
    <x v="0"/>
    <x v="0"/>
    <x v="3"/>
    <x v="0"/>
    <s v="0-17"/>
    <n v="79"/>
    <n v="9"/>
    <n v="3"/>
    <n v="14615"/>
    <x v="0"/>
  </r>
  <r>
    <s v="02-0462"/>
    <d v="2025-06-17T00:00:00"/>
    <x v="2"/>
    <x v="2"/>
    <x v="4"/>
    <x v="1"/>
    <s v="18-34"/>
    <n v="5"/>
    <n v="0"/>
    <n v="3"/>
    <n v="9446"/>
    <x v="1"/>
  </r>
  <r>
    <s v="02-0463"/>
    <d v="2025-12-09T00:00:00"/>
    <x v="3"/>
    <x v="3"/>
    <x v="3"/>
    <x v="2"/>
    <s v="0-17"/>
    <n v="163"/>
    <n v="0"/>
    <n v="4"/>
    <n v="12172"/>
    <x v="0"/>
  </r>
  <r>
    <s v="02-0464"/>
    <d v="2025-03-21T00:00:00"/>
    <x v="2"/>
    <x v="2"/>
    <x v="2"/>
    <x v="1"/>
    <s v="75+"/>
    <n v="23"/>
    <n v="10"/>
    <n v="5"/>
    <n v="7951"/>
    <x v="1"/>
  </r>
  <r>
    <s v="02-0465"/>
    <d v="2025-04-11T00:00:00"/>
    <x v="4"/>
    <x v="4"/>
    <x v="4"/>
    <x v="2"/>
    <s v="75+"/>
    <n v="34"/>
    <n v="10"/>
    <n v="5"/>
    <n v="3436"/>
    <x v="0"/>
  </r>
  <r>
    <s v="02-0466"/>
    <d v="2025-05-12T00:00:00"/>
    <x v="0"/>
    <x v="0"/>
    <x v="3"/>
    <x v="1"/>
    <s v="75+"/>
    <n v="49"/>
    <n v="10"/>
    <n v="5"/>
    <n v="10205"/>
    <x v="1"/>
  </r>
  <r>
    <s v="02-0467"/>
    <d v="2025-11-10T00:00:00"/>
    <x v="1"/>
    <x v="1"/>
    <x v="1"/>
    <x v="2"/>
    <s v="35-54"/>
    <n v="127"/>
    <n v="12"/>
    <n v="5"/>
    <n v="13738"/>
    <x v="1"/>
  </r>
  <r>
    <s v="02-0468"/>
    <d v="2025-05-15T00:00:00"/>
    <x v="0"/>
    <x v="0"/>
    <x v="0"/>
    <x v="1"/>
    <s v="55-74"/>
    <n v="139"/>
    <n v="0"/>
    <n v="1"/>
    <n v="4840"/>
    <x v="1"/>
  </r>
  <r>
    <s v="02-0469"/>
    <d v="2025-08-26T00:00:00"/>
    <x v="2"/>
    <x v="2"/>
    <x v="2"/>
    <x v="1"/>
    <s v="0-17"/>
    <n v="130"/>
    <n v="13"/>
    <n v="2"/>
    <n v="3411"/>
    <x v="1"/>
  </r>
  <r>
    <s v="02-0470"/>
    <d v="2025-01-20T00:00:00"/>
    <x v="1"/>
    <x v="1"/>
    <x v="2"/>
    <x v="0"/>
    <s v="35-54"/>
    <n v="136"/>
    <n v="4"/>
    <n v="4"/>
    <n v="15347"/>
    <x v="0"/>
  </r>
  <r>
    <s v="02-0471"/>
    <d v="2025-04-20T00:00:00"/>
    <x v="4"/>
    <x v="4"/>
    <x v="1"/>
    <x v="1"/>
    <s v="18-34"/>
    <n v="10"/>
    <n v="4"/>
    <n v="5"/>
    <n v="1423"/>
    <x v="1"/>
  </r>
  <r>
    <s v="02-0472"/>
    <d v="2025-01-11T00:00:00"/>
    <x v="4"/>
    <x v="4"/>
    <x v="0"/>
    <x v="1"/>
    <s v="18-34"/>
    <n v="139"/>
    <n v="12"/>
    <n v="4"/>
    <n v="13363"/>
    <x v="1"/>
  </r>
  <r>
    <s v="02-0473"/>
    <d v="2025-10-25T00:00:00"/>
    <x v="3"/>
    <x v="3"/>
    <x v="4"/>
    <x v="1"/>
    <s v="55-74"/>
    <n v="67"/>
    <n v="10"/>
    <n v="3"/>
    <n v="7855"/>
    <x v="1"/>
  </r>
  <r>
    <s v="02-0474"/>
    <d v="2025-02-27T00:00:00"/>
    <x v="2"/>
    <x v="2"/>
    <x v="4"/>
    <x v="1"/>
    <s v="55-74"/>
    <n v="138"/>
    <n v="4"/>
    <n v="1"/>
    <n v="15685"/>
    <x v="1"/>
  </r>
  <r>
    <s v="02-0475"/>
    <d v="2025-05-07T00:00:00"/>
    <x v="2"/>
    <x v="2"/>
    <x v="3"/>
    <x v="1"/>
    <s v="75+"/>
    <n v="24"/>
    <n v="7"/>
    <n v="5"/>
    <n v="3679"/>
    <x v="1"/>
  </r>
  <r>
    <s v="02-0476"/>
    <d v="2025-01-02T00:00:00"/>
    <x v="0"/>
    <x v="0"/>
    <x v="3"/>
    <x v="2"/>
    <s v="35-54"/>
    <n v="93"/>
    <n v="2"/>
    <n v="1"/>
    <n v="14374"/>
    <x v="1"/>
  </r>
  <r>
    <s v="02-0477"/>
    <d v="2025-07-03T00:00:00"/>
    <x v="2"/>
    <x v="2"/>
    <x v="0"/>
    <x v="1"/>
    <s v="55-74"/>
    <n v="91"/>
    <n v="12"/>
    <n v="3"/>
    <n v="1393"/>
    <x v="1"/>
  </r>
  <r>
    <s v="02-0478"/>
    <d v="2025-03-27T00:00:00"/>
    <x v="3"/>
    <x v="3"/>
    <x v="0"/>
    <x v="2"/>
    <s v="75+"/>
    <n v="121"/>
    <n v="1"/>
    <n v="4"/>
    <n v="13041"/>
    <x v="1"/>
  </r>
  <r>
    <s v="02-0479"/>
    <d v="2025-02-24T00:00:00"/>
    <x v="4"/>
    <x v="4"/>
    <x v="3"/>
    <x v="2"/>
    <s v="35-54"/>
    <n v="156"/>
    <n v="4"/>
    <n v="4"/>
    <n v="4132"/>
    <x v="1"/>
  </r>
  <r>
    <s v="02-0480"/>
    <d v="2025-07-11T00:00:00"/>
    <x v="1"/>
    <x v="1"/>
    <x v="4"/>
    <x v="2"/>
    <s v="18-34"/>
    <n v="111"/>
    <n v="1"/>
    <n v="4"/>
    <n v="1247"/>
    <x v="1"/>
  </r>
  <r>
    <s v="02-0481"/>
    <d v="2025-07-21T00:00:00"/>
    <x v="2"/>
    <x v="2"/>
    <x v="1"/>
    <x v="1"/>
    <s v="75+"/>
    <n v="20"/>
    <n v="9"/>
    <n v="3"/>
    <n v="10682"/>
    <x v="0"/>
  </r>
  <r>
    <s v="02-0482"/>
    <d v="2025-10-25T00:00:00"/>
    <x v="2"/>
    <x v="2"/>
    <x v="2"/>
    <x v="2"/>
    <s v="0-17"/>
    <n v="162"/>
    <n v="4"/>
    <n v="3"/>
    <n v="11643"/>
    <x v="1"/>
  </r>
  <r>
    <s v="02-0483"/>
    <d v="2025-02-23T00:00:00"/>
    <x v="1"/>
    <x v="1"/>
    <x v="1"/>
    <x v="1"/>
    <s v="75+"/>
    <n v="13"/>
    <n v="0"/>
    <n v="4"/>
    <n v="12847"/>
    <x v="1"/>
  </r>
  <r>
    <s v="02-0484"/>
    <d v="2025-06-17T00:00:00"/>
    <x v="3"/>
    <x v="3"/>
    <x v="2"/>
    <x v="0"/>
    <s v="18-34"/>
    <n v="5"/>
    <n v="5"/>
    <n v="3"/>
    <n v="2005"/>
    <x v="1"/>
  </r>
  <r>
    <s v="02-0485"/>
    <d v="2025-07-17T00:00:00"/>
    <x v="3"/>
    <x v="3"/>
    <x v="3"/>
    <x v="0"/>
    <s v="35-54"/>
    <n v="70"/>
    <n v="4"/>
    <n v="2"/>
    <n v="7358"/>
    <x v="1"/>
  </r>
  <r>
    <s v="02-0486"/>
    <d v="2025-10-04T00:00:00"/>
    <x v="2"/>
    <x v="2"/>
    <x v="1"/>
    <x v="1"/>
    <s v="55-74"/>
    <n v="68"/>
    <n v="1"/>
    <n v="5"/>
    <n v="5485"/>
    <x v="0"/>
  </r>
  <r>
    <s v="02-0487"/>
    <d v="2025-09-06T00:00:00"/>
    <x v="3"/>
    <x v="3"/>
    <x v="1"/>
    <x v="0"/>
    <s v="35-54"/>
    <n v="80"/>
    <n v="6"/>
    <n v="3"/>
    <n v="265"/>
    <x v="1"/>
  </r>
  <r>
    <s v="02-0488"/>
    <d v="2025-09-18T00:00:00"/>
    <x v="3"/>
    <x v="3"/>
    <x v="1"/>
    <x v="2"/>
    <s v="75+"/>
    <n v="66"/>
    <n v="10"/>
    <n v="3"/>
    <n v="9302"/>
    <x v="0"/>
  </r>
  <r>
    <s v="02-0489"/>
    <d v="2025-06-14T00:00:00"/>
    <x v="0"/>
    <x v="0"/>
    <x v="4"/>
    <x v="0"/>
    <s v="55-74"/>
    <n v="88"/>
    <n v="2"/>
    <n v="2"/>
    <n v="10448"/>
    <x v="0"/>
  </r>
  <r>
    <s v="02-0490"/>
    <d v="2025-08-05T00:00:00"/>
    <x v="2"/>
    <x v="2"/>
    <x v="2"/>
    <x v="1"/>
    <s v="75+"/>
    <n v="145"/>
    <n v="5"/>
    <n v="5"/>
    <n v="9297"/>
    <x v="1"/>
  </r>
  <r>
    <s v="02-0491"/>
    <d v="2025-02-14T00:00:00"/>
    <x v="3"/>
    <x v="3"/>
    <x v="4"/>
    <x v="0"/>
    <s v="75+"/>
    <n v="120"/>
    <n v="4"/>
    <n v="1"/>
    <n v="7624"/>
    <x v="1"/>
  </r>
  <r>
    <s v="02-0492"/>
    <d v="2025-01-16T00:00:00"/>
    <x v="1"/>
    <x v="1"/>
    <x v="1"/>
    <x v="2"/>
    <s v="0-17"/>
    <n v="145"/>
    <n v="5"/>
    <n v="4"/>
    <n v="1752"/>
    <x v="1"/>
  </r>
  <r>
    <s v="02-0493"/>
    <d v="2025-01-28T00:00:00"/>
    <x v="0"/>
    <x v="0"/>
    <x v="2"/>
    <x v="0"/>
    <s v="0-17"/>
    <n v="127"/>
    <n v="4"/>
    <n v="2"/>
    <n v="9259"/>
    <x v="0"/>
  </r>
  <r>
    <s v="02-0494"/>
    <d v="2025-12-17T00:00:00"/>
    <x v="2"/>
    <x v="2"/>
    <x v="1"/>
    <x v="0"/>
    <s v="18-34"/>
    <n v="71"/>
    <n v="9"/>
    <n v="5"/>
    <n v="6965"/>
    <x v="1"/>
  </r>
  <r>
    <s v="02-0495"/>
    <d v="2025-10-07T00:00:00"/>
    <x v="2"/>
    <x v="2"/>
    <x v="1"/>
    <x v="0"/>
    <s v="55-74"/>
    <n v="84"/>
    <n v="2"/>
    <n v="2"/>
    <n v="3660"/>
    <x v="0"/>
  </r>
  <r>
    <s v="02-0496"/>
    <d v="2025-09-06T00:00:00"/>
    <x v="4"/>
    <x v="4"/>
    <x v="3"/>
    <x v="0"/>
    <s v="75+"/>
    <n v="89"/>
    <n v="7"/>
    <n v="3"/>
    <n v="12896"/>
    <x v="1"/>
  </r>
  <r>
    <s v="02-0497"/>
    <d v="2025-12-20T00:00:00"/>
    <x v="4"/>
    <x v="4"/>
    <x v="3"/>
    <x v="1"/>
    <s v="55-74"/>
    <n v="68"/>
    <n v="13"/>
    <n v="5"/>
    <n v="9440"/>
    <x v="1"/>
  </r>
  <r>
    <s v="02-0498"/>
    <d v="2025-06-17T00:00:00"/>
    <x v="1"/>
    <x v="1"/>
    <x v="3"/>
    <x v="1"/>
    <s v="35-54"/>
    <n v="107"/>
    <n v="9"/>
    <n v="1"/>
    <n v="16494"/>
    <x v="1"/>
  </r>
  <r>
    <s v="02-0499"/>
    <d v="2025-12-09T00:00:00"/>
    <x v="2"/>
    <x v="2"/>
    <x v="1"/>
    <x v="1"/>
    <s v="0-17"/>
    <n v="162"/>
    <n v="5"/>
    <n v="5"/>
    <n v="6344"/>
    <x v="1"/>
  </r>
  <r>
    <s v="02-0500"/>
    <d v="2025-01-16T00:00:00"/>
    <x v="1"/>
    <x v="1"/>
    <x v="1"/>
    <x v="1"/>
    <s v="18-34"/>
    <n v="151"/>
    <n v="0"/>
    <n v="5"/>
    <n v="1250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A13D19-4559-4FE6-BBD7-953FF948DB8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9" firstHeaderRow="1" firstDataRow="1" firstDataCol="1"/>
  <pivotFields count="12">
    <pivotField dataField="1" showAll="0"/>
    <pivotField numFmtId="164" showAll="0"/>
    <pivotField axis="axisRow" showAll="0" sortType="descending">
      <items count="6">
        <item x="3"/>
        <item x="0"/>
        <item x="4"/>
        <item x="2"/>
        <item x="1"/>
        <item t="default"/>
      </items>
      <autoSortScope>
        <pivotArea dataOnly="0" outline="0" fieldPosition="0">
          <references count="1">
            <reference field="4294967294" count="1" selected="0">
              <x v="0"/>
            </reference>
          </references>
        </pivotArea>
      </autoSortScope>
    </pivotField>
    <pivotField showAll="0">
      <items count="6">
        <item x="3"/>
        <item x="2"/>
        <item x="0"/>
        <item x="1"/>
        <item x="4"/>
        <item t="default"/>
      </items>
    </pivotField>
    <pivotField showAll="0">
      <items count="6">
        <item x="3"/>
        <item x="2"/>
        <item x="1"/>
        <item x="0"/>
        <item x="4"/>
        <item t="default"/>
      </items>
    </pivotField>
    <pivotField showAll="0">
      <items count="4">
        <item x="1"/>
        <item x="2"/>
        <item x="0"/>
        <item t="default"/>
      </items>
    </pivotField>
    <pivotField showAll="0"/>
    <pivotField showAll="0"/>
    <pivotField showAll="0"/>
    <pivotField showAll="0"/>
    <pivotField showAll="0"/>
    <pivotField showAll="0"/>
  </pivotFields>
  <rowFields count="1">
    <field x="2"/>
  </rowFields>
  <rowItems count="6">
    <i>
      <x v="3"/>
    </i>
    <i>
      <x v="4"/>
    </i>
    <i>
      <x v="2"/>
    </i>
    <i>
      <x/>
    </i>
    <i>
      <x v="1"/>
    </i>
    <i t="grand">
      <x/>
    </i>
  </rowItems>
  <colItems count="1">
    <i/>
  </colItems>
  <dataFields count="1">
    <dataField name="Count of Visit ID" fld="0" subtotal="count" baseField="2" baseItem="0"/>
  </dataFields>
  <formats count="1">
    <format dxfId="11">
      <pivotArea collapsedLevelsAreSubtotals="1" fieldPosition="0">
        <references count="1">
          <reference field="2" count="0"/>
        </references>
      </pivotArea>
    </format>
  </formats>
  <chartFormats count="13">
    <chartFormat chart="20" format="5"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4" format="1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2" count="1" selected="0">
            <x v="3"/>
          </reference>
        </references>
      </pivotArea>
    </chartFormat>
    <chartFormat chart="24" format="2">
      <pivotArea type="data" outline="0" fieldPosition="0">
        <references count="2">
          <reference field="4294967294" count="1" selected="0">
            <x v="0"/>
          </reference>
          <reference field="2" count="1" selected="0">
            <x v="4"/>
          </reference>
        </references>
      </pivotArea>
    </chartFormat>
    <chartFormat chart="24" format="3">
      <pivotArea type="data" outline="0" fieldPosition="0">
        <references count="2">
          <reference field="4294967294" count="1" selected="0">
            <x v="0"/>
          </reference>
          <reference field="2" count="1" selected="0">
            <x v="2"/>
          </reference>
        </references>
      </pivotArea>
    </chartFormat>
    <chartFormat chart="24" format="4">
      <pivotArea type="data" outline="0" fieldPosition="0">
        <references count="2">
          <reference field="4294967294" count="1" selected="0">
            <x v="0"/>
          </reference>
          <reference field="2" count="1" selected="0">
            <x v="0"/>
          </reference>
        </references>
      </pivotArea>
    </chartFormat>
    <chartFormat chart="24" format="5">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FEBE9D-A97B-482E-837E-4DB0E76A361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10" firstHeaderRow="1" firstDataRow="2" firstDataCol="1"/>
  <pivotFields count="12">
    <pivotField showAll="0"/>
    <pivotField numFmtId="164" showAll="0"/>
    <pivotField showAll="0"/>
    <pivotField axis="axisRow" showAll="0" sortType="descending">
      <items count="6">
        <item x="3"/>
        <item x="2"/>
        <item x="0"/>
        <item x="1"/>
        <item x="4"/>
        <item t="default"/>
      </items>
      <autoSortScope>
        <pivotArea dataOnly="0" outline="0" fieldPosition="0">
          <references count="1">
            <reference field="4294967294" count="1" selected="0">
              <x v="0"/>
            </reference>
          </references>
        </pivotArea>
      </autoSortScope>
    </pivotField>
    <pivotField showAll="0">
      <items count="6">
        <item x="3"/>
        <item x="2"/>
        <item x="1"/>
        <item x="0"/>
        <item x="4"/>
        <item t="default"/>
      </items>
    </pivotField>
    <pivotField axis="axisCol" showAll="0">
      <items count="4">
        <item x="1"/>
        <item x="2"/>
        <item x="0"/>
        <item t="default"/>
      </items>
    </pivotField>
    <pivotField showAll="0"/>
    <pivotField dataField="1" showAll="0"/>
    <pivotField showAll="0"/>
    <pivotField showAll="0"/>
    <pivotField showAll="0"/>
    <pivotField showAll="0"/>
  </pivotFields>
  <rowFields count="1">
    <field x="3"/>
  </rowFields>
  <rowItems count="6">
    <i>
      <x/>
    </i>
    <i>
      <x v="1"/>
    </i>
    <i>
      <x v="2"/>
    </i>
    <i>
      <x v="3"/>
    </i>
    <i>
      <x v="4"/>
    </i>
    <i t="grand">
      <x/>
    </i>
  </rowItems>
  <colFields count="1">
    <field x="5"/>
  </colFields>
  <colItems count="4">
    <i>
      <x/>
    </i>
    <i>
      <x v="1"/>
    </i>
    <i>
      <x v="2"/>
    </i>
    <i t="grand">
      <x/>
    </i>
  </colItems>
  <dataFields count="1">
    <dataField name="Average of Wait Minutes" fld="7" subtotal="average" baseField="3" baseItem="3" numFmtId="1"/>
  </dataField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2" format="6"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1"/>
          </reference>
        </references>
      </pivotArea>
    </chartFormat>
    <chartFormat chart="2"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B2E17B-EB93-4057-A25E-C170CFA4B65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G10" firstHeaderRow="1" firstDataRow="2" firstDataCol="1"/>
  <pivotFields count="12">
    <pivotField showAll="0"/>
    <pivotField numFmtId="164" showAll="0"/>
    <pivotField axis="axisRow" showAll="0" sortType="descending">
      <items count="6">
        <item x="3"/>
        <item x="0"/>
        <item x="4"/>
        <item x="2"/>
        <item x="1"/>
        <item t="default"/>
      </items>
      <autoSortScope>
        <pivotArea dataOnly="0" outline="0" fieldPosition="0">
          <references count="1">
            <reference field="4294967294" count="1" selected="0">
              <x v="0"/>
            </reference>
          </references>
        </pivotArea>
      </autoSortScope>
    </pivotField>
    <pivotField showAll="0">
      <items count="6">
        <item x="3"/>
        <item x="2"/>
        <item x="0"/>
        <item x="1"/>
        <item x="4"/>
        <item t="default"/>
      </items>
    </pivotField>
    <pivotField axis="axisCol" showAll="0">
      <items count="6">
        <item x="3"/>
        <item x="2"/>
        <item x="1"/>
        <item x="0"/>
        <item x="4"/>
        <item t="default"/>
      </items>
    </pivotField>
    <pivotField showAll="0"/>
    <pivotField showAll="0"/>
    <pivotField showAll="0"/>
    <pivotField showAll="0"/>
    <pivotField dataField="1" showAll="0"/>
    <pivotField showAll="0"/>
    <pivotField showAll="0"/>
  </pivotFields>
  <rowFields count="1">
    <field x="2"/>
  </rowFields>
  <rowItems count="6">
    <i>
      <x v="2"/>
    </i>
    <i>
      <x v="3"/>
    </i>
    <i>
      <x/>
    </i>
    <i>
      <x v="1"/>
    </i>
    <i>
      <x v="4"/>
    </i>
    <i t="grand">
      <x/>
    </i>
  </rowItems>
  <colFields count="1">
    <field x="4"/>
  </colFields>
  <colItems count="6">
    <i>
      <x/>
    </i>
    <i>
      <x v="1"/>
    </i>
    <i>
      <x v="2"/>
    </i>
    <i>
      <x v="3"/>
    </i>
    <i>
      <x v="4"/>
    </i>
    <i t="grand">
      <x/>
    </i>
  </colItems>
  <dataFields count="1">
    <dataField name="Average of Patient Satisfaction (1-5)" fld="9" subtotal="average" baseField="2" baseItem="0" numFmtId="1"/>
  </dataFields>
  <chartFormats count="70">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2" format="0" series="1">
      <pivotArea type="data" outline="0" fieldPosition="0">
        <references count="2">
          <reference field="4294967294" count="1" selected="0">
            <x v="0"/>
          </reference>
          <reference field="4" count="1" selected="0">
            <x v="0"/>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 chart="2" format="2" series="1">
      <pivotArea type="data" outline="0" fieldPosition="0">
        <references count="2">
          <reference field="4294967294" count="1" selected="0">
            <x v="0"/>
          </reference>
          <reference field="4" count="1" selected="0">
            <x v="2"/>
          </reference>
        </references>
      </pivotArea>
    </chartFormat>
    <chartFormat chart="2" format="3" series="1">
      <pivotArea type="data" outline="0" fieldPosition="0">
        <references count="2">
          <reference field="4294967294" count="1" selected="0">
            <x v="0"/>
          </reference>
          <reference field="4" count="1" selected="0">
            <x v="3"/>
          </reference>
        </references>
      </pivotArea>
    </chartFormat>
    <chartFormat chart="2" format="4" series="1">
      <pivotArea type="data" outline="0" fieldPosition="0">
        <references count="2">
          <reference field="4294967294" count="1" selected="0">
            <x v="0"/>
          </reference>
          <reference field="4" count="1" selected="0">
            <x v="4"/>
          </reference>
        </references>
      </pivotArea>
    </chartFormat>
    <chartFormat chart="8" format="35" series="1">
      <pivotArea type="data" outline="0" fieldPosition="0">
        <references count="2">
          <reference field="4294967294" count="1" selected="0">
            <x v="0"/>
          </reference>
          <reference field="4" count="1" selected="0">
            <x v="0"/>
          </reference>
        </references>
      </pivotArea>
    </chartFormat>
    <chartFormat chart="8" format="36">
      <pivotArea type="data" outline="0" fieldPosition="0">
        <references count="3">
          <reference field="4294967294" count="1" selected="0">
            <x v="0"/>
          </reference>
          <reference field="2" count="1" selected="0">
            <x v="2"/>
          </reference>
          <reference field="4" count="1" selected="0">
            <x v="0"/>
          </reference>
        </references>
      </pivotArea>
    </chartFormat>
    <chartFormat chart="8" format="37">
      <pivotArea type="data" outline="0" fieldPosition="0">
        <references count="3">
          <reference field="4294967294" count="1" selected="0">
            <x v="0"/>
          </reference>
          <reference field="2" count="1" selected="0">
            <x v="3"/>
          </reference>
          <reference field="4" count="1" selected="0">
            <x v="0"/>
          </reference>
        </references>
      </pivotArea>
    </chartFormat>
    <chartFormat chart="8" format="38">
      <pivotArea type="data" outline="0" fieldPosition="0">
        <references count="3">
          <reference field="4294967294" count="1" selected="0">
            <x v="0"/>
          </reference>
          <reference field="2" count="1" selected="0">
            <x v="0"/>
          </reference>
          <reference field="4" count="1" selected="0">
            <x v="0"/>
          </reference>
        </references>
      </pivotArea>
    </chartFormat>
    <chartFormat chart="8" format="39">
      <pivotArea type="data" outline="0" fieldPosition="0">
        <references count="3">
          <reference field="4294967294" count="1" selected="0">
            <x v="0"/>
          </reference>
          <reference field="2" count="1" selected="0">
            <x v="1"/>
          </reference>
          <reference field="4" count="1" selected="0">
            <x v="0"/>
          </reference>
        </references>
      </pivotArea>
    </chartFormat>
    <chartFormat chart="8" format="40">
      <pivotArea type="data" outline="0" fieldPosition="0">
        <references count="3">
          <reference field="4294967294" count="1" selected="0">
            <x v="0"/>
          </reference>
          <reference field="2" count="1" selected="0">
            <x v="4"/>
          </reference>
          <reference field="4" count="1" selected="0">
            <x v="0"/>
          </reference>
        </references>
      </pivotArea>
    </chartFormat>
    <chartFormat chart="8" format="41" series="1">
      <pivotArea type="data" outline="0" fieldPosition="0">
        <references count="2">
          <reference field="4294967294" count="1" selected="0">
            <x v="0"/>
          </reference>
          <reference field="4" count="1" selected="0">
            <x v="1"/>
          </reference>
        </references>
      </pivotArea>
    </chartFormat>
    <chartFormat chart="8" format="42">
      <pivotArea type="data" outline="0" fieldPosition="0">
        <references count="3">
          <reference field="4294967294" count="1" selected="0">
            <x v="0"/>
          </reference>
          <reference field="2" count="1" selected="0">
            <x v="2"/>
          </reference>
          <reference field="4" count="1" selected="0">
            <x v="1"/>
          </reference>
        </references>
      </pivotArea>
    </chartFormat>
    <chartFormat chart="8" format="43">
      <pivotArea type="data" outline="0" fieldPosition="0">
        <references count="3">
          <reference field="4294967294" count="1" selected="0">
            <x v="0"/>
          </reference>
          <reference field="2" count="1" selected="0">
            <x v="3"/>
          </reference>
          <reference field="4" count="1" selected="0">
            <x v="1"/>
          </reference>
        </references>
      </pivotArea>
    </chartFormat>
    <chartFormat chart="8" format="44">
      <pivotArea type="data" outline="0" fieldPosition="0">
        <references count="3">
          <reference field="4294967294" count="1" selected="0">
            <x v="0"/>
          </reference>
          <reference field="2" count="1" selected="0">
            <x v="0"/>
          </reference>
          <reference field="4" count="1" selected="0">
            <x v="1"/>
          </reference>
        </references>
      </pivotArea>
    </chartFormat>
    <chartFormat chart="8" format="45">
      <pivotArea type="data" outline="0" fieldPosition="0">
        <references count="3">
          <reference field="4294967294" count="1" selected="0">
            <x v="0"/>
          </reference>
          <reference field="2" count="1" selected="0">
            <x v="1"/>
          </reference>
          <reference field="4" count="1" selected="0">
            <x v="1"/>
          </reference>
        </references>
      </pivotArea>
    </chartFormat>
    <chartFormat chart="8" format="46">
      <pivotArea type="data" outline="0" fieldPosition="0">
        <references count="3">
          <reference field="4294967294" count="1" selected="0">
            <x v="0"/>
          </reference>
          <reference field="2" count="1" selected="0">
            <x v="4"/>
          </reference>
          <reference field="4" count="1" selected="0">
            <x v="1"/>
          </reference>
        </references>
      </pivotArea>
    </chartFormat>
    <chartFormat chart="8" format="47" series="1">
      <pivotArea type="data" outline="0" fieldPosition="0">
        <references count="2">
          <reference field="4294967294" count="1" selected="0">
            <x v="0"/>
          </reference>
          <reference field="4" count="1" selected="0">
            <x v="2"/>
          </reference>
        </references>
      </pivotArea>
    </chartFormat>
    <chartFormat chart="8" format="48">
      <pivotArea type="data" outline="0" fieldPosition="0">
        <references count="3">
          <reference field="4294967294" count="1" selected="0">
            <x v="0"/>
          </reference>
          <reference field="2" count="1" selected="0">
            <x v="2"/>
          </reference>
          <reference field="4" count="1" selected="0">
            <x v="2"/>
          </reference>
        </references>
      </pivotArea>
    </chartFormat>
    <chartFormat chart="8" format="49">
      <pivotArea type="data" outline="0" fieldPosition="0">
        <references count="3">
          <reference field="4294967294" count="1" selected="0">
            <x v="0"/>
          </reference>
          <reference field="2" count="1" selected="0">
            <x v="3"/>
          </reference>
          <reference field="4" count="1" selected="0">
            <x v="2"/>
          </reference>
        </references>
      </pivotArea>
    </chartFormat>
    <chartFormat chart="8" format="50">
      <pivotArea type="data" outline="0" fieldPosition="0">
        <references count="3">
          <reference field="4294967294" count="1" selected="0">
            <x v="0"/>
          </reference>
          <reference field="2" count="1" selected="0">
            <x v="0"/>
          </reference>
          <reference field="4" count="1" selected="0">
            <x v="2"/>
          </reference>
        </references>
      </pivotArea>
    </chartFormat>
    <chartFormat chart="8" format="51">
      <pivotArea type="data" outline="0" fieldPosition="0">
        <references count="3">
          <reference field="4294967294" count="1" selected="0">
            <x v="0"/>
          </reference>
          <reference field="2" count="1" selected="0">
            <x v="1"/>
          </reference>
          <reference field="4" count="1" selected="0">
            <x v="2"/>
          </reference>
        </references>
      </pivotArea>
    </chartFormat>
    <chartFormat chart="8" format="52">
      <pivotArea type="data" outline="0" fieldPosition="0">
        <references count="3">
          <reference field="4294967294" count="1" selected="0">
            <x v="0"/>
          </reference>
          <reference field="2" count="1" selected="0">
            <x v="4"/>
          </reference>
          <reference field="4" count="1" selected="0">
            <x v="2"/>
          </reference>
        </references>
      </pivotArea>
    </chartFormat>
    <chartFormat chart="8" format="53" series="1">
      <pivotArea type="data" outline="0" fieldPosition="0">
        <references count="2">
          <reference field="4294967294" count="1" selected="0">
            <x v="0"/>
          </reference>
          <reference field="4" count="1" selected="0">
            <x v="3"/>
          </reference>
        </references>
      </pivotArea>
    </chartFormat>
    <chartFormat chart="8" format="54">
      <pivotArea type="data" outline="0" fieldPosition="0">
        <references count="3">
          <reference field="4294967294" count="1" selected="0">
            <x v="0"/>
          </reference>
          <reference field="2" count="1" selected="0">
            <x v="2"/>
          </reference>
          <reference field="4" count="1" selected="0">
            <x v="3"/>
          </reference>
        </references>
      </pivotArea>
    </chartFormat>
    <chartFormat chart="8" format="55">
      <pivotArea type="data" outline="0" fieldPosition="0">
        <references count="3">
          <reference field="4294967294" count="1" selected="0">
            <x v="0"/>
          </reference>
          <reference field="2" count="1" selected="0">
            <x v="3"/>
          </reference>
          <reference field="4" count="1" selected="0">
            <x v="3"/>
          </reference>
        </references>
      </pivotArea>
    </chartFormat>
    <chartFormat chart="8" format="56">
      <pivotArea type="data" outline="0" fieldPosition="0">
        <references count="3">
          <reference field="4294967294" count="1" selected="0">
            <x v="0"/>
          </reference>
          <reference field="2" count="1" selected="0">
            <x v="0"/>
          </reference>
          <reference field="4" count="1" selected="0">
            <x v="3"/>
          </reference>
        </references>
      </pivotArea>
    </chartFormat>
    <chartFormat chart="8" format="57">
      <pivotArea type="data" outline="0" fieldPosition="0">
        <references count="3">
          <reference field="4294967294" count="1" selected="0">
            <x v="0"/>
          </reference>
          <reference field="2" count="1" selected="0">
            <x v="1"/>
          </reference>
          <reference field="4" count="1" selected="0">
            <x v="3"/>
          </reference>
        </references>
      </pivotArea>
    </chartFormat>
    <chartFormat chart="8" format="58">
      <pivotArea type="data" outline="0" fieldPosition="0">
        <references count="3">
          <reference field="4294967294" count="1" selected="0">
            <x v="0"/>
          </reference>
          <reference field="2" count="1" selected="0">
            <x v="4"/>
          </reference>
          <reference field="4" count="1" selected="0">
            <x v="3"/>
          </reference>
        </references>
      </pivotArea>
    </chartFormat>
    <chartFormat chart="8" format="59" series="1">
      <pivotArea type="data" outline="0" fieldPosition="0">
        <references count="2">
          <reference field="4294967294" count="1" selected="0">
            <x v="0"/>
          </reference>
          <reference field="4" count="1" selected="0">
            <x v="4"/>
          </reference>
        </references>
      </pivotArea>
    </chartFormat>
    <chartFormat chart="8" format="60">
      <pivotArea type="data" outline="0" fieldPosition="0">
        <references count="3">
          <reference field="4294967294" count="1" selected="0">
            <x v="0"/>
          </reference>
          <reference field="2" count="1" selected="0">
            <x v="2"/>
          </reference>
          <reference field="4" count="1" selected="0">
            <x v="4"/>
          </reference>
        </references>
      </pivotArea>
    </chartFormat>
    <chartFormat chart="8" format="61">
      <pivotArea type="data" outline="0" fieldPosition="0">
        <references count="3">
          <reference field="4294967294" count="1" selected="0">
            <x v="0"/>
          </reference>
          <reference field="2" count="1" selected="0">
            <x v="3"/>
          </reference>
          <reference field="4" count="1" selected="0">
            <x v="4"/>
          </reference>
        </references>
      </pivotArea>
    </chartFormat>
    <chartFormat chart="8" format="62">
      <pivotArea type="data" outline="0" fieldPosition="0">
        <references count="3">
          <reference field="4294967294" count="1" selected="0">
            <x v="0"/>
          </reference>
          <reference field="2" count="1" selected="0">
            <x v="0"/>
          </reference>
          <reference field="4" count="1" selected="0">
            <x v="4"/>
          </reference>
        </references>
      </pivotArea>
    </chartFormat>
    <chartFormat chart="8" format="63">
      <pivotArea type="data" outline="0" fieldPosition="0">
        <references count="3">
          <reference field="4294967294" count="1" selected="0">
            <x v="0"/>
          </reference>
          <reference field="2" count="1" selected="0">
            <x v="1"/>
          </reference>
          <reference field="4" count="1" selected="0">
            <x v="4"/>
          </reference>
        </references>
      </pivotArea>
    </chartFormat>
    <chartFormat chart="8" format="64">
      <pivotArea type="data" outline="0" fieldPosition="0">
        <references count="3">
          <reference field="4294967294" count="1" selected="0">
            <x v="0"/>
          </reference>
          <reference field="2" count="1" selected="0">
            <x v="4"/>
          </reference>
          <reference field="4" count="1" selected="0">
            <x v="4"/>
          </reference>
        </references>
      </pivotArea>
    </chartFormat>
    <chartFormat chart="2" format="5">
      <pivotArea type="data" outline="0" fieldPosition="0">
        <references count="3">
          <reference field="4294967294" count="1" selected="0">
            <x v="0"/>
          </reference>
          <reference field="2" count="1" selected="0">
            <x v="2"/>
          </reference>
          <reference field="4" count="1" selected="0">
            <x v="0"/>
          </reference>
        </references>
      </pivotArea>
    </chartFormat>
    <chartFormat chart="2" format="6">
      <pivotArea type="data" outline="0" fieldPosition="0">
        <references count="3">
          <reference field="4294967294" count="1" selected="0">
            <x v="0"/>
          </reference>
          <reference field="2" count="1" selected="0">
            <x v="3"/>
          </reference>
          <reference field="4" count="1" selected="0">
            <x v="0"/>
          </reference>
        </references>
      </pivotArea>
    </chartFormat>
    <chartFormat chart="2" format="7">
      <pivotArea type="data" outline="0" fieldPosition="0">
        <references count="3">
          <reference field="4294967294" count="1" selected="0">
            <x v="0"/>
          </reference>
          <reference field="2" count="1" selected="0">
            <x v="0"/>
          </reference>
          <reference field="4" count="1" selected="0">
            <x v="0"/>
          </reference>
        </references>
      </pivotArea>
    </chartFormat>
    <chartFormat chart="2" format="8">
      <pivotArea type="data" outline="0" fieldPosition="0">
        <references count="3">
          <reference field="4294967294" count="1" selected="0">
            <x v="0"/>
          </reference>
          <reference field="2" count="1" selected="0">
            <x v="1"/>
          </reference>
          <reference field="4" count="1" selected="0">
            <x v="0"/>
          </reference>
        </references>
      </pivotArea>
    </chartFormat>
    <chartFormat chart="2" format="9">
      <pivotArea type="data" outline="0" fieldPosition="0">
        <references count="3">
          <reference field="4294967294" count="1" selected="0">
            <x v="0"/>
          </reference>
          <reference field="2" count="1" selected="0">
            <x v="4"/>
          </reference>
          <reference field="4" count="1" selected="0">
            <x v="0"/>
          </reference>
        </references>
      </pivotArea>
    </chartFormat>
    <chartFormat chart="2" format="10">
      <pivotArea type="data" outline="0" fieldPosition="0">
        <references count="3">
          <reference field="4294967294" count="1" selected="0">
            <x v="0"/>
          </reference>
          <reference field="2" count="1" selected="0">
            <x v="2"/>
          </reference>
          <reference field="4" count="1" selected="0">
            <x v="1"/>
          </reference>
        </references>
      </pivotArea>
    </chartFormat>
    <chartFormat chart="2" format="11">
      <pivotArea type="data" outline="0" fieldPosition="0">
        <references count="3">
          <reference field="4294967294" count="1" selected="0">
            <x v="0"/>
          </reference>
          <reference field="2" count="1" selected="0">
            <x v="3"/>
          </reference>
          <reference field="4" count="1" selected="0">
            <x v="1"/>
          </reference>
        </references>
      </pivotArea>
    </chartFormat>
    <chartFormat chart="2" format="12">
      <pivotArea type="data" outline="0" fieldPosition="0">
        <references count="3">
          <reference field="4294967294" count="1" selected="0">
            <x v="0"/>
          </reference>
          <reference field="2" count="1" selected="0">
            <x v="0"/>
          </reference>
          <reference field="4" count="1" selected="0">
            <x v="1"/>
          </reference>
        </references>
      </pivotArea>
    </chartFormat>
    <chartFormat chart="2" format="13">
      <pivotArea type="data" outline="0" fieldPosition="0">
        <references count="3">
          <reference field="4294967294" count="1" selected="0">
            <x v="0"/>
          </reference>
          <reference field="2" count="1" selected="0">
            <x v="1"/>
          </reference>
          <reference field="4" count="1" selected="0">
            <x v="1"/>
          </reference>
        </references>
      </pivotArea>
    </chartFormat>
    <chartFormat chart="2" format="14">
      <pivotArea type="data" outline="0" fieldPosition="0">
        <references count="3">
          <reference field="4294967294" count="1" selected="0">
            <x v="0"/>
          </reference>
          <reference field="2" count="1" selected="0">
            <x v="4"/>
          </reference>
          <reference field="4" count="1" selected="0">
            <x v="1"/>
          </reference>
        </references>
      </pivotArea>
    </chartFormat>
    <chartFormat chart="2" format="15">
      <pivotArea type="data" outline="0" fieldPosition="0">
        <references count="3">
          <reference field="4294967294" count="1" selected="0">
            <x v="0"/>
          </reference>
          <reference field="2" count="1" selected="0">
            <x v="2"/>
          </reference>
          <reference field="4" count="1" selected="0">
            <x v="2"/>
          </reference>
        </references>
      </pivotArea>
    </chartFormat>
    <chartFormat chart="2" format="16">
      <pivotArea type="data" outline="0" fieldPosition="0">
        <references count="3">
          <reference field="4294967294" count="1" selected="0">
            <x v="0"/>
          </reference>
          <reference field="2" count="1" selected="0">
            <x v="3"/>
          </reference>
          <reference field="4" count="1" selected="0">
            <x v="2"/>
          </reference>
        </references>
      </pivotArea>
    </chartFormat>
    <chartFormat chart="2" format="17">
      <pivotArea type="data" outline="0" fieldPosition="0">
        <references count="3">
          <reference field="4294967294" count="1" selected="0">
            <x v="0"/>
          </reference>
          <reference field="2" count="1" selected="0">
            <x v="0"/>
          </reference>
          <reference field="4" count="1" selected="0">
            <x v="2"/>
          </reference>
        </references>
      </pivotArea>
    </chartFormat>
    <chartFormat chart="2" format="18">
      <pivotArea type="data" outline="0" fieldPosition="0">
        <references count="3">
          <reference field="4294967294" count="1" selected="0">
            <x v="0"/>
          </reference>
          <reference field="2" count="1" selected="0">
            <x v="1"/>
          </reference>
          <reference field="4" count="1" selected="0">
            <x v="2"/>
          </reference>
        </references>
      </pivotArea>
    </chartFormat>
    <chartFormat chart="2" format="19">
      <pivotArea type="data" outline="0" fieldPosition="0">
        <references count="3">
          <reference field="4294967294" count="1" selected="0">
            <x v="0"/>
          </reference>
          <reference field="2" count="1" selected="0">
            <x v="4"/>
          </reference>
          <reference field="4" count="1" selected="0">
            <x v="2"/>
          </reference>
        </references>
      </pivotArea>
    </chartFormat>
    <chartFormat chart="2" format="20">
      <pivotArea type="data" outline="0" fieldPosition="0">
        <references count="3">
          <reference field="4294967294" count="1" selected="0">
            <x v="0"/>
          </reference>
          <reference field="2" count="1" selected="0">
            <x v="2"/>
          </reference>
          <reference field="4" count="1" selected="0">
            <x v="3"/>
          </reference>
        </references>
      </pivotArea>
    </chartFormat>
    <chartFormat chart="2" format="21">
      <pivotArea type="data" outline="0" fieldPosition="0">
        <references count="3">
          <reference field="4294967294" count="1" selected="0">
            <x v="0"/>
          </reference>
          <reference field="2" count="1" selected="0">
            <x v="3"/>
          </reference>
          <reference field="4" count="1" selected="0">
            <x v="3"/>
          </reference>
        </references>
      </pivotArea>
    </chartFormat>
    <chartFormat chart="2" format="22">
      <pivotArea type="data" outline="0" fieldPosition="0">
        <references count="3">
          <reference field="4294967294" count="1" selected="0">
            <x v="0"/>
          </reference>
          <reference field="2" count="1" selected="0">
            <x v="0"/>
          </reference>
          <reference field="4" count="1" selected="0">
            <x v="3"/>
          </reference>
        </references>
      </pivotArea>
    </chartFormat>
    <chartFormat chart="2" format="23">
      <pivotArea type="data" outline="0" fieldPosition="0">
        <references count="3">
          <reference field="4294967294" count="1" selected="0">
            <x v="0"/>
          </reference>
          <reference field="2" count="1" selected="0">
            <x v="1"/>
          </reference>
          <reference field="4" count="1" selected="0">
            <x v="3"/>
          </reference>
        </references>
      </pivotArea>
    </chartFormat>
    <chartFormat chart="2" format="24">
      <pivotArea type="data" outline="0" fieldPosition="0">
        <references count="3">
          <reference field="4294967294" count="1" selected="0">
            <x v="0"/>
          </reference>
          <reference field="2" count="1" selected="0">
            <x v="4"/>
          </reference>
          <reference field="4" count="1" selected="0">
            <x v="3"/>
          </reference>
        </references>
      </pivotArea>
    </chartFormat>
    <chartFormat chart="2" format="25">
      <pivotArea type="data" outline="0" fieldPosition="0">
        <references count="3">
          <reference field="4294967294" count="1" selected="0">
            <x v="0"/>
          </reference>
          <reference field="2" count="1" selected="0">
            <x v="2"/>
          </reference>
          <reference field="4" count="1" selected="0">
            <x v="4"/>
          </reference>
        </references>
      </pivotArea>
    </chartFormat>
    <chartFormat chart="2" format="26">
      <pivotArea type="data" outline="0" fieldPosition="0">
        <references count="3">
          <reference field="4294967294" count="1" selected="0">
            <x v="0"/>
          </reference>
          <reference field="2" count="1" selected="0">
            <x v="3"/>
          </reference>
          <reference field="4" count="1" selected="0">
            <x v="4"/>
          </reference>
        </references>
      </pivotArea>
    </chartFormat>
    <chartFormat chart="2" format="27">
      <pivotArea type="data" outline="0" fieldPosition="0">
        <references count="3">
          <reference field="4294967294" count="1" selected="0">
            <x v="0"/>
          </reference>
          <reference field="2" count="1" selected="0">
            <x v="0"/>
          </reference>
          <reference field="4" count="1" selected="0">
            <x v="4"/>
          </reference>
        </references>
      </pivotArea>
    </chartFormat>
    <chartFormat chart="2" format="28">
      <pivotArea type="data" outline="0" fieldPosition="0">
        <references count="3">
          <reference field="4294967294" count="1" selected="0">
            <x v="0"/>
          </reference>
          <reference field="2" count="1" selected="0">
            <x v="1"/>
          </reference>
          <reference field="4" count="1" selected="0">
            <x v="4"/>
          </reference>
        </references>
      </pivotArea>
    </chartFormat>
    <chartFormat chart="2" format="29">
      <pivotArea type="data" outline="0" fieldPosition="0">
        <references count="3">
          <reference field="4294967294" count="1" selected="0">
            <x v="0"/>
          </reference>
          <reference field="2" count="1" selected="0">
            <x v="4"/>
          </reference>
          <reference field="4" count="1" selected="0">
            <x v="4"/>
          </reference>
        </references>
      </pivotArea>
    </chartFormat>
    <chartFormat chart="9" format="0" series="1">
      <pivotArea type="data" outline="0" fieldPosition="0">
        <references count="2">
          <reference field="4294967294" count="1" selected="0">
            <x v="0"/>
          </reference>
          <reference field="4" count="1" selected="0">
            <x v="0"/>
          </reference>
        </references>
      </pivotArea>
    </chartFormat>
    <chartFormat chart="9" format="1" series="1">
      <pivotArea type="data" outline="0" fieldPosition="0">
        <references count="2">
          <reference field="4294967294" count="1" selected="0">
            <x v="0"/>
          </reference>
          <reference field="4" count="1" selected="0">
            <x v="1"/>
          </reference>
        </references>
      </pivotArea>
    </chartFormat>
    <chartFormat chart="9" format="2" series="1">
      <pivotArea type="data" outline="0" fieldPosition="0">
        <references count="2">
          <reference field="4294967294" count="1" selected="0">
            <x v="0"/>
          </reference>
          <reference field="4" count="1" selected="0">
            <x v="2"/>
          </reference>
        </references>
      </pivotArea>
    </chartFormat>
    <chartFormat chart="9" format="3" series="1">
      <pivotArea type="data" outline="0" fieldPosition="0">
        <references count="2">
          <reference field="4294967294" count="1" selected="0">
            <x v="0"/>
          </reference>
          <reference field="4" count="1" selected="0">
            <x v="3"/>
          </reference>
        </references>
      </pivotArea>
    </chartFormat>
    <chartFormat chart="9" format="4"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2DC1EB-ED60-46CE-B274-858FC9AAE3D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9" firstHeaderRow="0" firstDataRow="1" firstDataCol="1"/>
  <pivotFields count="12">
    <pivotField showAll="0"/>
    <pivotField numFmtId="164" showAll="0"/>
    <pivotField showAll="0"/>
    <pivotField showAll="0">
      <items count="6">
        <item x="3"/>
        <item x="2"/>
        <item x="0"/>
        <item x="1"/>
        <item x="4"/>
        <item t="default"/>
      </items>
    </pivotField>
    <pivotField axis="axisRow" showAll="0" sortType="descending">
      <items count="6">
        <item x="3"/>
        <item x="2"/>
        <item x="1"/>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dataField="1" showAll="0"/>
    <pivotField showAll="0"/>
  </pivotFields>
  <rowFields count="1">
    <field x="4"/>
  </rowFields>
  <rowItems count="6">
    <i>
      <x v="1"/>
    </i>
    <i>
      <x v="4"/>
    </i>
    <i>
      <x v="3"/>
    </i>
    <i>
      <x/>
    </i>
    <i>
      <x v="2"/>
    </i>
    <i t="grand">
      <x/>
    </i>
  </rowItems>
  <colFields count="1">
    <field x="-2"/>
  </colFields>
  <colItems count="2">
    <i>
      <x/>
    </i>
    <i i="1">
      <x v="1"/>
    </i>
  </colItems>
  <dataFields count="2">
    <dataField name="Sum of Treatment Cost (CNY)" fld="10" baseField="0" baseItem="0"/>
    <dataField name="Average of Length of Stay (Days)" fld="8" subtotal="average" baseField="4" baseItem="4"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06FC24-C15B-4255-AB01-39008676F22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0" firstHeaderRow="1" firstDataRow="2" firstDataCol="1"/>
  <pivotFields count="12">
    <pivotField dataField="1" showAll="0"/>
    <pivotField numFmtId="164" showAll="0"/>
    <pivotField showAll="0"/>
    <pivotField showAll="0">
      <items count="6">
        <item x="3"/>
        <item x="2"/>
        <item x="0"/>
        <item x="1"/>
        <item x="4"/>
        <item t="default"/>
      </items>
    </pivotField>
    <pivotField axis="axisRow" showAll="0" sortType="descending">
      <items count="6">
        <item x="3"/>
        <item x="2"/>
        <item x="1"/>
        <item x="0"/>
        <item x="4"/>
        <item t="default"/>
      </items>
      <autoSortScope>
        <pivotArea dataOnly="0" outline="0" fieldPosition="0">
          <references count="2">
            <reference field="4294967294" count="1" selected="0">
              <x v="0"/>
            </reference>
            <reference field="11" count="1" selected="0">
              <x v="1"/>
            </reference>
          </references>
        </pivotArea>
      </autoSortScope>
    </pivotField>
    <pivotField showAll="0"/>
    <pivotField showAll="0"/>
    <pivotField showAll="0"/>
    <pivotField showAll="0"/>
    <pivotField showAll="0"/>
    <pivotField showAll="0"/>
    <pivotField axis="axisCol" showAll="0">
      <items count="3">
        <item h="1" x="1"/>
        <item x="0"/>
        <item t="default"/>
      </items>
    </pivotField>
  </pivotFields>
  <rowFields count="1">
    <field x="4"/>
  </rowFields>
  <rowItems count="6">
    <i>
      <x/>
    </i>
    <i>
      <x v="4"/>
    </i>
    <i>
      <x v="3"/>
    </i>
    <i>
      <x v="1"/>
    </i>
    <i>
      <x v="2"/>
    </i>
    <i t="grand">
      <x/>
    </i>
  </rowItems>
  <colFields count="1">
    <field x="11"/>
  </colFields>
  <colItems count="2">
    <i>
      <x v="1"/>
    </i>
    <i t="grand">
      <x/>
    </i>
  </colItems>
  <dataFields count="1">
    <dataField name="Count of Visit ID" fld="0" subtotal="count" baseField="4" baseItem="0"/>
  </dataFields>
  <chartFormats count="3">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2" format="3"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 xr10:uid="{8684609E-73F4-4F39-B518-FD16656E8B10}" sourceName="Hospital">
  <pivotTables>
    <pivotTable tabId="4" name="PivotTable1"/>
    <pivotTable tabId="5" name="PivotTable2"/>
    <pivotTable tabId="6" name="PivotTable3"/>
    <pivotTable tabId="7" name="PivotTable4"/>
    <pivotTable tabId="8" name="PivotTable5"/>
  </pivotTables>
  <data>
    <tabular pivotCacheId="1407611981">
      <items count="5">
        <i x="3" s="1"/>
        <i x="2"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A251AC0-86DD-4672-A1E6-DFDC4D54ABBE}" sourceName="Department">
  <pivotTables>
    <pivotTable tabId="4" name="PivotTable1"/>
    <pivotTable tabId="5" name="PivotTable2"/>
    <pivotTable tabId="6" name="PivotTable3"/>
    <pivotTable tabId="7" name="PivotTable4"/>
    <pivotTable tabId="8" name="PivotTable5"/>
  </pivotTables>
  <data>
    <tabular pivotCacheId="1407611981">
      <items count="5">
        <i x="3" s="1"/>
        <i x="2" s="1"/>
        <i x="1"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spital" xr10:uid="{2ECDC5DE-C539-4097-A6EB-4883198EF4CC}" cache="Slicer_Hospital" caption="Hospital" rowHeight="241300"/>
  <slicer name="Department" xr10:uid="{A2B6F1B8-18B2-4994-B221-87181AC7A26D}" cache="Slicer_Department" caption="Depart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acticeData" displayName="PracticeData" ref="A1:L501" totalsRowShown="0">
  <tableColumns count="12">
    <tableColumn id="1" xr3:uid="{00000000-0010-0000-0000-000001000000}" name="Visit ID"/>
    <tableColumn id="2" xr3:uid="{00000000-0010-0000-0000-000002000000}" name="Visit Date"/>
    <tableColumn id="3" xr3:uid="{00000000-0010-0000-0000-000003000000}" name="Province"/>
    <tableColumn id="4" xr3:uid="{00000000-0010-0000-0000-000004000000}" name="Hospital"/>
    <tableColumn id="5" xr3:uid="{00000000-0010-0000-0000-000005000000}" name="Department"/>
    <tableColumn id="6" xr3:uid="{00000000-0010-0000-0000-000006000000}" name="Visit Type"/>
    <tableColumn id="7" xr3:uid="{00000000-0010-0000-0000-000007000000}" name="Age Group"/>
    <tableColumn id="8" xr3:uid="{00000000-0010-0000-0000-000008000000}" name="Wait Minutes"/>
    <tableColumn id="9" xr3:uid="{00000000-0010-0000-0000-000009000000}" name="Length of Stay (Days)"/>
    <tableColumn id="10" xr3:uid="{00000000-0010-0000-0000-00000A000000}" name="Patient Satisfaction (1-5)"/>
    <tableColumn id="11" xr3:uid="{00000000-0010-0000-0000-00000B000000}" name="Treatment Cost (CNY)"/>
    <tableColumn id="12" xr3:uid="{00000000-0010-0000-0000-00000C000000}" name="Readmitted Within 30 Day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ECC75-FADC-4276-9EE8-32EA15A67405}">
  <dimension ref="A2:D9"/>
  <sheetViews>
    <sheetView workbookViewId="0">
      <selection activeCell="AI32" sqref="AI32"/>
    </sheetView>
  </sheetViews>
  <sheetFormatPr defaultRowHeight="14.25" x14ac:dyDescent="0.2"/>
  <cols>
    <col min="1" max="1" width="13.125" bestFit="1" customWidth="1"/>
    <col min="2" max="2" width="15.25" bestFit="1" customWidth="1"/>
    <col min="3" max="3" width="10.75" bestFit="1" customWidth="1"/>
    <col min="4" max="4" width="26.125" customWidth="1"/>
    <col min="5" max="5" width="11.875" bestFit="1" customWidth="1"/>
    <col min="6" max="6" width="9.75" bestFit="1" customWidth="1"/>
    <col min="7" max="7" width="11.375" bestFit="1" customWidth="1"/>
  </cols>
  <sheetData>
    <row r="2" spans="1:4" x14ac:dyDescent="0.2">
      <c r="D2" t="str">
        <f>"TOTAL PATIENT VISITS"&amp;CHAR(10)&amp;GETPIVOTDATA("Count of Visit ID",$A$3)</f>
        <v>TOTAL PATIENT VISITS
500</v>
      </c>
    </row>
    <row r="3" spans="1:4" x14ac:dyDescent="0.2">
      <c r="A3" s="4" t="s">
        <v>541</v>
      </c>
      <c r="B3" t="s">
        <v>544</v>
      </c>
    </row>
    <row r="4" spans="1:4" x14ac:dyDescent="0.2">
      <c r="A4" s="5" t="s">
        <v>26</v>
      </c>
      <c r="B4" s="8">
        <v>110</v>
      </c>
    </row>
    <row r="5" spans="1:4" x14ac:dyDescent="0.2">
      <c r="A5" s="5" t="s">
        <v>20</v>
      </c>
      <c r="B5" s="8">
        <v>107</v>
      </c>
    </row>
    <row r="6" spans="1:4" x14ac:dyDescent="0.2">
      <c r="A6" s="5" t="s">
        <v>44</v>
      </c>
      <c r="B6" s="8">
        <v>100</v>
      </c>
    </row>
    <row r="7" spans="1:4" x14ac:dyDescent="0.2">
      <c r="A7" s="5" t="s">
        <v>32</v>
      </c>
      <c r="B7" s="8">
        <v>96</v>
      </c>
    </row>
    <row r="8" spans="1:4" x14ac:dyDescent="0.2">
      <c r="A8" s="5" t="s">
        <v>13</v>
      </c>
      <c r="B8" s="8">
        <v>87</v>
      </c>
    </row>
    <row r="9" spans="1:4" x14ac:dyDescent="0.2">
      <c r="A9" s="5" t="s">
        <v>542</v>
      </c>
      <c r="B9" s="9">
        <v>500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F3D3A-5D1F-461D-848F-2FDA3E64E15E}">
  <dimension ref="A3:E10"/>
  <sheetViews>
    <sheetView workbookViewId="0">
      <selection activeCell="AI32" sqref="AI32"/>
    </sheetView>
  </sheetViews>
  <sheetFormatPr defaultRowHeight="14.25" x14ac:dyDescent="0.2"/>
  <cols>
    <col min="1" max="1" width="22.75" bestFit="1" customWidth="1"/>
    <col min="2" max="2" width="16.125" bestFit="1" customWidth="1"/>
    <col min="3" max="3" width="8.625" bestFit="1" customWidth="1"/>
    <col min="4" max="4" width="10.25" bestFit="1" customWidth="1"/>
    <col min="5" max="5" width="11.375" bestFit="1" customWidth="1"/>
  </cols>
  <sheetData>
    <row r="3" spans="1:5" x14ac:dyDescent="0.2">
      <c r="A3" s="4" t="s">
        <v>545</v>
      </c>
      <c r="B3" s="4" t="s">
        <v>543</v>
      </c>
    </row>
    <row r="4" spans="1:5" x14ac:dyDescent="0.2">
      <c r="A4" s="4" t="s">
        <v>541</v>
      </c>
      <c r="B4" t="s">
        <v>23</v>
      </c>
      <c r="C4" t="s">
        <v>35</v>
      </c>
      <c r="D4" t="s">
        <v>16</v>
      </c>
      <c r="E4" t="s">
        <v>542</v>
      </c>
    </row>
    <row r="5" spans="1:5" x14ac:dyDescent="0.2">
      <c r="A5" s="5" t="s">
        <v>33</v>
      </c>
      <c r="B5" s="6">
        <v>89.677419354838705</v>
      </c>
      <c r="C5" s="6">
        <v>90.028571428571425</v>
      </c>
      <c r="D5" s="6">
        <v>97.733333333333334</v>
      </c>
      <c r="E5" s="6">
        <v>92.322916666666671</v>
      </c>
    </row>
    <row r="6" spans="1:5" x14ac:dyDescent="0.2">
      <c r="A6" s="5" t="s">
        <v>27</v>
      </c>
      <c r="B6" s="6">
        <v>86</v>
      </c>
      <c r="C6" s="6">
        <v>98.8125</v>
      </c>
      <c r="D6" s="6">
        <v>91.222222222222229</v>
      </c>
      <c r="E6" s="6">
        <v>91.009090909090915</v>
      </c>
    </row>
    <row r="7" spans="1:5" x14ac:dyDescent="0.2">
      <c r="A7" s="5" t="s">
        <v>14</v>
      </c>
      <c r="B7" s="6">
        <v>85.36363636363636</v>
      </c>
      <c r="C7" s="6">
        <v>92.2</v>
      </c>
      <c r="D7" s="6">
        <v>93</v>
      </c>
      <c r="E7" s="6">
        <v>90.793103448275858</v>
      </c>
    </row>
    <row r="8" spans="1:5" x14ac:dyDescent="0.2">
      <c r="A8" s="5" t="s">
        <v>21</v>
      </c>
      <c r="B8" s="6">
        <v>89.6</v>
      </c>
      <c r="C8" s="6">
        <v>80.261904761904759</v>
      </c>
      <c r="D8" s="6">
        <v>91.8</v>
      </c>
      <c r="E8" s="6">
        <v>86.55140186915888</v>
      </c>
    </row>
    <row r="9" spans="1:5" x14ac:dyDescent="0.2">
      <c r="A9" s="5" t="s">
        <v>45</v>
      </c>
      <c r="B9" s="6">
        <v>89.606060606060609</v>
      </c>
      <c r="C9" s="6">
        <v>75.606060606060609</v>
      </c>
      <c r="D9" s="6">
        <v>87.294117647058826</v>
      </c>
      <c r="E9" s="6">
        <v>84.2</v>
      </c>
    </row>
    <row r="10" spans="1:5" x14ac:dyDescent="0.2">
      <c r="A10" s="5" t="s">
        <v>542</v>
      </c>
      <c r="B10" s="6">
        <v>88.005813953488371</v>
      </c>
      <c r="C10" s="6">
        <v>86.889534883720927</v>
      </c>
      <c r="D10" s="6">
        <v>92.128205128205124</v>
      </c>
      <c r="E10" s="6">
        <v>88.908000000000001</v>
      </c>
    </row>
  </sheetData>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57301-ACB4-4A1E-85BA-AC0B19BC037A}">
  <dimension ref="A3:G36"/>
  <sheetViews>
    <sheetView zoomScale="78" zoomScaleNormal="78" workbookViewId="0">
      <selection activeCell="H4" sqref="H4:R29"/>
    </sheetView>
  </sheetViews>
  <sheetFormatPr defaultRowHeight="14.25" x14ac:dyDescent="0.2"/>
  <cols>
    <col min="1" max="1" width="33.25" bestFit="1" customWidth="1"/>
    <col min="2" max="2" width="17.125" bestFit="1" customWidth="1"/>
    <col min="3" max="3" width="11" bestFit="1" customWidth="1"/>
    <col min="4" max="4" width="16.75" bestFit="1" customWidth="1"/>
    <col min="5" max="5" width="12" bestFit="1" customWidth="1"/>
    <col min="6" max="6" width="9.875" bestFit="1" customWidth="1"/>
    <col min="7" max="7" width="11.375" bestFit="1" customWidth="1"/>
  </cols>
  <sheetData>
    <row r="3" spans="1:7" x14ac:dyDescent="0.2">
      <c r="A3" s="4" t="s">
        <v>546</v>
      </c>
      <c r="B3" s="4" t="s">
        <v>543</v>
      </c>
    </row>
    <row r="4" spans="1:7" x14ac:dyDescent="0.2">
      <c r="A4" s="4" t="s">
        <v>541</v>
      </c>
      <c r="B4" t="s">
        <v>34</v>
      </c>
      <c r="C4" t="s">
        <v>23</v>
      </c>
      <c r="D4" t="s">
        <v>22</v>
      </c>
      <c r="E4" t="s">
        <v>15</v>
      </c>
      <c r="F4" t="s">
        <v>51</v>
      </c>
      <c r="G4" t="s">
        <v>542</v>
      </c>
    </row>
    <row r="5" spans="1:7" x14ac:dyDescent="0.2">
      <c r="A5" s="5" t="s">
        <v>44</v>
      </c>
      <c r="B5" s="6">
        <v>3.4545454545454546</v>
      </c>
      <c r="C5" s="6">
        <v>2.3913043478260869</v>
      </c>
      <c r="D5" s="6">
        <v>3.8666666666666667</v>
      </c>
      <c r="E5" s="6">
        <v>2.8</v>
      </c>
      <c r="F5" s="6">
        <v>3.35</v>
      </c>
      <c r="G5" s="6">
        <v>3.12</v>
      </c>
    </row>
    <row r="6" spans="1:7" x14ac:dyDescent="0.2">
      <c r="A6" s="5" t="s">
        <v>26</v>
      </c>
      <c r="B6" s="6">
        <v>2.5499999999999998</v>
      </c>
      <c r="C6" s="6">
        <v>3.347826086956522</v>
      </c>
      <c r="D6" s="6">
        <v>2.8571428571428572</v>
      </c>
      <c r="E6" s="6">
        <v>3.3809523809523809</v>
      </c>
      <c r="F6" s="6">
        <v>2.8</v>
      </c>
      <c r="G6" s="6">
        <v>2.9909090909090907</v>
      </c>
    </row>
    <row r="7" spans="1:7" x14ac:dyDescent="0.2">
      <c r="A7" s="5" t="s">
        <v>32</v>
      </c>
      <c r="B7" s="6">
        <v>3.1111111111111112</v>
      </c>
      <c r="C7" s="6">
        <v>2.7619047619047619</v>
      </c>
      <c r="D7" s="6">
        <v>2.4705882352941178</v>
      </c>
      <c r="E7" s="6">
        <v>3.6956521739130435</v>
      </c>
      <c r="F7" s="6">
        <v>2.4117647058823528</v>
      </c>
      <c r="G7" s="6">
        <v>2.9375</v>
      </c>
    </row>
    <row r="8" spans="1:7" x14ac:dyDescent="0.2">
      <c r="A8" s="5" t="s">
        <v>13</v>
      </c>
      <c r="B8" s="6">
        <v>2.6842105263157894</v>
      </c>
      <c r="C8" s="6">
        <v>2.8095238095238093</v>
      </c>
      <c r="D8" s="6">
        <v>2.9285714285714284</v>
      </c>
      <c r="E8" s="6">
        <v>3</v>
      </c>
      <c r="F8" s="6">
        <v>3.3076923076923075</v>
      </c>
      <c r="G8" s="6">
        <v>2.9195402298850577</v>
      </c>
    </row>
    <row r="9" spans="1:7" x14ac:dyDescent="0.2">
      <c r="A9" s="5" t="s">
        <v>20</v>
      </c>
      <c r="B9" s="6">
        <v>2.5</v>
      </c>
      <c r="C9" s="6">
        <v>2.3888888888888888</v>
      </c>
      <c r="D9" s="6">
        <v>3.1923076923076925</v>
      </c>
      <c r="E9" s="6">
        <v>2.6666666666666665</v>
      </c>
      <c r="F9" s="6">
        <v>3.44</v>
      </c>
      <c r="G9" s="6">
        <v>2.9065420560747666</v>
      </c>
    </row>
    <row r="10" spans="1:7" x14ac:dyDescent="0.2">
      <c r="A10" s="5" t="s">
        <v>542</v>
      </c>
      <c r="B10" s="6">
        <v>2.89247311827957</v>
      </c>
      <c r="C10" s="6">
        <v>2.7547169811320753</v>
      </c>
      <c r="D10" s="6">
        <v>3.053763440860215</v>
      </c>
      <c r="E10" s="6">
        <v>3.1111111111111112</v>
      </c>
      <c r="F10" s="6">
        <v>3.07</v>
      </c>
      <c r="G10" s="6">
        <v>2.976</v>
      </c>
    </row>
    <row r="36" spans="1:1" x14ac:dyDescent="0.2">
      <c r="A36" t="str">
        <f>"PATIENT SATISFACTION"&amp;CHAR(10)&amp;TEXT(GETPIVOTDATA("Average of Patient Satisfaction (1-5)",$A$3),"0.00")&amp;" / 5"</f>
        <v>PATIENT SATISFACTION
2.98 / 5</v>
      </c>
    </row>
  </sheetData>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AC6E7-1D40-44AB-A045-52BA09B70812}">
  <dimension ref="A2:E35"/>
  <sheetViews>
    <sheetView workbookViewId="0">
      <selection activeCell="AI32" sqref="AI32"/>
    </sheetView>
  </sheetViews>
  <sheetFormatPr defaultRowHeight="14.25" x14ac:dyDescent="0.2"/>
  <cols>
    <col min="1" max="1" width="15" bestFit="1" customWidth="1"/>
    <col min="2" max="2" width="27.5" bestFit="1" customWidth="1"/>
    <col min="3" max="3" width="30.375" bestFit="1" customWidth="1"/>
  </cols>
  <sheetData>
    <row r="2" spans="1:5" x14ac:dyDescent="0.2">
      <c r="E2" t="str">
        <f>"TOTAL TREATMENT COST (CNY)"&amp;CHAR(10)&amp;TEXT(GETPIVOTDATA("Sum of Treatment Cost (CNY)",$A$3),"#,##0")</f>
        <v>TOTAL TREATMENT COST (CNY)
4,461,080</v>
      </c>
    </row>
    <row r="3" spans="1:5" x14ac:dyDescent="0.2">
      <c r="A3" s="4" t="s">
        <v>541</v>
      </c>
      <c r="B3" t="s">
        <v>547</v>
      </c>
      <c r="C3" t="s">
        <v>548</v>
      </c>
    </row>
    <row r="4" spans="1:5" x14ac:dyDescent="0.2">
      <c r="A4" s="5" t="s">
        <v>23</v>
      </c>
      <c r="B4" s="9">
        <v>986243</v>
      </c>
      <c r="C4" s="7">
        <v>6.4150943396226419</v>
      </c>
    </row>
    <row r="5" spans="1:5" x14ac:dyDescent="0.2">
      <c r="A5" s="5" t="s">
        <v>51</v>
      </c>
      <c r="B5" s="9">
        <v>912381</v>
      </c>
      <c r="C5" s="7">
        <v>6.77</v>
      </c>
    </row>
    <row r="6" spans="1:5" x14ac:dyDescent="0.2">
      <c r="A6" s="5" t="s">
        <v>15</v>
      </c>
      <c r="B6" s="9">
        <v>880597</v>
      </c>
      <c r="C6" s="7">
        <v>6.7222222222222223</v>
      </c>
    </row>
    <row r="7" spans="1:5" x14ac:dyDescent="0.2">
      <c r="A7" s="5" t="s">
        <v>34</v>
      </c>
      <c r="B7" s="9">
        <v>854686</v>
      </c>
      <c r="C7" s="7">
        <v>6.387096774193548</v>
      </c>
    </row>
    <row r="8" spans="1:5" x14ac:dyDescent="0.2">
      <c r="A8" s="5" t="s">
        <v>22</v>
      </c>
      <c r="B8" s="9">
        <v>827173</v>
      </c>
      <c r="C8" s="7">
        <v>6.376344086021505</v>
      </c>
    </row>
    <row r="9" spans="1:5" x14ac:dyDescent="0.2">
      <c r="A9" s="5" t="s">
        <v>542</v>
      </c>
      <c r="B9" s="9">
        <v>4461080</v>
      </c>
      <c r="C9" s="7">
        <v>6.54</v>
      </c>
    </row>
    <row r="35" spans="1:1" x14ac:dyDescent="0.2">
      <c r="A35" t="str">
        <f>"AVERAGE LENGTH OF STAY"&amp;CHAR(10)&amp;TEXT(GETPIVOTDATA("Average of Length of Stay (Days)",$A$3),"0.0")&amp;" days"</f>
        <v>AVERAGE LENGTH OF STAY
6.5 days</v>
      </c>
    </row>
  </sheetData>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4ECE8-C967-4CD5-8264-349A09946AC0}">
  <dimension ref="A1"/>
  <sheetViews>
    <sheetView showGridLines="0" tabSelected="1" zoomScale="59" zoomScaleNormal="59" workbookViewId="0">
      <selection activeCell="O76" sqref="O76"/>
    </sheetView>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B5A0E-3CEE-4298-91FF-A13910F3A60E}">
  <dimension ref="D2:J13"/>
  <sheetViews>
    <sheetView workbookViewId="0">
      <selection activeCell="AI32" sqref="AI32"/>
    </sheetView>
  </sheetViews>
  <sheetFormatPr defaultRowHeight="14.25" x14ac:dyDescent="0.2"/>
  <sheetData>
    <row r="2" spans="4:10" x14ac:dyDescent="0.2">
      <c r="D2" t="str">
        <f>"TOTAL PATIENT VISITS"&amp;CHAR(10)&amp;GETPIVOTDATA("Count of Visit ID",'Patient Visit by Province'!$A$3)</f>
        <v>TOTAL PATIENT VISITS
500</v>
      </c>
    </row>
    <row r="3" spans="4:10" x14ac:dyDescent="0.2">
      <c r="D3">
        <f>GETPIVOTDATA("Sum of Treatment Cost (CNY)",'Treatment Cost &amp; Lenght of stay'!$A$3)</f>
        <v>4461080</v>
      </c>
      <c r="E3" t="str">
        <f>"TOTAL TREATMENT COST"&amp;CHAR(10)&amp;"CNY "&amp;TEXT(D3,"#,##0")</f>
        <v>TOTAL TREATMENT COST
CNY 4,461,080</v>
      </c>
    </row>
    <row r="4" spans="4:10" x14ac:dyDescent="0.2">
      <c r="D4">
        <f>GETPIVOTDATA("Average of Length of Stay (Days)",'Treatment Cost &amp; Lenght of stay'!$A$3)</f>
        <v>6.54</v>
      </c>
      <c r="E4" t="str">
        <f>"AVERAGE LENGTH OF STAY"&amp;CHAR(10)&amp;TEXT(D4,"0.0")&amp;" days"</f>
        <v>AVERAGE LENGTH OF STAY
6.5 days</v>
      </c>
    </row>
    <row r="5" spans="4:10" x14ac:dyDescent="0.2">
      <c r="D5">
        <f>GETPIVOTDATA("Patient Satisfaction (1-5)",'Patient Satisfaction'!$A$3)</f>
        <v>2.976</v>
      </c>
      <c r="E5" t="str">
        <f>"PATIENT SATISFACTION"&amp;CHAR(10)&amp;TEXT(D5,"0.00")&amp;" / 5"</f>
        <v>PATIENT SATISFACTION
2.98 / 5</v>
      </c>
    </row>
    <row r="8" spans="4:10" x14ac:dyDescent="0.2">
      <c r="I8" s="5"/>
      <c r="J8" s="8"/>
    </row>
    <row r="9" spans="4:10" x14ac:dyDescent="0.2">
      <c r="I9" s="5"/>
      <c r="J9" s="8"/>
    </row>
    <row r="10" spans="4:10" x14ac:dyDescent="0.2">
      <c r="I10" s="5"/>
      <c r="J10" s="8"/>
    </row>
    <row r="11" spans="4:10" x14ac:dyDescent="0.2">
      <c r="I11" s="5"/>
      <c r="J11" s="8"/>
    </row>
    <row r="12" spans="4:10" x14ac:dyDescent="0.2">
      <c r="I12" s="5"/>
      <c r="J12" s="8"/>
    </row>
    <row r="13" spans="4:10" x14ac:dyDescent="0.2">
      <c r="I13"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DEA1D-FFFB-41F5-A0D6-7E26AC12B58C}">
  <dimension ref="A3:C10"/>
  <sheetViews>
    <sheetView workbookViewId="0">
      <selection activeCell="AI32" sqref="AI32"/>
    </sheetView>
  </sheetViews>
  <sheetFormatPr defaultRowHeight="14.25" x14ac:dyDescent="0.2"/>
  <cols>
    <col min="1" max="1" width="15.25" bestFit="1" customWidth="1"/>
    <col min="2" max="2" width="16.125" bestFit="1" customWidth="1"/>
    <col min="3" max="4" width="11.375" bestFit="1" customWidth="1"/>
  </cols>
  <sheetData>
    <row r="3" spans="1:3" x14ac:dyDescent="0.2">
      <c r="A3" s="4" t="s">
        <v>544</v>
      </c>
      <c r="B3" s="4" t="s">
        <v>543</v>
      </c>
    </row>
    <row r="4" spans="1:3" x14ac:dyDescent="0.2">
      <c r="A4" s="4" t="s">
        <v>541</v>
      </c>
      <c r="B4" t="s">
        <v>18</v>
      </c>
      <c r="C4" t="s">
        <v>542</v>
      </c>
    </row>
    <row r="5" spans="1:3" x14ac:dyDescent="0.2">
      <c r="A5" s="5" t="s">
        <v>34</v>
      </c>
      <c r="B5" s="9">
        <v>26</v>
      </c>
      <c r="C5" s="9">
        <v>26</v>
      </c>
    </row>
    <row r="6" spans="1:3" x14ac:dyDescent="0.2">
      <c r="A6" s="5" t="s">
        <v>51</v>
      </c>
      <c r="B6" s="9">
        <v>24</v>
      </c>
      <c r="C6" s="9">
        <v>24</v>
      </c>
    </row>
    <row r="7" spans="1:3" x14ac:dyDescent="0.2">
      <c r="A7" s="5" t="s">
        <v>15</v>
      </c>
      <c r="B7" s="9">
        <v>22</v>
      </c>
      <c r="C7" s="9">
        <v>22</v>
      </c>
    </row>
    <row r="8" spans="1:3" x14ac:dyDescent="0.2">
      <c r="A8" s="5" t="s">
        <v>23</v>
      </c>
      <c r="B8" s="9">
        <v>20</v>
      </c>
      <c r="C8" s="9">
        <v>20</v>
      </c>
    </row>
    <row r="9" spans="1:3" x14ac:dyDescent="0.2">
      <c r="A9" s="5" t="s">
        <v>22</v>
      </c>
      <c r="B9" s="9">
        <v>20</v>
      </c>
      <c r="C9" s="9">
        <v>20</v>
      </c>
    </row>
    <row r="10" spans="1:3" x14ac:dyDescent="0.2">
      <c r="A10" s="5" t="s">
        <v>542</v>
      </c>
      <c r="B10" s="9">
        <v>112</v>
      </c>
      <c r="C10" s="9">
        <v>112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workbookViewId="0">
      <pane ySplit="1" topLeftCell="A2" activePane="bottomLeft" state="frozen"/>
      <selection activeCell="AI32" sqref="AI32"/>
      <selection pane="bottomLeft" activeCell="AI32" sqref="AI32"/>
    </sheetView>
  </sheetViews>
  <sheetFormatPr defaultRowHeight="14.25" x14ac:dyDescent="0.2"/>
  <cols>
    <col min="1" max="12" width="20" customWidth="1"/>
  </cols>
  <sheetData>
    <row r="1" spans="1:12" ht="35.1" customHeight="1" x14ac:dyDescent="0.25">
      <c r="A1" s="1" t="s">
        <v>0</v>
      </c>
      <c r="B1" s="1" t="s">
        <v>1</v>
      </c>
      <c r="C1" s="1" t="s">
        <v>2</v>
      </c>
      <c r="D1" s="1" t="s">
        <v>3</v>
      </c>
      <c r="E1" s="1" t="s">
        <v>4</v>
      </c>
      <c r="F1" s="1" t="s">
        <v>5</v>
      </c>
      <c r="G1" s="1" t="s">
        <v>6</v>
      </c>
      <c r="H1" s="1" t="s">
        <v>7</v>
      </c>
      <c r="I1" s="1" t="s">
        <v>8</v>
      </c>
      <c r="J1" s="1" t="s">
        <v>9</v>
      </c>
      <c r="K1" s="1" t="s">
        <v>10</v>
      </c>
      <c r="L1" s="1" t="s">
        <v>11</v>
      </c>
    </row>
    <row r="2" spans="1:12" x14ac:dyDescent="0.2">
      <c r="A2" t="s">
        <v>12</v>
      </c>
      <c r="B2" s="2">
        <v>45782</v>
      </c>
      <c r="C2" t="s">
        <v>13</v>
      </c>
      <c r="D2" t="s">
        <v>14</v>
      </c>
      <c r="E2" t="s">
        <v>15</v>
      </c>
      <c r="F2" t="s">
        <v>16</v>
      </c>
      <c r="G2" t="s">
        <v>17</v>
      </c>
      <c r="H2">
        <v>135</v>
      </c>
      <c r="I2">
        <v>3</v>
      </c>
      <c r="J2">
        <v>5</v>
      </c>
      <c r="K2">
        <v>12041</v>
      </c>
      <c r="L2" t="s">
        <v>18</v>
      </c>
    </row>
    <row r="3" spans="1:12" x14ac:dyDescent="0.2">
      <c r="A3" t="s">
        <v>19</v>
      </c>
      <c r="B3" s="2">
        <v>45893</v>
      </c>
      <c r="C3" t="s">
        <v>20</v>
      </c>
      <c r="D3" t="s">
        <v>21</v>
      </c>
      <c r="E3" t="s">
        <v>22</v>
      </c>
      <c r="F3" t="s">
        <v>23</v>
      </c>
      <c r="G3" t="s">
        <v>24</v>
      </c>
      <c r="H3">
        <v>74</v>
      </c>
      <c r="I3">
        <v>2</v>
      </c>
      <c r="J3">
        <v>1</v>
      </c>
      <c r="K3">
        <v>9918</v>
      </c>
      <c r="L3" t="s">
        <v>18</v>
      </c>
    </row>
    <row r="4" spans="1:12" x14ac:dyDescent="0.2">
      <c r="A4" t="s">
        <v>25</v>
      </c>
      <c r="B4" s="2">
        <v>45871</v>
      </c>
      <c r="C4" t="s">
        <v>26</v>
      </c>
      <c r="D4" t="s">
        <v>27</v>
      </c>
      <c r="E4" t="s">
        <v>23</v>
      </c>
      <c r="F4" t="s">
        <v>23</v>
      </c>
      <c r="G4" t="s">
        <v>24</v>
      </c>
      <c r="H4">
        <v>159</v>
      </c>
      <c r="I4">
        <v>11</v>
      </c>
      <c r="J4">
        <v>1</v>
      </c>
      <c r="K4">
        <v>1032</v>
      </c>
      <c r="L4" t="s">
        <v>28</v>
      </c>
    </row>
    <row r="5" spans="1:12" x14ac:dyDescent="0.2">
      <c r="A5" t="s">
        <v>29</v>
      </c>
      <c r="B5" s="2">
        <v>45848</v>
      </c>
      <c r="C5" t="s">
        <v>20</v>
      </c>
      <c r="D5" t="s">
        <v>21</v>
      </c>
      <c r="E5" t="s">
        <v>15</v>
      </c>
      <c r="F5" t="s">
        <v>16</v>
      </c>
      <c r="G5" t="s">
        <v>30</v>
      </c>
      <c r="H5">
        <v>138</v>
      </c>
      <c r="I5">
        <v>5</v>
      </c>
      <c r="J5">
        <v>3</v>
      </c>
      <c r="K5">
        <v>7798</v>
      </c>
      <c r="L5" t="s">
        <v>28</v>
      </c>
    </row>
    <row r="6" spans="1:12" x14ac:dyDescent="0.2">
      <c r="A6" t="s">
        <v>31</v>
      </c>
      <c r="B6" s="2">
        <v>45713</v>
      </c>
      <c r="C6" t="s">
        <v>32</v>
      </c>
      <c r="D6" t="s">
        <v>33</v>
      </c>
      <c r="E6" t="s">
        <v>34</v>
      </c>
      <c r="F6" t="s">
        <v>35</v>
      </c>
      <c r="G6" t="s">
        <v>36</v>
      </c>
      <c r="H6">
        <v>87</v>
      </c>
      <c r="I6">
        <v>7</v>
      </c>
      <c r="J6">
        <v>2</v>
      </c>
      <c r="K6">
        <v>433</v>
      </c>
      <c r="L6" t="s">
        <v>28</v>
      </c>
    </row>
    <row r="7" spans="1:12" x14ac:dyDescent="0.2">
      <c r="A7" t="s">
        <v>37</v>
      </c>
      <c r="B7" s="2">
        <v>45887</v>
      </c>
      <c r="C7" t="s">
        <v>13</v>
      </c>
      <c r="D7" t="s">
        <v>14</v>
      </c>
      <c r="E7" t="s">
        <v>15</v>
      </c>
      <c r="F7" t="s">
        <v>16</v>
      </c>
      <c r="G7" t="s">
        <v>24</v>
      </c>
      <c r="H7">
        <v>34</v>
      </c>
      <c r="I7">
        <v>8</v>
      </c>
      <c r="J7">
        <v>2</v>
      </c>
      <c r="K7">
        <v>6542</v>
      </c>
      <c r="L7" t="s">
        <v>18</v>
      </c>
    </row>
    <row r="8" spans="1:12" x14ac:dyDescent="0.2">
      <c r="A8" t="s">
        <v>38</v>
      </c>
      <c r="B8" s="2">
        <v>46004</v>
      </c>
      <c r="C8" t="s">
        <v>20</v>
      </c>
      <c r="D8" t="s">
        <v>21</v>
      </c>
      <c r="E8" t="s">
        <v>15</v>
      </c>
      <c r="F8" t="s">
        <v>35</v>
      </c>
      <c r="G8" t="s">
        <v>17</v>
      </c>
      <c r="H8">
        <v>117</v>
      </c>
      <c r="I8">
        <v>5</v>
      </c>
      <c r="J8">
        <v>5</v>
      </c>
      <c r="K8">
        <v>15258</v>
      </c>
      <c r="L8" t="s">
        <v>18</v>
      </c>
    </row>
    <row r="9" spans="1:12" x14ac:dyDescent="0.2">
      <c r="A9" t="s">
        <v>39</v>
      </c>
      <c r="B9" s="2">
        <v>45676</v>
      </c>
      <c r="C9" t="s">
        <v>32</v>
      </c>
      <c r="D9" t="s">
        <v>33</v>
      </c>
      <c r="E9" t="s">
        <v>23</v>
      </c>
      <c r="F9" t="s">
        <v>35</v>
      </c>
      <c r="G9" t="s">
        <v>40</v>
      </c>
      <c r="H9">
        <v>32</v>
      </c>
      <c r="I9">
        <v>2</v>
      </c>
      <c r="J9">
        <v>3</v>
      </c>
      <c r="K9">
        <v>9945</v>
      </c>
      <c r="L9" t="s">
        <v>28</v>
      </c>
    </row>
    <row r="10" spans="1:12" x14ac:dyDescent="0.2">
      <c r="A10" t="s">
        <v>41</v>
      </c>
      <c r="B10" s="2">
        <v>45927</v>
      </c>
      <c r="C10" t="s">
        <v>13</v>
      </c>
      <c r="D10" t="s">
        <v>14</v>
      </c>
      <c r="E10" t="s">
        <v>22</v>
      </c>
      <c r="F10" t="s">
        <v>35</v>
      </c>
      <c r="G10" t="s">
        <v>40</v>
      </c>
      <c r="H10">
        <v>121</v>
      </c>
      <c r="I10">
        <v>7</v>
      </c>
      <c r="J10">
        <v>4</v>
      </c>
      <c r="K10">
        <v>14786</v>
      </c>
      <c r="L10" t="s">
        <v>28</v>
      </c>
    </row>
    <row r="11" spans="1:12" x14ac:dyDescent="0.2">
      <c r="A11" t="s">
        <v>42</v>
      </c>
      <c r="B11" s="2">
        <v>45710</v>
      </c>
      <c r="C11" t="s">
        <v>32</v>
      </c>
      <c r="D11" t="s">
        <v>33</v>
      </c>
      <c r="E11" t="s">
        <v>22</v>
      </c>
      <c r="F11" t="s">
        <v>35</v>
      </c>
      <c r="G11" t="s">
        <v>30</v>
      </c>
      <c r="H11">
        <v>11</v>
      </c>
      <c r="I11">
        <v>1</v>
      </c>
      <c r="J11">
        <v>1</v>
      </c>
      <c r="K11">
        <v>7553</v>
      </c>
      <c r="L11" t="s">
        <v>28</v>
      </c>
    </row>
    <row r="12" spans="1:12" x14ac:dyDescent="0.2">
      <c r="A12" t="s">
        <v>43</v>
      </c>
      <c r="B12" s="2">
        <v>45732</v>
      </c>
      <c r="C12" t="s">
        <v>44</v>
      </c>
      <c r="D12" t="s">
        <v>45</v>
      </c>
      <c r="E12" t="s">
        <v>34</v>
      </c>
      <c r="F12" t="s">
        <v>35</v>
      </c>
      <c r="G12" t="s">
        <v>24</v>
      </c>
      <c r="H12">
        <v>54</v>
      </c>
      <c r="I12">
        <v>1</v>
      </c>
      <c r="J12">
        <v>4</v>
      </c>
      <c r="K12">
        <v>5553</v>
      </c>
      <c r="L12" t="s">
        <v>28</v>
      </c>
    </row>
    <row r="13" spans="1:12" x14ac:dyDescent="0.2">
      <c r="A13" t="s">
        <v>46</v>
      </c>
      <c r="B13" s="2">
        <v>45660</v>
      </c>
      <c r="C13" t="s">
        <v>26</v>
      </c>
      <c r="D13" t="s">
        <v>27</v>
      </c>
      <c r="E13" t="s">
        <v>15</v>
      </c>
      <c r="F13" t="s">
        <v>16</v>
      </c>
      <c r="G13" t="s">
        <v>24</v>
      </c>
      <c r="H13">
        <v>49</v>
      </c>
      <c r="I13">
        <v>3</v>
      </c>
      <c r="J13">
        <v>3</v>
      </c>
      <c r="K13">
        <v>6736</v>
      </c>
      <c r="L13" t="s">
        <v>18</v>
      </c>
    </row>
    <row r="14" spans="1:12" x14ac:dyDescent="0.2">
      <c r="A14" t="s">
        <v>47</v>
      </c>
      <c r="B14" s="2">
        <v>45674</v>
      </c>
      <c r="C14" t="s">
        <v>32</v>
      </c>
      <c r="D14" t="s">
        <v>33</v>
      </c>
      <c r="E14" t="s">
        <v>15</v>
      </c>
      <c r="F14" t="s">
        <v>35</v>
      </c>
      <c r="G14" t="s">
        <v>30</v>
      </c>
      <c r="H14">
        <v>168</v>
      </c>
      <c r="I14">
        <v>4</v>
      </c>
      <c r="J14">
        <v>5</v>
      </c>
      <c r="K14">
        <v>17618</v>
      </c>
      <c r="L14" t="s">
        <v>28</v>
      </c>
    </row>
    <row r="15" spans="1:12" x14ac:dyDescent="0.2">
      <c r="A15" t="s">
        <v>48</v>
      </c>
      <c r="B15" s="2">
        <v>45870</v>
      </c>
      <c r="C15" t="s">
        <v>32</v>
      </c>
      <c r="D15" t="s">
        <v>33</v>
      </c>
      <c r="E15" t="s">
        <v>15</v>
      </c>
      <c r="F15" t="s">
        <v>23</v>
      </c>
      <c r="G15" t="s">
        <v>24</v>
      </c>
      <c r="H15">
        <v>80</v>
      </c>
      <c r="I15">
        <v>8</v>
      </c>
      <c r="J15">
        <v>5</v>
      </c>
      <c r="K15">
        <v>7255</v>
      </c>
      <c r="L15" t="s">
        <v>18</v>
      </c>
    </row>
    <row r="16" spans="1:12" x14ac:dyDescent="0.2">
      <c r="A16" t="s">
        <v>49</v>
      </c>
      <c r="B16" s="2">
        <v>45994</v>
      </c>
      <c r="C16" t="s">
        <v>44</v>
      </c>
      <c r="D16" t="s">
        <v>45</v>
      </c>
      <c r="E16" t="s">
        <v>15</v>
      </c>
      <c r="F16" t="s">
        <v>23</v>
      </c>
      <c r="G16" t="s">
        <v>40</v>
      </c>
      <c r="H16">
        <v>137</v>
      </c>
      <c r="I16">
        <v>0</v>
      </c>
      <c r="J16">
        <v>2</v>
      </c>
      <c r="K16">
        <v>5801</v>
      </c>
      <c r="L16" t="s">
        <v>28</v>
      </c>
    </row>
    <row r="17" spans="1:12" x14ac:dyDescent="0.2">
      <c r="A17" t="s">
        <v>50</v>
      </c>
      <c r="B17" s="2">
        <v>45977</v>
      </c>
      <c r="C17" t="s">
        <v>44</v>
      </c>
      <c r="D17" t="s">
        <v>45</v>
      </c>
      <c r="E17" t="s">
        <v>51</v>
      </c>
      <c r="F17" t="s">
        <v>16</v>
      </c>
      <c r="G17" t="s">
        <v>36</v>
      </c>
      <c r="H17">
        <v>143</v>
      </c>
      <c r="I17">
        <v>3</v>
      </c>
      <c r="J17">
        <v>2</v>
      </c>
      <c r="K17">
        <v>12926</v>
      </c>
      <c r="L17" t="s">
        <v>28</v>
      </c>
    </row>
    <row r="18" spans="1:12" x14ac:dyDescent="0.2">
      <c r="A18" t="s">
        <v>52</v>
      </c>
      <c r="B18" s="2">
        <v>45881</v>
      </c>
      <c r="C18" t="s">
        <v>26</v>
      </c>
      <c r="D18" t="s">
        <v>27</v>
      </c>
      <c r="E18" t="s">
        <v>51</v>
      </c>
      <c r="F18" t="s">
        <v>23</v>
      </c>
      <c r="G18" t="s">
        <v>40</v>
      </c>
      <c r="H18">
        <v>143</v>
      </c>
      <c r="I18">
        <v>13</v>
      </c>
      <c r="J18">
        <v>3</v>
      </c>
      <c r="K18">
        <v>5322</v>
      </c>
      <c r="L18" t="s">
        <v>28</v>
      </c>
    </row>
    <row r="19" spans="1:12" x14ac:dyDescent="0.2">
      <c r="A19" t="s">
        <v>53</v>
      </c>
      <c r="B19" s="2">
        <v>45804</v>
      </c>
      <c r="C19" t="s">
        <v>20</v>
      </c>
      <c r="D19" t="s">
        <v>21</v>
      </c>
      <c r="E19" t="s">
        <v>34</v>
      </c>
      <c r="F19" t="s">
        <v>23</v>
      </c>
      <c r="G19" t="s">
        <v>36</v>
      </c>
      <c r="H19">
        <v>146</v>
      </c>
      <c r="I19">
        <v>4</v>
      </c>
      <c r="J19">
        <v>1</v>
      </c>
      <c r="K19">
        <v>7720</v>
      </c>
      <c r="L19" t="s">
        <v>28</v>
      </c>
    </row>
    <row r="20" spans="1:12" x14ac:dyDescent="0.2">
      <c r="A20" t="s">
        <v>54</v>
      </c>
      <c r="B20" s="2">
        <v>45826</v>
      </c>
      <c r="C20" t="s">
        <v>44</v>
      </c>
      <c r="D20" t="s">
        <v>45</v>
      </c>
      <c r="E20" t="s">
        <v>34</v>
      </c>
      <c r="F20" t="s">
        <v>35</v>
      </c>
      <c r="G20" t="s">
        <v>40</v>
      </c>
      <c r="H20">
        <v>138</v>
      </c>
      <c r="I20">
        <v>2</v>
      </c>
      <c r="J20">
        <v>2</v>
      </c>
      <c r="K20">
        <v>887</v>
      </c>
      <c r="L20" t="s">
        <v>28</v>
      </c>
    </row>
    <row r="21" spans="1:12" x14ac:dyDescent="0.2">
      <c r="A21" t="s">
        <v>55</v>
      </c>
      <c r="B21" s="2">
        <v>45996</v>
      </c>
      <c r="C21" t="s">
        <v>20</v>
      </c>
      <c r="D21" t="s">
        <v>21</v>
      </c>
      <c r="E21" t="s">
        <v>15</v>
      </c>
      <c r="F21" t="s">
        <v>16</v>
      </c>
      <c r="G21" t="s">
        <v>40</v>
      </c>
      <c r="H21">
        <v>23</v>
      </c>
      <c r="I21">
        <v>5</v>
      </c>
      <c r="J21">
        <v>2</v>
      </c>
      <c r="K21">
        <v>1383</v>
      </c>
      <c r="L21" t="s">
        <v>18</v>
      </c>
    </row>
    <row r="22" spans="1:12" x14ac:dyDescent="0.2">
      <c r="A22" t="s">
        <v>56</v>
      </c>
      <c r="B22" s="2">
        <v>45940</v>
      </c>
      <c r="C22" t="s">
        <v>26</v>
      </c>
      <c r="D22" t="s">
        <v>27</v>
      </c>
      <c r="E22" t="s">
        <v>15</v>
      </c>
      <c r="F22" t="s">
        <v>16</v>
      </c>
      <c r="G22" t="s">
        <v>40</v>
      </c>
      <c r="H22">
        <v>76</v>
      </c>
      <c r="I22">
        <v>9</v>
      </c>
      <c r="J22">
        <v>1</v>
      </c>
      <c r="K22">
        <v>2931</v>
      </c>
      <c r="L22" t="s">
        <v>18</v>
      </c>
    </row>
    <row r="23" spans="1:12" x14ac:dyDescent="0.2">
      <c r="A23" t="s">
        <v>57</v>
      </c>
      <c r="B23" s="2">
        <v>45956</v>
      </c>
      <c r="C23" t="s">
        <v>13</v>
      </c>
      <c r="D23" t="s">
        <v>14</v>
      </c>
      <c r="E23" t="s">
        <v>34</v>
      </c>
      <c r="F23" t="s">
        <v>16</v>
      </c>
      <c r="G23" t="s">
        <v>17</v>
      </c>
      <c r="H23">
        <v>162</v>
      </c>
      <c r="I23">
        <v>1</v>
      </c>
      <c r="J23">
        <v>2</v>
      </c>
      <c r="K23">
        <v>7476</v>
      </c>
      <c r="L23" t="s">
        <v>28</v>
      </c>
    </row>
    <row r="24" spans="1:12" x14ac:dyDescent="0.2">
      <c r="A24" t="s">
        <v>58</v>
      </c>
      <c r="B24" s="2">
        <v>45987</v>
      </c>
      <c r="C24" t="s">
        <v>20</v>
      </c>
      <c r="D24" t="s">
        <v>21</v>
      </c>
      <c r="E24" t="s">
        <v>51</v>
      </c>
      <c r="F24" t="s">
        <v>35</v>
      </c>
      <c r="G24" t="s">
        <v>17</v>
      </c>
      <c r="H24">
        <v>110</v>
      </c>
      <c r="I24">
        <v>7</v>
      </c>
      <c r="J24">
        <v>5</v>
      </c>
      <c r="K24">
        <v>2015</v>
      </c>
      <c r="L24" t="s">
        <v>18</v>
      </c>
    </row>
    <row r="25" spans="1:12" x14ac:dyDescent="0.2">
      <c r="A25" t="s">
        <v>59</v>
      </c>
      <c r="B25" s="2">
        <v>45836</v>
      </c>
      <c r="C25" t="s">
        <v>26</v>
      </c>
      <c r="D25" t="s">
        <v>27</v>
      </c>
      <c r="E25" t="s">
        <v>15</v>
      </c>
      <c r="F25" t="s">
        <v>23</v>
      </c>
      <c r="G25" t="s">
        <v>36</v>
      </c>
      <c r="H25">
        <v>60</v>
      </c>
      <c r="I25">
        <v>12</v>
      </c>
      <c r="J25">
        <v>5</v>
      </c>
      <c r="K25">
        <v>2022</v>
      </c>
      <c r="L25" t="s">
        <v>18</v>
      </c>
    </row>
    <row r="26" spans="1:12" x14ac:dyDescent="0.2">
      <c r="A26" t="s">
        <v>60</v>
      </c>
      <c r="B26" s="2">
        <v>46019</v>
      </c>
      <c r="C26" t="s">
        <v>26</v>
      </c>
      <c r="D26" t="s">
        <v>27</v>
      </c>
      <c r="E26" t="s">
        <v>34</v>
      </c>
      <c r="F26" t="s">
        <v>23</v>
      </c>
      <c r="G26" t="s">
        <v>17</v>
      </c>
      <c r="H26">
        <v>145</v>
      </c>
      <c r="I26">
        <v>10</v>
      </c>
      <c r="J26">
        <v>2</v>
      </c>
      <c r="K26">
        <v>14427</v>
      </c>
      <c r="L26" t="s">
        <v>28</v>
      </c>
    </row>
    <row r="27" spans="1:12" x14ac:dyDescent="0.2">
      <c r="A27" t="s">
        <v>61</v>
      </c>
      <c r="B27" s="2">
        <v>45919</v>
      </c>
      <c r="C27" t="s">
        <v>26</v>
      </c>
      <c r="D27" t="s">
        <v>27</v>
      </c>
      <c r="E27" t="s">
        <v>51</v>
      </c>
      <c r="F27" t="s">
        <v>23</v>
      </c>
      <c r="G27" t="s">
        <v>24</v>
      </c>
      <c r="H27">
        <v>125</v>
      </c>
      <c r="I27">
        <v>12</v>
      </c>
      <c r="J27">
        <v>5</v>
      </c>
      <c r="K27">
        <v>8177</v>
      </c>
      <c r="L27" t="s">
        <v>28</v>
      </c>
    </row>
    <row r="28" spans="1:12" x14ac:dyDescent="0.2">
      <c r="A28" t="s">
        <v>62</v>
      </c>
      <c r="B28" s="2">
        <v>45863</v>
      </c>
      <c r="C28" t="s">
        <v>32</v>
      </c>
      <c r="D28" t="s">
        <v>33</v>
      </c>
      <c r="E28" t="s">
        <v>15</v>
      </c>
      <c r="F28" t="s">
        <v>23</v>
      </c>
      <c r="G28" t="s">
        <v>40</v>
      </c>
      <c r="H28">
        <v>114</v>
      </c>
      <c r="I28">
        <v>3</v>
      </c>
      <c r="J28">
        <v>1</v>
      </c>
      <c r="K28">
        <v>10043</v>
      </c>
      <c r="L28" t="s">
        <v>28</v>
      </c>
    </row>
    <row r="29" spans="1:12" x14ac:dyDescent="0.2">
      <c r="A29" t="s">
        <v>63</v>
      </c>
      <c r="B29" s="2">
        <v>45823</v>
      </c>
      <c r="C29" t="s">
        <v>26</v>
      </c>
      <c r="D29" t="s">
        <v>27</v>
      </c>
      <c r="E29" t="s">
        <v>23</v>
      </c>
      <c r="F29" t="s">
        <v>16</v>
      </c>
      <c r="G29" t="s">
        <v>24</v>
      </c>
      <c r="H29">
        <v>141</v>
      </c>
      <c r="I29">
        <v>4</v>
      </c>
      <c r="J29">
        <v>5</v>
      </c>
      <c r="K29">
        <v>8064</v>
      </c>
      <c r="L29" t="s">
        <v>28</v>
      </c>
    </row>
    <row r="30" spans="1:12" x14ac:dyDescent="0.2">
      <c r="A30" t="s">
        <v>64</v>
      </c>
      <c r="B30" s="2">
        <v>45826</v>
      </c>
      <c r="C30" t="s">
        <v>13</v>
      </c>
      <c r="D30" t="s">
        <v>14</v>
      </c>
      <c r="E30" t="s">
        <v>22</v>
      </c>
      <c r="F30" t="s">
        <v>16</v>
      </c>
      <c r="G30" t="s">
        <v>24</v>
      </c>
      <c r="H30">
        <v>79</v>
      </c>
      <c r="I30">
        <v>0</v>
      </c>
      <c r="J30">
        <v>4</v>
      </c>
      <c r="K30">
        <v>12945</v>
      </c>
      <c r="L30" t="s">
        <v>28</v>
      </c>
    </row>
    <row r="31" spans="1:12" x14ac:dyDescent="0.2">
      <c r="A31" t="s">
        <v>65</v>
      </c>
      <c r="B31" s="2">
        <v>45911</v>
      </c>
      <c r="C31" t="s">
        <v>44</v>
      </c>
      <c r="D31" t="s">
        <v>45</v>
      </c>
      <c r="E31" t="s">
        <v>34</v>
      </c>
      <c r="F31" t="s">
        <v>35</v>
      </c>
      <c r="G31" t="s">
        <v>30</v>
      </c>
      <c r="H31">
        <v>53</v>
      </c>
      <c r="I31">
        <v>10</v>
      </c>
      <c r="J31">
        <v>3</v>
      </c>
      <c r="K31">
        <v>2216</v>
      </c>
      <c r="L31" t="s">
        <v>28</v>
      </c>
    </row>
    <row r="32" spans="1:12" x14ac:dyDescent="0.2">
      <c r="A32" t="s">
        <v>66</v>
      </c>
      <c r="B32" s="2">
        <v>45847</v>
      </c>
      <c r="C32" t="s">
        <v>13</v>
      </c>
      <c r="D32" t="s">
        <v>14</v>
      </c>
      <c r="E32" t="s">
        <v>51</v>
      </c>
      <c r="F32" t="s">
        <v>16</v>
      </c>
      <c r="G32" t="s">
        <v>40</v>
      </c>
      <c r="H32">
        <v>60</v>
      </c>
      <c r="I32">
        <v>10</v>
      </c>
      <c r="J32">
        <v>4</v>
      </c>
      <c r="K32">
        <v>6877</v>
      </c>
      <c r="L32" t="s">
        <v>18</v>
      </c>
    </row>
    <row r="33" spans="1:12" x14ac:dyDescent="0.2">
      <c r="A33" t="s">
        <v>67</v>
      </c>
      <c r="B33" s="2">
        <v>45999</v>
      </c>
      <c r="C33" t="s">
        <v>26</v>
      </c>
      <c r="D33" t="s">
        <v>27</v>
      </c>
      <c r="E33" t="s">
        <v>51</v>
      </c>
      <c r="F33" t="s">
        <v>23</v>
      </c>
      <c r="G33" t="s">
        <v>30</v>
      </c>
      <c r="H33">
        <v>14</v>
      </c>
      <c r="I33">
        <v>0</v>
      </c>
      <c r="J33">
        <v>1</v>
      </c>
      <c r="K33">
        <v>2328</v>
      </c>
      <c r="L33" t="s">
        <v>28</v>
      </c>
    </row>
    <row r="34" spans="1:12" x14ac:dyDescent="0.2">
      <c r="A34" t="s">
        <v>68</v>
      </c>
      <c r="B34" s="2">
        <v>45886</v>
      </c>
      <c r="C34" t="s">
        <v>26</v>
      </c>
      <c r="D34" t="s">
        <v>27</v>
      </c>
      <c r="E34" t="s">
        <v>51</v>
      </c>
      <c r="F34" t="s">
        <v>16</v>
      </c>
      <c r="G34" t="s">
        <v>40</v>
      </c>
      <c r="H34">
        <v>104</v>
      </c>
      <c r="I34">
        <v>7</v>
      </c>
      <c r="J34">
        <v>2</v>
      </c>
      <c r="K34">
        <v>6255</v>
      </c>
      <c r="L34" t="s">
        <v>28</v>
      </c>
    </row>
    <row r="35" spans="1:12" x14ac:dyDescent="0.2">
      <c r="A35" t="s">
        <v>69</v>
      </c>
      <c r="B35" s="2">
        <v>45906</v>
      </c>
      <c r="C35" t="s">
        <v>13</v>
      </c>
      <c r="D35" t="s">
        <v>14</v>
      </c>
      <c r="E35" t="s">
        <v>34</v>
      </c>
      <c r="F35" t="s">
        <v>16</v>
      </c>
      <c r="G35" t="s">
        <v>36</v>
      </c>
      <c r="H35">
        <v>30</v>
      </c>
      <c r="I35">
        <v>5</v>
      </c>
      <c r="J35">
        <v>4</v>
      </c>
      <c r="K35">
        <v>15626</v>
      </c>
      <c r="L35" t="s">
        <v>18</v>
      </c>
    </row>
    <row r="36" spans="1:12" x14ac:dyDescent="0.2">
      <c r="A36" t="s">
        <v>70</v>
      </c>
      <c r="B36" s="2">
        <v>45732</v>
      </c>
      <c r="C36" t="s">
        <v>26</v>
      </c>
      <c r="D36" t="s">
        <v>27</v>
      </c>
      <c r="E36" t="s">
        <v>34</v>
      </c>
      <c r="F36" t="s">
        <v>23</v>
      </c>
      <c r="G36" t="s">
        <v>36</v>
      </c>
      <c r="H36">
        <v>113</v>
      </c>
      <c r="I36">
        <v>7</v>
      </c>
      <c r="J36">
        <v>4</v>
      </c>
      <c r="K36">
        <v>12545</v>
      </c>
      <c r="L36" t="s">
        <v>18</v>
      </c>
    </row>
    <row r="37" spans="1:12" x14ac:dyDescent="0.2">
      <c r="A37" t="s">
        <v>71</v>
      </c>
      <c r="B37" s="2">
        <v>45965</v>
      </c>
      <c r="C37" t="s">
        <v>20</v>
      </c>
      <c r="D37" t="s">
        <v>21</v>
      </c>
      <c r="E37" t="s">
        <v>51</v>
      </c>
      <c r="F37" t="s">
        <v>35</v>
      </c>
      <c r="G37" t="s">
        <v>17</v>
      </c>
      <c r="H37">
        <v>64</v>
      </c>
      <c r="I37">
        <v>7</v>
      </c>
      <c r="J37">
        <v>4</v>
      </c>
      <c r="K37">
        <v>10829</v>
      </c>
      <c r="L37" t="s">
        <v>28</v>
      </c>
    </row>
    <row r="38" spans="1:12" x14ac:dyDescent="0.2">
      <c r="A38" t="s">
        <v>72</v>
      </c>
      <c r="B38" s="2">
        <v>45794</v>
      </c>
      <c r="C38" t="s">
        <v>44</v>
      </c>
      <c r="D38" t="s">
        <v>45</v>
      </c>
      <c r="E38" t="s">
        <v>23</v>
      </c>
      <c r="F38" t="s">
        <v>23</v>
      </c>
      <c r="G38" t="s">
        <v>36</v>
      </c>
      <c r="H38">
        <v>151</v>
      </c>
      <c r="I38">
        <v>6</v>
      </c>
      <c r="J38">
        <v>1</v>
      </c>
      <c r="K38">
        <v>3479</v>
      </c>
      <c r="L38" t="s">
        <v>28</v>
      </c>
    </row>
    <row r="39" spans="1:12" x14ac:dyDescent="0.2">
      <c r="A39" t="s">
        <v>73</v>
      </c>
      <c r="B39" s="2">
        <v>45765</v>
      </c>
      <c r="C39" t="s">
        <v>13</v>
      </c>
      <c r="D39" t="s">
        <v>14</v>
      </c>
      <c r="E39" t="s">
        <v>15</v>
      </c>
      <c r="F39" t="s">
        <v>23</v>
      </c>
      <c r="G39" t="s">
        <v>40</v>
      </c>
      <c r="H39">
        <v>97</v>
      </c>
      <c r="I39">
        <v>5</v>
      </c>
      <c r="J39">
        <v>4</v>
      </c>
      <c r="K39">
        <v>17761</v>
      </c>
      <c r="L39" t="s">
        <v>28</v>
      </c>
    </row>
    <row r="40" spans="1:12" x14ac:dyDescent="0.2">
      <c r="A40" t="s">
        <v>74</v>
      </c>
      <c r="B40" s="2">
        <v>45682</v>
      </c>
      <c r="C40" t="s">
        <v>26</v>
      </c>
      <c r="D40" t="s">
        <v>27</v>
      </c>
      <c r="E40" t="s">
        <v>15</v>
      </c>
      <c r="F40" t="s">
        <v>16</v>
      </c>
      <c r="G40" t="s">
        <v>24</v>
      </c>
      <c r="H40">
        <v>159</v>
      </c>
      <c r="I40">
        <v>8</v>
      </c>
      <c r="J40">
        <v>4</v>
      </c>
      <c r="K40">
        <v>467</v>
      </c>
      <c r="L40" t="s">
        <v>28</v>
      </c>
    </row>
    <row r="41" spans="1:12" x14ac:dyDescent="0.2">
      <c r="A41" t="s">
        <v>75</v>
      </c>
      <c r="B41" s="2">
        <v>45697</v>
      </c>
      <c r="C41" t="s">
        <v>26</v>
      </c>
      <c r="D41" t="s">
        <v>27</v>
      </c>
      <c r="E41" t="s">
        <v>34</v>
      </c>
      <c r="F41" t="s">
        <v>16</v>
      </c>
      <c r="G41" t="s">
        <v>30</v>
      </c>
      <c r="H41">
        <v>168</v>
      </c>
      <c r="I41">
        <v>8</v>
      </c>
      <c r="J41">
        <v>1</v>
      </c>
      <c r="K41">
        <v>6303</v>
      </c>
      <c r="L41" t="s">
        <v>28</v>
      </c>
    </row>
    <row r="42" spans="1:12" x14ac:dyDescent="0.2">
      <c r="A42" t="s">
        <v>76</v>
      </c>
      <c r="B42" s="2">
        <v>45932</v>
      </c>
      <c r="C42" t="s">
        <v>26</v>
      </c>
      <c r="D42" t="s">
        <v>27</v>
      </c>
      <c r="E42" t="s">
        <v>22</v>
      </c>
      <c r="F42" t="s">
        <v>35</v>
      </c>
      <c r="G42" t="s">
        <v>30</v>
      </c>
      <c r="H42">
        <v>85</v>
      </c>
      <c r="I42">
        <v>10</v>
      </c>
      <c r="J42">
        <v>2</v>
      </c>
      <c r="K42">
        <v>16416</v>
      </c>
      <c r="L42" t="s">
        <v>28</v>
      </c>
    </row>
    <row r="43" spans="1:12" x14ac:dyDescent="0.2">
      <c r="A43" t="s">
        <v>77</v>
      </c>
      <c r="B43" s="2">
        <v>45672</v>
      </c>
      <c r="C43" t="s">
        <v>20</v>
      </c>
      <c r="D43" t="s">
        <v>21</v>
      </c>
      <c r="E43" t="s">
        <v>23</v>
      </c>
      <c r="F43" t="s">
        <v>35</v>
      </c>
      <c r="G43" t="s">
        <v>36</v>
      </c>
      <c r="H43">
        <v>164</v>
      </c>
      <c r="I43">
        <v>7</v>
      </c>
      <c r="J43">
        <v>2</v>
      </c>
      <c r="K43">
        <v>12684</v>
      </c>
      <c r="L43" t="s">
        <v>28</v>
      </c>
    </row>
    <row r="44" spans="1:12" x14ac:dyDescent="0.2">
      <c r="A44" t="s">
        <v>78</v>
      </c>
      <c r="B44" s="2">
        <v>45895</v>
      </c>
      <c r="C44" t="s">
        <v>32</v>
      </c>
      <c r="D44" t="s">
        <v>33</v>
      </c>
      <c r="E44" t="s">
        <v>15</v>
      </c>
      <c r="F44" t="s">
        <v>23</v>
      </c>
      <c r="G44" t="s">
        <v>17</v>
      </c>
      <c r="H44">
        <v>167</v>
      </c>
      <c r="I44">
        <v>13</v>
      </c>
      <c r="J44">
        <v>5</v>
      </c>
      <c r="K44">
        <v>2593</v>
      </c>
      <c r="L44" t="s">
        <v>28</v>
      </c>
    </row>
    <row r="45" spans="1:12" x14ac:dyDescent="0.2">
      <c r="A45" t="s">
        <v>79</v>
      </c>
      <c r="B45" s="2">
        <v>45830</v>
      </c>
      <c r="C45" t="s">
        <v>44</v>
      </c>
      <c r="D45" t="s">
        <v>45</v>
      </c>
      <c r="E45" t="s">
        <v>15</v>
      </c>
      <c r="F45" t="s">
        <v>23</v>
      </c>
      <c r="G45" t="s">
        <v>40</v>
      </c>
      <c r="H45">
        <v>145</v>
      </c>
      <c r="I45">
        <v>1</v>
      </c>
      <c r="J45">
        <v>4</v>
      </c>
      <c r="K45">
        <v>5557</v>
      </c>
      <c r="L45" t="s">
        <v>28</v>
      </c>
    </row>
    <row r="46" spans="1:12" x14ac:dyDescent="0.2">
      <c r="A46" t="s">
        <v>80</v>
      </c>
      <c r="B46" s="2">
        <v>46005</v>
      </c>
      <c r="C46" t="s">
        <v>13</v>
      </c>
      <c r="D46" t="s">
        <v>14</v>
      </c>
      <c r="E46" t="s">
        <v>51</v>
      </c>
      <c r="F46" t="s">
        <v>16</v>
      </c>
      <c r="G46" t="s">
        <v>40</v>
      </c>
      <c r="H46">
        <v>81</v>
      </c>
      <c r="I46">
        <v>13</v>
      </c>
      <c r="J46">
        <v>5</v>
      </c>
      <c r="K46">
        <v>1653</v>
      </c>
      <c r="L46" t="s">
        <v>28</v>
      </c>
    </row>
    <row r="47" spans="1:12" x14ac:dyDescent="0.2">
      <c r="A47" t="s">
        <v>81</v>
      </c>
      <c r="B47" s="2">
        <v>45728</v>
      </c>
      <c r="C47" t="s">
        <v>13</v>
      </c>
      <c r="D47" t="s">
        <v>14</v>
      </c>
      <c r="E47" t="s">
        <v>23</v>
      </c>
      <c r="F47" t="s">
        <v>23</v>
      </c>
      <c r="G47" t="s">
        <v>30</v>
      </c>
      <c r="H47">
        <v>142</v>
      </c>
      <c r="I47">
        <v>12</v>
      </c>
      <c r="J47">
        <v>5</v>
      </c>
      <c r="K47">
        <v>7914</v>
      </c>
      <c r="L47" t="s">
        <v>28</v>
      </c>
    </row>
    <row r="48" spans="1:12" x14ac:dyDescent="0.2">
      <c r="A48" t="s">
        <v>82</v>
      </c>
      <c r="B48" s="2">
        <v>45922</v>
      </c>
      <c r="C48" t="s">
        <v>20</v>
      </c>
      <c r="D48" t="s">
        <v>21</v>
      </c>
      <c r="E48" t="s">
        <v>23</v>
      </c>
      <c r="F48" t="s">
        <v>23</v>
      </c>
      <c r="G48" t="s">
        <v>17</v>
      </c>
      <c r="H48">
        <v>48</v>
      </c>
      <c r="I48">
        <v>0</v>
      </c>
      <c r="J48">
        <v>2</v>
      </c>
      <c r="K48">
        <v>9822</v>
      </c>
      <c r="L48" t="s">
        <v>28</v>
      </c>
    </row>
    <row r="49" spans="1:12" x14ac:dyDescent="0.2">
      <c r="A49" t="s">
        <v>83</v>
      </c>
      <c r="B49" s="2">
        <v>45705</v>
      </c>
      <c r="C49" t="s">
        <v>44</v>
      </c>
      <c r="D49" t="s">
        <v>45</v>
      </c>
      <c r="E49" t="s">
        <v>22</v>
      </c>
      <c r="F49" t="s">
        <v>35</v>
      </c>
      <c r="G49" t="s">
        <v>40</v>
      </c>
      <c r="H49">
        <v>16</v>
      </c>
      <c r="I49">
        <v>11</v>
      </c>
      <c r="J49">
        <v>5</v>
      </c>
      <c r="K49">
        <v>13966</v>
      </c>
      <c r="L49" t="s">
        <v>28</v>
      </c>
    </row>
    <row r="50" spans="1:12" x14ac:dyDescent="0.2">
      <c r="A50" t="s">
        <v>84</v>
      </c>
      <c r="B50" s="2">
        <v>45695</v>
      </c>
      <c r="C50" t="s">
        <v>44</v>
      </c>
      <c r="D50" t="s">
        <v>45</v>
      </c>
      <c r="E50" t="s">
        <v>15</v>
      </c>
      <c r="F50" t="s">
        <v>35</v>
      </c>
      <c r="G50" t="s">
        <v>24</v>
      </c>
      <c r="H50">
        <v>159</v>
      </c>
      <c r="I50">
        <v>2</v>
      </c>
      <c r="J50">
        <v>3</v>
      </c>
      <c r="K50">
        <v>10483</v>
      </c>
      <c r="L50" t="s">
        <v>28</v>
      </c>
    </row>
    <row r="51" spans="1:12" x14ac:dyDescent="0.2">
      <c r="A51" t="s">
        <v>85</v>
      </c>
      <c r="B51" s="2">
        <v>45661</v>
      </c>
      <c r="C51" t="s">
        <v>13</v>
      </c>
      <c r="D51" t="s">
        <v>14</v>
      </c>
      <c r="E51" t="s">
        <v>23</v>
      </c>
      <c r="F51" t="s">
        <v>16</v>
      </c>
      <c r="G51" t="s">
        <v>24</v>
      </c>
      <c r="H51">
        <v>48</v>
      </c>
      <c r="I51">
        <v>8</v>
      </c>
      <c r="J51">
        <v>3</v>
      </c>
      <c r="K51">
        <v>6161</v>
      </c>
      <c r="L51" t="s">
        <v>28</v>
      </c>
    </row>
    <row r="52" spans="1:12" x14ac:dyDescent="0.2">
      <c r="A52" t="s">
        <v>86</v>
      </c>
      <c r="B52" s="2">
        <v>45793</v>
      </c>
      <c r="C52" t="s">
        <v>32</v>
      </c>
      <c r="D52" t="s">
        <v>33</v>
      </c>
      <c r="E52" t="s">
        <v>23</v>
      </c>
      <c r="F52" t="s">
        <v>16</v>
      </c>
      <c r="G52" t="s">
        <v>24</v>
      </c>
      <c r="H52">
        <v>105</v>
      </c>
      <c r="I52">
        <v>9</v>
      </c>
      <c r="J52">
        <v>3</v>
      </c>
      <c r="K52">
        <v>8244</v>
      </c>
      <c r="L52" t="s">
        <v>18</v>
      </c>
    </row>
    <row r="53" spans="1:12" x14ac:dyDescent="0.2">
      <c r="A53" t="s">
        <v>87</v>
      </c>
      <c r="B53" s="2">
        <v>45749</v>
      </c>
      <c r="C53" t="s">
        <v>32</v>
      </c>
      <c r="D53" t="s">
        <v>33</v>
      </c>
      <c r="E53" t="s">
        <v>51</v>
      </c>
      <c r="F53" t="s">
        <v>35</v>
      </c>
      <c r="G53" t="s">
        <v>40</v>
      </c>
      <c r="H53">
        <v>25</v>
      </c>
      <c r="I53">
        <v>7</v>
      </c>
      <c r="J53">
        <v>1</v>
      </c>
      <c r="K53">
        <v>9525</v>
      </c>
      <c r="L53" t="s">
        <v>28</v>
      </c>
    </row>
    <row r="54" spans="1:12" x14ac:dyDescent="0.2">
      <c r="A54" t="s">
        <v>88</v>
      </c>
      <c r="B54" s="2">
        <v>45861</v>
      </c>
      <c r="C54" t="s">
        <v>32</v>
      </c>
      <c r="D54" t="s">
        <v>33</v>
      </c>
      <c r="E54" t="s">
        <v>51</v>
      </c>
      <c r="F54" t="s">
        <v>35</v>
      </c>
      <c r="G54" t="s">
        <v>36</v>
      </c>
      <c r="H54">
        <v>98</v>
      </c>
      <c r="I54">
        <v>1</v>
      </c>
      <c r="J54">
        <v>1</v>
      </c>
      <c r="K54">
        <v>16186</v>
      </c>
      <c r="L54" t="s">
        <v>28</v>
      </c>
    </row>
    <row r="55" spans="1:12" x14ac:dyDescent="0.2">
      <c r="A55" t="s">
        <v>89</v>
      </c>
      <c r="B55" s="2">
        <v>45852</v>
      </c>
      <c r="C55" t="s">
        <v>44</v>
      </c>
      <c r="D55" t="s">
        <v>45</v>
      </c>
      <c r="E55" t="s">
        <v>34</v>
      </c>
      <c r="F55" t="s">
        <v>35</v>
      </c>
      <c r="G55" t="s">
        <v>30</v>
      </c>
      <c r="H55">
        <v>27</v>
      </c>
      <c r="I55">
        <v>1</v>
      </c>
      <c r="J55">
        <v>5</v>
      </c>
      <c r="K55">
        <v>9752</v>
      </c>
      <c r="L55" t="s">
        <v>28</v>
      </c>
    </row>
    <row r="56" spans="1:12" x14ac:dyDescent="0.2">
      <c r="A56" t="s">
        <v>90</v>
      </c>
      <c r="B56" s="2">
        <v>45792</v>
      </c>
      <c r="C56" t="s">
        <v>20</v>
      </c>
      <c r="D56" t="s">
        <v>21</v>
      </c>
      <c r="E56" t="s">
        <v>23</v>
      </c>
      <c r="F56" t="s">
        <v>23</v>
      </c>
      <c r="G56" t="s">
        <v>40</v>
      </c>
      <c r="H56">
        <v>65</v>
      </c>
      <c r="I56">
        <v>11</v>
      </c>
      <c r="J56">
        <v>1</v>
      </c>
      <c r="K56">
        <v>15067</v>
      </c>
      <c r="L56" t="s">
        <v>28</v>
      </c>
    </row>
    <row r="57" spans="1:12" x14ac:dyDescent="0.2">
      <c r="A57" t="s">
        <v>91</v>
      </c>
      <c r="B57" s="2">
        <v>45918</v>
      </c>
      <c r="C57" t="s">
        <v>32</v>
      </c>
      <c r="D57" t="s">
        <v>33</v>
      </c>
      <c r="E57" t="s">
        <v>34</v>
      </c>
      <c r="F57" t="s">
        <v>23</v>
      </c>
      <c r="G57" t="s">
        <v>30</v>
      </c>
      <c r="H57">
        <v>66</v>
      </c>
      <c r="I57">
        <v>7</v>
      </c>
      <c r="J57">
        <v>3</v>
      </c>
      <c r="K57">
        <v>2934</v>
      </c>
      <c r="L57" t="s">
        <v>28</v>
      </c>
    </row>
    <row r="58" spans="1:12" x14ac:dyDescent="0.2">
      <c r="A58" t="s">
        <v>92</v>
      </c>
      <c r="B58" s="2">
        <v>46007</v>
      </c>
      <c r="C58" t="s">
        <v>44</v>
      </c>
      <c r="D58" t="s">
        <v>45</v>
      </c>
      <c r="E58" t="s">
        <v>23</v>
      </c>
      <c r="F58" t="s">
        <v>16</v>
      </c>
      <c r="G58" t="s">
        <v>17</v>
      </c>
      <c r="H58">
        <v>145</v>
      </c>
      <c r="I58">
        <v>10</v>
      </c>
      <c r="J58">
        <v>2</v>
      </c>
      <c r="K58">
        <v>15393</v>
      </c>
      <c r="L58" t="s">
        <v>28</v>
      </c>
    </row>
    <row r="59" spans="1:12" x14ac:dyDescent="0.2">
      <c r="A59" t="s">
        <v>93</v>
      </c>
      <c r="B59" s="2">
        <v>45666</v>
      </c>
      <c r="C59" t="s">
        <v>26</v>
      </c>
      <c r="D59" t="s">
        <v>27</v>
      </c>
      <c r="E59" t="s">
        <v>22</v>
      </c>
      <c r="F59" t="s">
        <v>23</v>
      </c>
      <c r="G59" t="s">
        <v>24</v>
      </c>
      <c r="H59">
        <v>141</v>
      </c>
      <c r="I59">
        <v>1</v>
      </c>
      <c r="J59">
        <v>5</v>
      </c>
      <c r="K59">
        <v>14074</v>
      </c>
      <c r="L59" t="s">
        <v>28</v>
      </c>
    </row>
    <row r="60" spans="1:12" x14ac:dyDescent="0.2">
      <c r="A60" t="s">
        <v>94</v>
      </c>
      <c r="B60" s="2">
        <v>45739</v>
      </c>
      <c r="C60" t="s">
        <v>13</v>
      </c>
      <c r="D60" t="s">
        <v>14</v>
      </c>
      <c r="E60" t="s">
        <v>22</v>
      </c>
      <c r="F60" t="s">
        <v>23</v>
      </c>
      <c r="G60" t="s">
        <v>30</v>
      </c>
      <c r="H60">
        <v>52</v>
      </c>
      <c r="I60">
        <v>12</v>
      </c>
      <c r="J60">
        <v>1</v>
      </c>
      <c r="K60">
        <v>317</v>
      </c>
      <c r="L60" t="s">
        <v>28</v>
      </c>
    </row>
    <row r="61" spans="1:12" x14ac:dyDescent="0.2">
      <c r="A61" t="s">
        <v>95</v>
      </c>
      <c r="B61" s="2">
        <v>45920</v>
      </c>
      <c r="C61" t="s">
        <v>13</v>
      </c>
      <c r="D61" t="s">
        <v>14</v>
      </c>
      <c r="E61" t="s">
        <v>23</v>
      </c>
      <c r="F61" t="s">
        <v>23</v>
      </c>
      <c r="G61" t="s">
        <v>17</v>
      </c>
      <c r="H61">
        <v>10</v>
      </c>
      <c r="I61">
        <v>2</v>
      </c>
      <c r="J61">
        <v>4</v>
      </c>
      <c r="K61">
        <v>808</v>
      </c>
      <c r="L61" t="s">
        <v>18</v>
      </c>
    </row>
    <row r="62" spans="1:12" x14ac:dyDescent="0.2">
      <c r="A62" t="s">
        <v>96</v>
      </c>
      <c r="B62" s="2">
        <v>45680</v>
      </c>
      <c r="C62" t="s">
        <v>26</v>
      </c>
      <c r="D62" t="s">
        <v>27</v>
      </c>
      <c r="E62" t="s">
        <v>22</v>
      </c>
      <c r="F62" t="s">
        <v>23</v>
      </c>
      <c r="G62" t="s">
        <v>40</v>
      </c>
      <c r="H62">
        <v>163</v>
      </c>
      <c r="I62">
        <v>12</v>
      </c>
      <c r="J62">
        <v>2</v>
      </c>
      <c r="K62">
        <v>6738</v>
      </c>
      <c r="L62" t="s">
        <v>28</v>
      </c>
    </row>
    <row r="63" spans="1:12" x14ac:dyDescent="0.2">
      <c r="A63" t="s">
        <v>97</v>
      </c>
      <c r="B63" s="2">
        <v>45856</v>
      </c>
      <c r="C63" t="s">
        <v>26</v>
      </c>
      <c r="D63" t="s">
        <v>27</v>
      </c>
      <c r="E63" t="s">
        <v>23</v>
      </c>
      <c r="F63" t="s">
        <v>35</v>
      </c>
      <c r="G63" t="s">
        <v>24</v>
      </c>
      <c r="H63">
        <v>112</v>
      </c>
      <c r="I63">
        <v>6</v>
      </c>
      <c r="J63">
        <v>4</v>
      </c>
      <c r="K63">
        <v>6459</v>
      </c>
      <c r="L63" t="s">
        <v>28</v>
      </c>
    </row>
    <row r="64" spans="1:12" x14ac:dyDescent="0.2">
      <c r="A64" t="s">
        <v>98</v>
      </c>
      <c r="B64" s="2">
        <v>45705</v>
      </c>
      <c r="C64" t="s">
        <v>26</v>
      </c>
      <c r="D64" t="s">
        <v>27</v>
      </c>
      <c r="E64" t="s">
        <v>34</v>
      </c>
      <c r="F64" t="s">
        <v>16</v>
      </c>
      <c r="G64" t="s">
        <v>30</v>
      </c>
      <c r="H64">
        <v>81</v>
      </c>
      <c r="I64">
        <v>7</v>
      </c>
      <c r="J64">
        <v>2</v>
      </c>
      <c r="K64">
        <v>12589</v>
      </c>
      <c r="L64" t="s">
        <v>28</v>
      </c>
    </row>
    <row r="65" spans="1:12" x14ac:dyDescent="0.2">
      <c r="A65" t="s">
        <v>99</v>
      </c>
      <c r="B65" s="2">
        <v>45863</v>
      </c>
      <c r="C65" t="s">
        <v>20</v>
      </c>
      <c r="D65" t="s">
        <v>21</v>
      </c>
      <c r="E65" t="s">
        <v>23</v>
      </c>
      <c r="F65" t="s">
        <v>16</v>
      </c>
      <c r="G65" t="s">
        <v>24</v>
      </c>
      <c r="H65">
        <v>17</v>
      </c>
      <c r="I65">
        <v>0</v>
      </c>
      <c r="J65">
        <v>2</v>
      </c>
      <c r="K65">
        <v>6485</v>
      </c>
      <c r="L65" t="s">
        <v>28</v>
      </c>
    </row>
    <row r="66" spans="1:12" x14ac:dyDescent="0.2">
      <c r="A66" t="s">
        <v>100</v>
      </c>
      <c r="B66" s="2">
        <v>45966</v>
      </c>
      <c r="C66" t="s">
        <v>44</v>
      </c>
      <c r="D66" t="s">
        <v>45</v>
      </c>
      <c r="E66" t="s">
        <v>23</v>
      </c>
      <c r="F66" t="s">
        <v>35</v>
      </c>
      <c r="G66" t="s">
        <v>36</v>
      </c>
      <c r="H66">
        <v>45</v>
      </c>
      <c r="I66">
        <v>5</v>
      </c>
      <c r="J66">
        <v>5</v>
      </c>
      <c r="K66">
        <v>6912</v>
      </c>
      <c r="L66" t="s">
        <v>18</v>
      </c>
    </row>
    <row r="67" spans="1:12" x14ac:dyDescent="0.2">
      <c r="A67" t="s">
        <v>101</v>
      </c>
      <c r="B67" s="2">
        <v>45945</v>
      </c>
      <c r="C67" t="s">
        <v>20</v>
      </c>
      <c r="D67" t="s">
        <v>21</v>
      </c>
      <c r="E67" t="s">
        <v>23</v>
      </c>
      <c r="F67" t="s">
        <v>35</v>
      </c>
      <c r="G67" t="s">
        <v>17</v>
      </c>
      <c r="H67">
        <v>110</v>
      </c>
      <c r="I67">
        <v>12</v>
      </c>
      <c r="J67">
        <v>1</v>
      </c>
      <c r="K67">
        <v>9229</v>
      </c>
      <c r="L67" t="s">
        <v>28</v>
      </c>
    </row>
    <row r="68" spans="1:12" x14ac:dyDescent="0.2">
      <c r="A68" t="s">
        <v>102</v>
      </c>
      <c r="B68" s="2">
        <v>45999</v>
      </c>
      <c r="C68" t="s">
        <v>20</v>
      </c>
      <c r="D68" t="s">
        <v>21</v>
      </c>
      <c r="E68" t="s">
        <v>51</v>
      </c>
      <c r="F68" t="s">
        <v>16</v>
      </c>
      <c r="G68" t="s">
        <v>40</v>
      </c>
      <c r="H68">
        <v>10</v>
      </c>
      <c r="I68">
        <v>3</v>
      </c>
      <c r="J68">
        <v>4</v>
      </c>
      <c r="K68">
        <v>11821</v>
      </c>
      <c r="L68" t="s">
        <v>28</v>
      </c>
    </row>
    <row r="69" spans="1:12" x14ac:dyDescent="0.2">
      <c r="A69" t="s">
        <v>103</v>
      </c>
      <c r="B69" s="2">
        <v>45725</v>
      </c>
      <c r="C69" t="s">
        <v>20</v>
      </c>
      <c r="D69" t="s">
        <v>21</v>
      </c>
      <c r="E69" t="s">
        <v>34</v>
      </c>
      <c r="F69" t="s">
        <v>16</v>
      </c>
      <c r="G69" t="s">
        <v>17</v>
      </c>
      <c r="H69">
        <v>98</v>
      </c>
      <c r="I69">
        <v>9</v>
      </c>
      <c r="J69">
        <v>4</v>
      </c>
      <c r="K69">
        <v>1367</v>
      </c>
      <c r="L69" t="s">
        <v>28</v>
      </c>
    </row>
    <row r="70" spans="1:12" x14ac:dyDescent="0.2">
      <c r="A70" t="s">
        <v>104</v>
      </c>
      <c r="B70" s="2">
        <v>45893</v>
      </c>
      <c r="C70" t="s">
        <v>32</v>
      </c>
      <c r="D70" t="s">
        <v>33</v>
      </c>
      <c r="E70" t="s">
        <v>23</v>
      </c>
      <c r="F70" t="s">
        <v>16</v>
      </c>
      <c r="G70" t="s">
        <v>40</v>
      </c>
      <c r="H70">
        <v>119</v>
      </c>
      <c r="I70">
        <v>8</v>
      </c>
      <c r="J70">
        <v>2</v>
      </c>
      <c r="K70">
        <v>1372</v>
      </c>
      <c r="L70" t="s">
        <v>28</v>
      </c>
    </row>
    <row r="71" spans="1:12" x14ac:dyDescent="0.2">
      <c r="A71" t="s">
        <v>105</v>
      </c>
      <c r="B71" s="2">
        <v>45671</v>
      </c>
      <c r="C71" t="s">
        <v>32</v>
      </c>
      <c r="D71" t="s">
        <v>33</v>
      </c>
      <c r="E71" t="s">
        <v>34</v>
      </c>
      <c r="F71" t="s">
        <v>16</v>
      </c>
      <c r="G71" t="s">
        <v>17</v>
      </c>
      <c r="H71">
        <v>39</v>
      </c>
      <c r="I71">
        <v>11</v>
      </c>
      <c r="J71">
        <v>5</v>
      </c>
      <c r="K71">
        <v>14020</v>
      </c>
      <c r="L71" t="s">
        <v>18</v>
      </c>
    </row>
    <row r="72" spans="1:12" x14ac:dyDescent="0.2">
      <c r="A72" t="s">
        <v>106</v>
      </c>
      <c r="B72" s="2">
        <v>45997</v>
      </c>
      <c r="C72" t="s">
        <v>32</v>
      </c>
      <c r="D72" t="s">
        <v>33</v>
      </c>
      <c r="E72" t="s">
        <v>23</v>
      </c>
      <c r="F72" t="s">
        <v>16</v>
      </c>
      <c r="G72" t="s">
        <v>24</v>
      </c>
      <c r="H72">
        <v>95</v>
      </c>
      <c r="I72">
        <v>4</v>
      </c>
      <c r="J72">
        <v>1</v>
      </c>
      <c r="K72">
        <v>3579</v>
      </c>
      <c r="L72" t="s">
        <v>28</v>
      </c>
    </row>
    <row r="73" spans="1:12" x14ac:dyDescent="0.2">
      <c r="A73" t="s">
        <v>107</v>
      </c>
      <c r="B73" s="2">
        <v>45946</v>
      </c>
      <c r="C73" t="s">
        <v>44</v>
      </c>
      <c r="D73" t="s">
        <v>45</v>
      </c>
      <c r="E73" t="s">
        <v>34</v>
      </c>
      <c r="F73" t="s">
        <v>35</v>
      </c>
      <c r="G73" t="s">
        <v>30</v>
      </c>
      <c r="H73">
        <v>50</v>
      </c>
      <c r="I73">
        <v>3</v>
      </c>
      <c r="J73">
        <v>5</v>
      </c>
      <c r="K73">
        <v>14541</v>
      </c>
      <c r="L73" t="s">
        <v>18</v>
      </c>
    </row>
    <row r="74" spans="1:12" x14ac:dyDescent="0.2">
      <c r="A74" t="s">
        <v>108</v>
      </c>
      <c r="B74" s="2">
        <v>46007</v>
      </c>
      <c r="C74" t="s">
        <v>13</v>
      </c>
      <c r="D74" t="s">
        <v>14</v>
      </c>
      <c r="E74" t="s">
        <v>15</v>
      </c>
      <c r="F74" t="s">
        <v>16</v>
      </c>
      <c r="G74" t="s">
        <v>36</v>
      </c>
      <c r="H74">
        <v>143</v>
      </c>
      <c r="I74">
        <v>0</v>
      </c>
      <c r="J74">
        <v>3</v>
      </c>
      <c r="K74">
        <v>16530</v>
      </c>
      <c r="L74" t="s">
        <v>28</v>
      </c>
    </row>
    <row r="75" spans="1:12" x14ac:dyDescent="0.2">
      <c r="A75" t="s">
        <v>109</v>
      </c>
      <c r="B75" s="2">
        <v>45973</v>
      </c>
      <c r="C75" t="s">
        <v>20</v>
      </c>
      <c r="D75" t="s">
        <v>21</v>
      </c>
      <c r="E75" t="s">
        <v>51</v>
      </c>
      <c r="F75" t="s">
        <v>23</v>
      </c>
      <c r="G75" t="s">
        <v>30</v>
      </c>
      <c r="H75">
        <v>151</v>
      </c>
      <c r="I75">
        <v>8</v>
      </c>
      <c r="J75">
        <v>3</v>
      </c>
      <c r="K75">
        <v>15389</v>
      </c>
      <c r="L75" t="s">
        <v>18</v>
      </c>
    </row>
    <row r="76" spans="1:12" x14ac:dyDescent="0.2">
      <c r="A76" t="s">
        <v>110</v>
      </c>
      <c r="B76" s="2">
        <v>45724</v>
      </c>
      <c r="C76" t="s">
        <v>44</v>
      </c>
      <c r="D76" t="s">
        <v>45</v>
      </c>
      <c r="E76" t="s">
        <v>15</v>
      </c>
      <c r="F76" t="s">
        <v>35</v>
      </c>
      <c r="G76" t="s">
        <v>40</v>
      </c>
      <c r="H76">
        <v>41</v>
      </c>
      <c r="I76">
        <v>10</v>
      </c>
      <c r="J76">
        <v>4</v>
      </c>
      <c r="K76">
        <v>4540</v>
      </c>
      <c r="L76" t="s">
        <v>28</v>
      </c>
    </row>
    <row r="77" spans="1:12" x14ac:dyDescent="0.2">
      <c r="A77" t="s">
        <v>111</v>
      </c>
      <c r="B77" s="2">
        <v>45937</v>
      </c>
      <c r="C77" t="s">
        <v>32</v>
      </c>
      <c r="D77" t="s">
        <v>33</v>
      </c>
      <c r="E77" t="s">
        <v>15</v>
      </c>
      <c r="F77" t="s">
        <v>23</v>
      </c>
      <c r="G77" t="s">
        <v>30</v>
      </c>
      <c r="H77">
        <v>142</v>
      </c>
      <c r="I77">
        <v>9</v>
      </c>
      <c r="J77">
        <v>1</v>
      </c>
      <c r="K77">
        <v>853</v>
      </c>
      <c r="L77" t="s">
        <v>28</v>
      </c>
    </row>
    <row r="78" spans="1:12" x14ac:dyDescent="0.2">
      <c r="A78" t="s">
        <v>112</v>
      </c>
      <c r="B78" s="2">
        <v>45682</v>
      </c>
      <c r="C78" t="s">
        <v>13</v>
      </c>
      <c r="D78" t="s">
        <v>14</v>
      </c>
      <c r="E78" t="s">
        <v>15</v>
      </c>
      <c r="F78" t="s">
        <v>23</v>
      </c>
      <c r="G78" t="s">
        <v>24</v>
      </c>
      <c r="H78">
        <v>166</v>
      </c>
      <c r="I78">
        <v>5</v>
      </c>
      <c r="J78">
        <v>5</v>
      </c>
      <c r="K78">
        <v>5756</v>
      </c>
      <c r="L78" t="s">
        <v>28</v>
      </c>
    </row>
    <row r="79" spans="1:12" x14ac:dyDescent="0.2">
      <c r="A79" t="s">
        <v>113</v>
      </c>
      <c r="B79" s="2">
        <v>45944</v>
      </c>
      <c r="C79" t="s">
        <v>32</v>
      </c>
      <c r="D79" t="s">
        <v>33</v>
      </c>
      <c r="E79" t="s">
        <v>15</v>
      </c>
      <c r="F79" t="s">
        <v>23</v>
      </c>
      <c r="G79" t="s">
        <v>40</v>
      </c>
      <c r="H79">
        <v>35</v>
      </c>
      <c r="I79">
        <v>8</v>
      </c>
      <c r="J79">
        <v>4</v>
      </c>
      <c r="K79">
        <v>17569</v>
      </c>
      <c r="L79" t="s">
        <v>28</v>
      </c>
    </row>
    <row r="80" spans="1:12" x14ac:dyDescent="0.2">
      <c r="A80" t="s">
        <v>114</v>
      </c>
      <c r="B80" s="2">
        <v>45749</v>
      </c>
      <c r="C80" t="s">
        <v>13</v>
      </c>
      <c r="D80" t="s">
        <v>14</v>
      </c>
      <c r="E80" t="s">
        <v>15</v>
      </c>
      <c r="F80" t="s">
        <v>35</v>
      </c>
      <c r="G80" t="s">
        <v>36</v>
      </c>
      <c r="H80">
        <v>79</v>
      </c>
      <c r="I80">
        <v>12</v>
      </c>
      <c r="J80">
        <v>1</v>
      </c>
      <c r="K80">
        <v>14891</v>
      </c>
      <c r="L80" t="s">
        <v>28</v>
      </c>
    </row>
    <row r="81" spans="1:12" x14ac:dyDescent="0.2">
      <c r="A81" t="s">
        <v>115</v>
      </c>
      <c r="B81" s="2">
        <v>45722</v>
      </c>
      <c r="C81" t="s">
        <v>13</v>
      </c>
      <c r="D81" t="s">
        <v>14</v>
      </c>
      <c r="E81" t="s">
        <v>34</v>
      </c>
      <c r="F81" t="s">
        <v>23</v>
      </c>
      <c r="G81" t="s">
        <v>40</v>
      </c>
      <c r="H81">
        <v>97</v>
      </c>
      <c r="I81">
        <v>10</v>
      </c>
      <c r="J81">
        <v>4</v>
      </c>
      <c r="K81">
        <v>501</v>
      </c>
      <c r="L81" t="s">
        <v>28</v>
      </c>
    </row>
    <row r="82" spans="1:12" x14ac:dyDescent="0.2">
      <c r="A82" t="s">
        <v>116</v>
      </c>
      <c r="B82" s="2">
        <v>45805</v>
      </c>
      <c r="C82" t="s">
        <v>20</v>
      </c>
      <c r="D82" t="s">
        <v>21</v>
      </c>
      <c r="E82" t="s">
        <v>22</v>
      </c>
      <c r="F82" t="s">
        <v>35</v>
      </c>
      <c r="G82" t="s">
        <v>24</v>
      </c>
      <c r="H82">
        <v>125</v>
      </c>
      <c r="I82">
        <v>11</v>
      </c>
      <c r="J82">
        <v>4</v>
      </c>
      <c r="K82">
        <v>12244</v>
      </c>
      <c r="L82" t="s">
        <v>28</v>
      </c>
    </row>
    <row r="83" spans="1:12" x14ac:dyDescent="0.2">
      <c r="A83" t="s">
        <v>117</v>
      </c>
      <c r="B83" s="2">
        <v>45860</v>
      </c>
      <c r="C83" t="s">
        <v>13</v>
      </c>
      <c r="D83" t="s">
        <v>14</v>
      </c>
      <c r="E83" t="s">
        <v>15</v>
      </c>
      <c r="F83" t="s">
        <v>35</v>
      </c>
      <c r="G83" t="s">
        <v>40</v>
      </c>
      <c r="H83">
        <v>36</v>
      </c>
      <c r="I83">
        <v>6</v>
      </c>
      <c r="J83">
        <v>5</v>
      </c>
      <c r="K83">
        <v>17439</v>
      </c>
      <c r="L83" t="s">
        <v>28</v>
      </c>
    </row>
    <row r="84" spans="1:12" x14ac:dyDescent="0.2">
      <c r="A84" t="s">
        <v>118</v>
      </c>
      <c r="B84" s="2">
        <v>45730</v>
      </c>
      <c r="C84" t="s">
        <v>20</v>
      </c>
      <c r="D84" t="s">
        <v>21</v>
      </c>
      <c r="E84" t="s">
        <v>51</v>
      </c>
      <c r="F84" t="s">
        <v>16</v>
      </c>
      <c r="G84" t="s">
        <v>24</v>
      </c>
      <c r="H84">
        <v>45</v>
      </c>
      <c r="I84">
        <v>11</v>
      </c>
      <c r="J84">
        <v>2</v>
      </c>
      <c r="K84">
        <v>17408</v>
      </c>
      <c r="L84" t="s">
        <v>18</v>
      </c>
    </row>
    <row r="85" spans="1:12" x14ac:dyDescent="0.2">
      <c r="A85" t="s">
        <v>119</v>
      </c>
      <c r="B85" s="2">
        <v>45985</v>
      </c>
      <c r="C85" t="s">
        <v>32</v>
      </c>
      <c r="D85" t="s">
        <v>33</v>
      </c>
      <c r="E85" t="s">
        <v>15</v>
      </c>
      <c r="F85" t="s">
        <v>23</v>
      </c>
      <c r="G85" t="s">
        <v>36</v>
      </c>
      <c r="H85">
        <v>137</v>
      </c>
      <c r="I85">
        <v>8</v>
      </c>
      <c r="J85">
        <v>5</v>
      </c>
      <c r="K85">
        <v>6281</v>
      </c>
      <c r="L85" t="s">
        <v>28</v>
      </c>
    </row>
    <row r="86" spans="1:12" x14ac:dyDescent="0.2">
      <c r="A86" t="s">
        <v>120</v>
      </c>
      <c r="B86" s="2">
        <v>45866</v>
      </c>
      <c r="C86" t="s">
        <v>32</v>
      </c>
      <c r="D86" t="s">
        <v>33</v>
      </c>
      <c r="E86" t="s">
        <v>23</v>
      </c>
      <c r="F86" t="s">
        <v>35</v>
      </c>
      <c r="G86" t="s">
        <v>24</v>
      </c>
      <c r="H86">
        <v>32</v>
      </c>
      <c r="I86">
        <v>5</v>
      </c>
      <c r="J86">
        <v>1</v>
      </c>
      <c r="K86">
        <v>7015</v>
      </c>
      <c r="L86" t="s">
        <v>28</v>
      </c>
    </row>
    <row r="87" spans="1:12" x14ac:dyDescent="0.2">
      <c r="A87" t="s">
        <v>121</v>
      </c>
      <c r="B87" s="2">
        <v>45845</v>
      </c>
      <c r="C87" t="s">
        <v>26</v>
      </c>
      <c r="D87" t="s">
        <v>27</v>
      </c>
      <c r="E87" t="s">
        <v>15</v>
      </c>
      <c r="F87" t="s">
        <v>23</v>
      </c>
      <c r="G87" t="s">
        <v>30</v>
      </c>
      <c r="H87">
        <v>106</v>
      </c>
      <c r="I87">
        <v>9</v>
      </c>
      <c r="J87">
        <v>3</v>
      </c>
      <c r="K87">
        <v>6852</v>
      </c>
      <c r="L87" t="s">
        <v>28</v>
      </c>
    </row>
    <row r="88" spans="1:12" x14ac:dyDescent="0.2">
      <c r="A88" t="s">
        <v>122</v>
      </c>
      <c r="B88" s="2">
        <v>45671</v>
      </c>
      <c r="C88" t="s">
        <v>13</v>
      </c>
      <c r="D88" t="s">
        <v>14</v>
      </c>
      <c r="E88" t="s">
        <v>22</v>
      </c>
      <c r="F88" t="s">
        <v>16</v>
      </c>
      <c r="G88" t="s">
        <v>17</v>
      </c>
      <c r="H88">
        <v>98</v>
      </c>
      <c r="I88">
        <v>13</v>
      </c>
      <c r="J88">
        <v>1</v>
      </c>
      <c r="K88">
        <v>9615</v>
      </c>
      <c r="L88" t="s">
        <v>18</v>
      </c>
    </row>
    <row r="89" spans="1:12" x14ac:dyDescent="0.2">
      <c r="A89" t="s">
        <v>123</v>
      </c>
      <c r="B89" s="2">
        <v>45816</v>
      </c>
      <c r="C89" t="s">
        <v>26</v>
      </c>
      <c r="D89" t="s">
        <v>27</v>
      </c>
      <c r="E89" t="s">
        <v>51</v>
      </c>
      <c r="F89" t="s">
        <v>35</v>
      </c>
      <c r="G89" t="s">
        <v>17</v>
      </c>
      <c r="H89">
        <v>80</v>
      </c>
      <c r="I89">
        <v>5</v>
      </c>
      <c r="J89">
        <v>4</v>
      </c>
      <c r="K89">
        <v>2651</v>
      </c>
      <c r="L89" t="s">
        <v>28</v>
      </c>
    </row>
    <row r="90" spans="1:12" x14ac:dyDescent="0.2">
      <c r="A90" t="s">
        <v>124</v>
      </c>
      <c r="B90" s="2">
        <v>45876</v>
      </c>
      <c r="C90" t="s">
        <v>20</v>
      </c>
      <c r="D90" t="s">
        <v>21</v>
      </c>
      <c r="E90" t="s">
        <v>51</v>
      </c>
      <c r="F90" t="s">
        <v>16</v>
      </c>
      <c r="G90" t="s">
        <v>30</v>
      </c>
      <c r="H90">
        <v>37</v>
      </c>
      <c r="I90">
        <v>7</v>
      </c>
      <c r="J90">
        <v>3</v>
      </c>
      <c r="K90">
        <v>16591</v>
      </c>
      <c r="L90" t="s">
        <v>28</v>
      </c>
    </row>
    <row r="91" spans="1:12" x14ac:dyDescent="0.2">
      <c r="A91" t="s">
        <v>125</v>
      </c>
      <c r="B91" s="2">
        <v>45694</v>
      </c>
      <c r="C91" t="s">
        <v>44</v>
      </c>
      <c r="D91" t="s">
        <v>45</v>
      </c>
      <c r="E91" t="s">
        <v>34</v>
      </c>
      <c r="F91" t="s">
        <v>35</v>
      </c>
      <c r="G91" t="s">
        <v>36</v>
      </c>
      <c r="H91">
        <v>31</v>
      </c>
      <c r="I91">
        <v>1</v>
      </c>
      <c r="J91">
        <v>1</v>
      </c>
      <c r="K91">
        <v>6322</v>
      </c>
      <c r="L91" t="s">
        <v>28</v>
      </c>
    </row>
    <row r="92" spans="1:12" x14ac:dyDescent="0.2">
      <c r="A92" t="s">
        <v>126</v>
      </c>
      <c r="B92" s="2">
        <v>45949</v>
      </c>
      <c r="C92" t="s">
        <v>44</v>
      </c>
      <c r="D92" t="s">
        <v>45</v>
      </c>
      <c r="E92" t="s">
        <v>22</v>
      </c>
      <c r="F92" t="s">
        <v>23</v>
      </c>
      <c r="G92" t="s">
        <v>30</v>
      </c>
      <c r="H92">
        <v>120</v>
      </c>
      <c r="I92">
        <v>7</v>
      </c>
      <c r="J92">
        <v>5</v>
      </c>
      <c r="K92">
        <v>8600</v>
      </c>
      <c r="L92" t="s">
        <v>28</v>
      </c>
    </row>
    <row r="93" spans="1:12" x14ac:dyDescent="0.2">
      <c r="A93" t="s">
        <v>127</v>
      </c>
      <c r="B93" s="2">
        <v>45753</v>
      </c>
      <c r="C93" t="s">
        <v>26</v>
      </c>
      <c r="D93" t="s">
        <v>27</v>
      </c>
      <c r="E93" t="s">
        <v>22</v>
      </c>
      <c r="F93" t="s">
        <v>35</v>
      </c>
      <c r="G93" t="s">
        <v>17</v>
      </c>
      <c r="H93">
        <v>154</v>
      </c>
      <c r="I93">
        <v>1</v>
      </c>
      <c r="J93">
        <v>1</v>
      </c>
      <c r="K93">
        <v>3700</v>
      </c>
      <c r="L93" t="s">
        <v>18</v>
      </c>
    </row>
    <row r="94" spans="1:12" x14ac:dyDescent="0.2">
      <c r="A94" t="s">
        <v>128</v>
      </c>
      <c r="B94" s="2">
        <v>45965</v>
      </c>
      <c r="C94" t="s">
        <v>32</v>
      </c>
      <c r="D94" t="s">
        <v>33</v>
      </c>
      <c r="E94" t="s">
        <v>23</v>
      </c>
      <c r="F94" t="s">
        <v>23</v>
      </c>
      <c r="G94" t="s">
        <v>24</v>
      </c>
      <c r="H94">
        <v>141</v>
      </c>
      <c r="I94">
        <v>11</v>
      </c>
      <c r="J94">
        <v>5</v>
      </c>
      <c r="K94">
        <v>993</v>
      </c>
      <c r="L94" t="s">
        <v>18</v>
      </c>
    </row>
    <row r="95" spans="1:12" x14ac:dyDescent="0.2">
      <c r="A95" t="s">
        <v>129</v>
      </c>
      <c r="B95" s="2">
        <v>45956</v>
      </c>
      <c r="C95" t="s">
        <v>26</v>
      </c>
      <c r="D95" t="s">
        <v>27</v>
      </c>
      <c r="E95" t="s">
        <v>34</v>
      </c>
      <c r="F95" t="s">
        <v>35</v>
      </c>
      <c r="G95" t="s">
        <v>17</v>
      </c>
      <c r="H95">
        <v>116</v>
      </c>
      <c r="I95">
        <v>4</v>
      </c>
      <c r="J95">
        <v>1</v>
      </c>
      <c r="K95">
        <v>3899</v>
      </c>
      <c r="L95" t="s">
        <v>18</v>
      </c>
    </row>
    <row r="96" spans="1:12" x14ac:dyDescent="0.2">
      <c r="A96" t="s">
        <v>130</v>
      </c>
      <c r="B96" s="2">
        <v>45714</v>
      </c>
      <c r="C96" t="s">
        <v>26</v>
      </c>
      <c r="D96" t="s">
        <v>27</v>
      </c>
      <c r="E96" t="s">
        <v>51</v>
      </c>
      <c r="F96" t="s">
        <v>23</v>
      </c>
      <c r="G96" t="s">
        <v>30</v>
      </c>
      <c r="H96">
        <v>15</v>
      </c>
      <c r="I96">
        <v>8</v>
      </c>
      <c r="J96">
        <v>4</v>
      </c>
      <c r="K96">
        <v>8174</v>
      </c>
      <c r="L96" t="s">
        <v>18</v>
      </c>
    </row>
    <row r="97" spans="1:12" x14ac:dyDescent="0.2">
      <c r="A97" t="s">
        <v>131</v>
      </c>
      <c r="B97" s="2">
        <v>45814</v>
      </c>
      <c r="C97" t="s">
        <v>44</v>
      </c>
      <c r="D97" t="s">
        <v>45</v>
      </c>
      <c r="E97" t="s">
        <v>23</v>
      </c>
      <c r="F97" t="s">
        <v>35</v>
      </c>
      <c r="G97" t="s">
        <v>36</v>
      </c>
      <c r="H97">
        <v>114</v>
      </c>
      <c r="I97">
        <v>11</v>
      </c>
      <c r="J97">
        <v>1</v>
      </c>
      <c r="K97">
        <v>10663</v>
      </c>
      <c r="L97" t="s">
        <v>28</v>
      </c>
    </row>
    <row r="98" spans="1:12" x14ac:dyDescent="0.2">
      <c r="A98" t="s">
        <v>132</v>
      </c>
      <c r="B98" s="2">
        <v>46019</v>
      </c>
      <c r="C98" t="s">
        <v>32</v>
      </c>
      <c r="D98" t="s">
        <v>33</v>
      </c>
      <c r="E98" t="s">
        <v>34</v>
      </c>
      <c r="F98" t="s">
        <v>35</v>
      </c>
      <c r="G98" t="s">
        <v>36</v>
      </c>
      <c r="H98">
        <v>87</v>
      </c>
      <c r="I98">
        <v>13</v>
      </c>
      <c r="J98">
        <v>4</v>
      </c>
      <c r="K98">
        <v>16394</v>
      </c>
      <c r="L98" t="s">
        <v>28</v>
      </c>
    </row>
    <row r="99" spans="1:12" x14ac:dyDescent="0.2">
      <c r="A99" t="s">
        <v>133</v>
      </c>
      <c r="B99" s="2">
        <v>45915</v>
      </c>
      <c r="C99" t="s">
        <v>32</v>
      </c>
      <c r="D99" t="s">
        <v>33</v>
      </c>
      <c r="E99" t="s">
        <v>34</v>
      </c>
      <c r="F99" t="s">
        <v>16</v>
      </c>
      <c r="G99" t="s">
        <v>17</v>
      </c>
      <c r="H99">
        <v>49</v>
      </c>
      <c r="I99">
        <v>6</v>
      </c>
      <c r="J99">
        <v>1</v>
      </c>
      <c r="K99">
        <v>16177</v>
      </c>
      <c r="L99" t="s">
        <v>18</v>
      </c>
    </row>
    <row r="100" spans="1:12" x14ac:dyDescent="0.2">
      <c r="A100" t="s">
        <v>134</v>
      </c>
      <c r="B100" s="2">
        <v>45877</v>
      </c>
      <c r="C100" t="s">
        <v>26</v>
      </c>
      <c r="D100" t="s">
        <v>27</v>
      </c>
      <c r="E100" t="s">
        <v>22</v>
      </c>
      <c r="F100" t="s">
        <v>16</v>
      </c>
      <c r="G100" t="s">
        <v>17</v>
      </c>
      <c r="H100">
        <v>34</v>
      </c>
      <c r="I100">
        <v>4</v>
      </c>
      <c r="J100">
        <v>3</v>
      </c>
      <c r="K100">
        <v>15045</v>
      </c>
      <c r="L100" t="s">
        <v>28</v>
      </c>
    </row>
    <row r="101" spans="1:12" x14ac:dyDescent="0.2">
      <c r="A101" t="s">
        <v>135</v>
      </c>
      <c r="B101" s="2">
        <v>45715</v>
      </c>
      <c r="C101" t="s">
        <v>20</v>
      </c>
      <c r="D101" t="s">
        <v>21</v>
      </c>
      <c r="E101" t="s">
        <v>15</v>
      </c>
      <c r="F101" t="s">
        <v>16</v>
      </c>
      <c r="G101" t="s">
        <v>36</v>
      </c>
      <c r="H101">
        <v>69</v>
      </c>
      <c r="I101">
        <v>1</v>
      </c>
      <c r="J101">
        <v>4</v>
      </c>
      <c r="K101">
        <v>10099</v>
      </c>
      <c r="L101" t="s">
        <v>28</v>
      </c>
    </row>
    <row r="102" spans="1:12" x14ac:dyDescent="0.2">
      <c r="A102" t="s">
        <v>136</v>
      </c>
      <c r="B102" s="2">
        <v>45857</v>
      </c>
      <c r="C102" t="s">
        <v>44</v>
      </c>
      <c r="D102" t="s">
        <v>45</v>
      </c>
      <c r="E102" t="s">
        <v>51</v>
      </c>
      <c r="F102" t="s">
        <v>35</v>
      </c>
      <c r="G102" t="s">
        <v>17</v>
      </c>
      <c r="H102">
        <v>130</v>
      </c>
      <c r="I102">
        <v>8</v>
      </c>
      <c r="J102">
        <v>3</v>
      </c>
      <c r="K102">
        <v>7250</v>
      </c>
      <c r="L102" t="s">
        <v>28</v>
      </c>
    </row>
    <row r="103" spans="1:12" x14ac:dyDescent="0.2">
      <c r="A103" t="s">
        <v>137</v>
      </c>
      <c r="B103" s="2">
        <v>45701</v>
      </c>
      <c r="C103" t="s">
        <v>44</v>
      </c>
      <c r="D103" t="s">
        <v>45</v>
      </c>
      <c r="E103" t="s">
        <v>23</v>
      </c>
      <c r="F103" t="s">
        <v>16</v>
      </c>
      <c r="G103" t="s">
        <v>30</v>
      </c>
      <c r="H103">
        <v>80</v>
      </c>
      <c r="I103">
        <v>8</v>
      </c>
      <c r="J103">
        <v>1</v>
      </c>
      <c r="K103">
        <v>11614</v>
      </c>
      <c r="L103" t="s">
        <v>28</v>
      </c>
    </row>
    <row r="104" spans="1:12" x14ac:dyDescent="0.2">
      <c r="A104" t="s">
        <v>138</v>
      </c>
      <c r="B104" s="2">
        <v>45975</v>
      </c>
      <c r="C104" t="s">
        <v>44</v>
      </c>
      <c r="D104" t="s">
        <v>45</v>
      </c>
      <c r="E104" t="s">
        <v>23</v>
      </c>
      <c r="F104" t="s">
        <v>23</v>
      </c>
      <c r="G104" t="s">
        <v>17</v>
      </c>
      <c r="H104">
        <v>119</v>
      </c>
      <c r="I104">
        <v>6</v>
      </c>
      <c r="J104">
        <v>3</v>
      </c>
      <c r="K104">
        <v>10044</v>
      </c>
      <c r="L104" t="s">
        <v>28</v>
      </c>
    </row>
    <row r="105" spans="1:12" x14ac:dyDescent="0.2">
      <c r="A105" t="s">
        <v>139</v>
      </c>
      <c r="B105" s="2">
        <v>46009</v>
      </c>
      <c r="C105" t="s">
        <v>44</v>
      </c>
      <c r="D105" t="s">
        <v>45</v>
      </c>
      <c r="E105" t="s">
        <v>23</v>
      </c>
      <c r="F105" t="s">
        <v>23</v>
      </c>
      <c r="G105" t="s">
        <v>40</v>
      </c>
      <c r="H105">
        <v>18</v>
      </c>
      <c r="I105">
        <v>7</v>
      </c>
      <c r="J105">
        <v>1</v>
      </c>
      <c r="K105">
        <v>13592</v>
      </c>
      <c r="L105" t="s">
        <v>18</v>
      </c>
    </row>
    <row r="106" spans="1:12" x14ac:dyDescent="0.2">
      <c r="A106" t="s">
        <v>140</v>
      </c>
      <c r="B106" s="2">
        <v>45860</v>
      </c>
      <c r="C106" t="s">
        <v>20</v>
      </c>
      <c r="D106" t="s">
        <v>21</v>
      </c>
      <c r="E106" t="s">
        <v>51</v>
      </c>
      <c r="F106" t="s">
        <v>35</v>
      </c>
      <c r="G106" t="s">
        <v>24</v>
      </c>
      <c r="H106">
        <v>125</v>
      </c>
      <c r="I106">
        <v>3</v>
      </c>
      <c r="J106">
        <v>5</v>
      </c>
      <c r="K106">
        <v>2822</v>
      </c>
      <c r="L106" t="s">
        <v>28</v>
      </c>
    </row>
    <row r="107" spans="1:12" x14ac:dyDescent="0.2">
      <c r="A107" t="s">
        <v>141</v>
      </c>
      <c r="B107" s="2">
        <v>45665</v>
      </c>
      <c r="C107" t="s">
        <v>44</v>
      </c>
      <c r="D107" t="s">
        <v>45</v>
      </c>
      <c r="E107" t="s">
        <v>51</v>
      </c>
      <c r="F107" t="s">
        <v>23</v>
      </c>
      <c r="G107" t="s">
        <v>30</v>
      </c>
      <c r="H107">
        <v>9</v>
      </c>
      <c r="I107">
        <v>3</v>
      </c>
      <c r="J107">
        <v>3</v>
      </c>
      <c r="K107">
        <v>11113</v>
      </c>
      <c r="L107" t="s">
        <v>18</v>
      </c>
    </row>
    <row r="108" spans="1:12" x14ac:dyDescent="0.2">
      <c r="A108" t="s">
        <v>142</v>
      </c>
      <c r="B108" s="2">
        <v>45817</v>
      </c>
      <c r="C108" t="s">
        <v>44</v>
      </c>
      <c r="D108" t="s">
        <v>45</v>
      </c>
      <c r="E108" t="s">
        <v>51</v>
      </c>
      <c r="F108" t="s">
        <v>23</v>
      </c>
      <c r="G108" t="s">
        <v>30</v>
      </c>
      <c r="H108">
        <v>104</v>
      </c>
      <c r="I108">
        <v>4</v>
      </c>
      <c r="J108">
        <v>3</v>
      </c>
      <c r="K108">
        <v>5646</v>
      </c>
      <c r="L108" t="s">
        <v>28</v>
      </c>
    </row>
    <row r="109" spans="1:12" x14ac:dyDescent="0.2">
      <c r="A109" t="s">
        <v>143</v>
      </c>
      <c r="B109" s="2">
        <v>45760</v>
      </c>
      <c r="C109" t="s">
        <v>26</v>
      </c>
      <c r="D109" t="s">
        <v>27</v>
      </c>
      <c r="E109" t="s">
        <v>22</v>
      </c>
      <c r="F109" t="s">
        <v>23</v>
      </c>
      <c r="G109" t="s">
        <v>30</v>
      </c>
      <c r="H109">
        <v>98</v>
      </c>
      <c r="I109">
        <v>8</v>
      </c>
      <c r="J109">
        <v>1</v>
      </c>
      <c r="K109">
        <v>1664</v>
      </c>
      <c r="L109" t="s">
        <v>28</v>
      </c>
    </row>
    <row r="110" spans="1:12" x14ac:dyDescent="0.2">
      <c r="A110" t="s">
        <v>144</v>
      </c>
      <c r="B110" s="2">
        <v>45873</v>
      </c>
      <c r="C110" t="s">
        <v>20</v>
      </c>
      <c r="D110" t="s">
        <v>21</v>
      </c>
      <c r="E110" t="s">
        <v>34</v>
      </c>
      <c r="F110" t="s">
        <v>23</v>
      </c>
      <c r="G110" t="s">
        <v>40</v>
      </c>
      <c r="H110">
        <v>48</v>
      </c>
      <c r="I110">
        <v>3</v>
      </c>
      <c r="J110">
        <v>3</v>
      </c>
      <c r="K110">
        <v>531</v>
      </c>
      <c r="L110" t="s">
        <v>28</v>
      </c>
    </row>
    <row r="111" spans="1:12" x14ac:dyDescent="0.2">
      <c r="A111" t="s">
        <v>145</v>
      </c>
      <c r="B111" s="2">
        <v>45853</v>
      </c>
      <c r="C111" t="s">
        <v>20</v>
      </c>
      <c r="D111" t="s">
        <v>21</v>
      </c>
      <c r="E111" t="s">
        <v>22</v>
      </c>
      <c r="F111" t="s">
        <v>23</v>
      </c>
      <c r="G111" t="s">
        <v>17</v>
      </c>
      <c r="H111">
        <v>17</v>
      </c>
      <c r="I111">
        <v>6</v>
      </c>
      <c r="J111">
        <v>4</v>
      </c>
      <c r="K111">
        <v>8035</v>
      </c>
      <c r="L111" t="s">
        <v>28</v>
      </c>
    </row>
    <row r="112" spans="1:12" x14ac:dyDescent="0.2">
      <c r="A112" t="s">
        <v>146</v>
      </c>
      <c r="B112" s="2">
        <v>45728</v>
      </c>
      <c r="C112" t="s">
        <v>32</v>
      </c>
      <c r="D112" t="s">
        <v>33</v>
      </c>
      <c r="E112" t="s">
        <v>51</v>
      </c>
      <c r="F112" t="s">
        <v>35</v>
      </c>
      <c r="G112" t="s">
        <v>36</v>
      </c>
      <c r="H112">
        <v>31</v>
      </c>
      <c r="I112">
        <v>10</v>
      </c>
      <c r="J112">
        <v>1</v>
      </c>
      <c r="K112">
        <v>1236</v>
      </c>
      <c r="L112" t="s">
        <v>18</v>
      </c>
    </row>
    <row r="113" spans="1:12" x14ac:dyDescent="0.2">
      <c r="A113" t="s">
        <v>147</v>
      </c>
      <c r="B113" s="2">
        <v>45933</v>
      </c>
      <c r="C113" t="s">
        <v>26</v>
      </c>
      <c r="D113" t="s">
        <v>27</v>
      </c>
      <c r="E113" t="s">
        <v>22</v>
      </c>
      <c r="F113" t="s">
        <v>35</v>
      </c>
      <c r="G113" t="s">
        <v>36</v>
      </c>
      <c r="H113">
        <v>118</v>
      </c>
      <c r="I113">
        <v>13</v>
      </c>
      <c r="J113">
        <v>5</v>
      </c>
      <c r="K113">
        <v>13348</v>
      </c>
      <c r="L113" t="s">
        <v>28</v>
      </c>
    </row>
    <row r="114" spans="1:12" x14ac:dyDescent="0.2">
      <c r="A114" t="s">
        <v>148</v>
      </c>
      <c r="B114" s="2">
        <v>45794</v>
      </c>
      <c r="C114" t="s">
        <v>20</v>
      </c>
      <c r="D114" t="s">
        <v>21</v>
      </c>
      <c r="E114" t="s">
        <v>22</v>
      </c>
      <c r="F114" t="s">
        <v>16</v>
      </c>
      <c r="G114" t="s">
        <v>36</v>
      </c>
      <c r="H114">
        <v>139</v>
      </c>
      <c r="I114">
        <v>7</v>
      </c>
      <c r="J114">
        <v>3</v>
      </c>
      <c r="K114">
        <v>17025</v>
      </c>
      <c r="L114" t="s">
        <v>28</v>
      </c>
    </row>
    <row r="115" spans="1:12" x14ac:dyDescent="0.2">
      <c r="A115" t="s">
        <v>149</v>
      </c>
      <c r="B115" s="2">
        <v>45739</v>
      </c>
      <c r="C115" t="s">
        <v>20</v>
      </c>
      <c r="D115" t="s">
        <v>21</v>
      </c>
      <c r="E115" t="s">
        <v>22</v>
      </c>
      <c r="F115" t="s">
        <v>23</v>
      </c>
      <c r="G115" t="s">
        <v>30</v>
      </c>
      <c r="H115">
        <v>92</v>
      </c>
      <c r="I115">
        <v>10</v>
      </c>
      <c r="J115">
        <v>2</v>
      </c>
      <c r="K115">
        <v>13680</v>
      </c>
      <c r="L115" t="s">
        <v>28</v>
      </c>
    </row>
    <row r="116" spans="1:12" x14ac:dyDescent="0.2">
      <c r="A116" t="s">
        <v>150</v>
      </c>
      <c r="B116" s="2">
        <v>45874</v>
      </c>
      <c r="C116" t="s">
        <v>20</v>
      </c>
      <c r="D116" t="s">
        <v>21</v>
      </c>
      <c r="E116" t="s">
        <v>15</v>
      </c>
      <c r="F116" t="s">
        <v>23</v>
      </c>
      <c r="G116" t="s">
        <v>40</v>
      </c>
      <c r="H116">
        <v>20</v>
      </c>
      <c r="I116">
        <v>4</v>
      </c>
      <c r="J116">
        <v>2</v>
      </c>
      <c r="K116">
        <v>16300</v>
      </c>
      <c r="L116" t="s">
        <v>28</v>
      </c>
    </row>
    <row r="117" spans="1:12" x14ac:dyDescent="0.2">
      <c r="A117" t="s">
        <v>151</v>
      </c>
      <c r="B117" s="2">
        <v>45700</v>
      </c>
      <c r="C117" t="s">
        <v>20</v>
      </c>
      <c r="D117" t="s">
        <v>21</v>
      </c>
      <c r="E117" t="s">
        <v>15</v>
      </c>
      <c r="F117" t="s">
        <v>16</v>
      </c>
      <c r="G117" t="s">
        <v>36</v>
      </c>
      <c r="H117">
        <v>131</v>
      </c>
      <c r="I117">
        <v>9</v>
      </c>
      <c r="J117">
        <v>3</v>
      </c>
      <c r="K117">
        <v>3545</v>
      </c>
      <c r="L117" t="s">
        <v>28</v>
      </c>
    </row>
    <row r="118" spans="1:12" x14ac:dyDescent="0.2">
      <c r="A118" t="s">
        <v>152</v>
      </c>
      <c r="B118" s="2">
        <v>45840</v>
      </c>
      <c r="C118" t="s">
        <v>44</v>
      </c>
      <c r="D118" t="s">
        <v>45</v>
      </c>
      <c r="E118" t="s">
        <v>15</v>
      </c>
      <c r="F118" t="s">
        <v>35</v>
      </c>
      <c r="G118" t="s">
        <v>17</v>
      </c>
      <c r="H118">
        <v>51</v>
      </c>
      <c r="I118">
        <v>11</v>
      </c>
      <c r="J118">
        <v>4</v>
      </c>
      <c r="K118">
        <v>8185</v>
      </c>
      <c r="L118" t="s">
        <v>28</v>
      </c>
    </row>
    <row r="119" spans="1:12" x14ac:dyDescent="0.2">
      <c r="A119" t="s">
        <v>153</v>
      </c>
      <c r="B119" s="2">
        <v>45849</v>
      </c>
      <c r="C119" t="s">
        <v>13</v>
      </c>
      <c r="D119" t="s">
        <v>14</v>
      </c>
      <c r="E119" t="s">
        <v>23</v>
      </c>
      <c r="F119" t="s">
        <v>35</v>
      </c>
      <c r="G119" t="s">
        <v>40</v>
      </c>
      <c r="H119">
        <v>12</v>
      </c>
      <c r="I119">
        <v>11</v>
      </c>
      <c r="J119">
        <v>4</v>
      </c>
      <c r="K119">
        <v>4073</v>
      </c>
      <c r="L119" t="s">
        <v>28</v>
      </c>
    </row>
    <row r="120" spans="1:12" x14ac:dyDescent="0.2">
      <c r="A120" t="s">
        <v>154</v>
      </c>
      <c r="B120" s="2">
        <v>45955</v>
      </c>
      <c r="C120" t="s">
        <v>44</v>
      </c>
      <c r="D120" t="s">
        <v>45</v>
      </c>
      <c r="E120" t="s">
        <v>23</v>
      </c>
      <c r="F120" t="s">
        <v>23</v>
      </c>
      <c r="G120" t="s">
        <v>30</v>
      </c>
      <c r="H120">
        <v>13</v>
      </c>
      <c r="I120">
        <v>1</v>
      </c>
      <c r="J120">
        <v>2</v>
      </c>
      <c r="K120">
        <v>11899</v>
      </c>
      <c r="L120" t="s">
        <v>28</v>
      </c>
    </row>
    <row r="121" spans="1:12" x14ac:dyDescent="0.2">
      <c r="A121" t="s">
        <v>155</v>
      </c>
      <c r="B121" s="2">
        <v>45895</v>
      </c>
      <c r="C121" t="s">
        <v>26</v>
      </c>
      <c r="D121" t="s">
        <v>27</v>
      </c>
      <c r="E121" t="s">
        <v>51</v>
      </c>
      <c r="F121" t="s">
        <v>23</v>
      </c>
      <c r="G121" t="s">
        <v>40</v>
      </c>
      <c r="H121">
        <v>34</v>
      </c>
      <c r="I121">
        <v>11</v>
      </c>
      <c r="J121">
        <v>2</v>
      </c>
      <c r="K121">
        <v>3634</v>
      </c>
      <c r="L121" t="s">
        <v>28</v>
      </c>
    </row>
    <row r="122" spans="1:12" x14ac:dyDescent="0.2">
      <c r="A122" t="s">
        <v>156</v>
      </c>
      <c r="B122" s="2">
        <v>45863</v>
      </c>
      <c r="C122" t="s">
        <v>20</v>
      </c>
      <c r="D122" t="s">
        <v>21</v>
      </c>
      <c r="E122" t="s">
        <v>51</v>
      </c>
      <c r="F122" t="s">
        <v>16</v>
      </c>
      <c r="G122" t="s">
        <v>24</v>
      </c>
      <c r="H122">
        <v>79</v>
      </c>
      <c r="I122">
        <v>7</v>
      </c>
      <c r="J122">
        <v>4</v>
      </c>
      <c r="K122">
        <v>5298</v>
      </c>
      <c r="L122" t="s">
        <v>28</v>
      </c>
    </row>
    <row r="123" spans="1:12" x14ac:dyDescent="0.2">
      <c r="A123" t="s">
        <v>157</v>
      </c>
      <c r="B123" s="2">
        <v>45842</v>
      </c>
      <c r="C123" t="s">
        <v>44</v>
      </c>
      <c r="D123" t="s">
        <v>45</v>
      </c>
      <c r="E123" t="s">
        <v>22</v>
      </c>
      <c r="F123" t="s">
        <v>16</v>
      </c>
      <c r="G123" t="s">
        <v>24</v>
      </c>
      <c r="H123">
        <v>35</v>
      </c>
      <c r="I123">
        <v>0</v>
      </c>
      <c r="J123">
        <v>3</v>
      </c>
      <c r="K123">
        <v>11694</v>
      </c>
      <c r="L123" t="s">
        <v>28</v>
      </c>
    </row>
    <row r="124" spans="1:12" x14ac:dyDescent="0.2">
      <c r="A124" t="s">
        <v>158</v>
      </c>
      <c r="B124" s="2">
        <v>45884</v>
      </c>
      <c r="C124" t="s">
        <v>44</v>
      </c>
      <c r="D124" t="s">
        <v>45</v>
      </c>
      <c r="E124" t="s">
        <v>15</v>
      </c>
      <c r="F124" t="s">
        <v>23</v>
      </c>
      <c r="G124" t="s">
        <v>24</v>
      </c>
      <c r="H124">
        <v>83</v>
      </c>
      <c r="I124">
        <v>3</v>
      </c>
      <c r="J124">
        <v>4</v>
      </c>
      <c r="K124">
        <v>14250</v>
      </c>
      <c r="L124" t="s">
        <v>28</v>
      </c>
    </row>
    <row r="125" spans="1:12" x14ac:dyDescent="0.2">
      <c r="A125" t="s">
        <v>159</v>
      </c>
      <c r="B125" s="2">
        <v>45706</v>
      </c>
      <c r="C125" t="s">
        <v>32</v>
      </c>
      <c r="D125" t="s">
        <v>33</v>
      </c>
      <c r="E125" t="s">
        <v>22</v>
      </c>
      <c r="F125" t="s">
        <v>23</v>
      </c>
      <c r="G125" t="s">
        <v>17</v>
      </c>
      <c r="H125">
        <v>39</v>
      </c>
      <c r="I125">
        <v>1</v>
      </c>
      <c r="J125">
        <v>3</v>
      </c>
      <c r="K125">
        <v>2530</v>
      </c>
      <c r="L125" t="s">
        <v>28</v>
      </c>
    </row>
    <row r="126" spans="1:12" x14ac:dyDescent="0.2">
      <c r="A126" t="s">
        <v>160</v>
      </c>
      <c r="B126" s="2">
        <v>45803</v>
      </c>
      <c r="C126" t="s">
        <v>13</v>
      </c>
      <c r="D126" t="s">
        <v>14</v>
      </c>
      <c r="E126" t="s">
        <v>23</v>
      </c>
      <c r="F126" t="s">
        <v>35</v>
      </c>
      <c r="G126" t="s">
        <v>36</v>
      </c>
      <c r="H126">
        <v>124</v>
      </c>
      <c r="I126">
        <v>9</v>
      </c>
      <c r="J126">
        <v>3</v>
      </c>
      <c r="K126">
        <v>17132</v>
      </c>
      <c r="L126" t="s">
        <v>28</v>
      </c>
    </row>
    <row r="127" spans="1:12" x14ac:dyDescent="0.2">
      <c r="A127" t="s">
        <v>161</v>
      </c>
      <c r="B127" s="2">
        <v>45725</v>
      </c>
      <c r="C127" t="s">
        <v>20</v>
      </c>
      <c r="D127" t="s">
        <v>21</v>
      </c>
      <c r="E127" t="s">
        <v>23</v>
      </c>
      <c r="F127" t="s">
        <v>35</v>
      </c>
      <c r="G127" t="s">
        <v>17</v>
      </c>
      <c r="H127">
        <v>9</v>
      </c>
      <c r="I127">
        <v>2</v>
      </c>
      <c r="J127">
        <v>3</v>
      </c>
      <c r="K127">
        <v>4359</v>
      </c>
      <c r="L127" t="s">
        <v>28</v>
      </c>
    </row>
    <row r="128" spans="1:12" x14ac:dyDescent="0.2">
      <c r="A128" t="s">
        <v>162</v>
      </c>
      <c r="B128" s="2">
        <v>45885</v>
      </c>
      <c r="C128" t="s">
        <v>26</v>
      </c>
      <c r="D128" t="s">
        <v>27</v>
      </c>
      <c r="E128" t="s">
        <v>23</v>
      </c>
      <c r="F128" t="s">
        <v>23</v>
      </c>
      <c r="G128" t="s">
        <v>40</v>
      </c>
      <c r="H128">
        <v>57</v>
      </c>
      <c r="I128">
        <v>0</v>
      </c>
      <c r="J128">
        <v>2</v>
      </c>
      <c r="K128">
        <v>10200</v>
      </c>
      <c r="L128" t="s">
        <v>28</v>
      </c>
    </row>
    <row r="129" spans="1:12" x14ac:dyDescent="0.2">
      <c r="A129" t="s">
        <v>163</v>
      </c>
      <c r="B129" s="2">
        <v>45791</v>
      </c>
      <c r="C129" t="s">
        <v>13</v>
      </c>
      <c r="D129" t="s">
        <v>14</v>
      </c>
      <c r="E129" t="s">
        <v>15</v>
      </c>
      <c r="F129" t="s">
        <v>35</v>
      </c>
      <c r="G129" t="s">
        <v>30</v>
      </c>
      <c r="H129">
        <v>84</v>
      </c>
      <c r="I129">
        <v>13</v>
      </c>
      <c r="J129">
        <v>5</v>
      </c>
      <c r="K129">
        <v>3468</v>
      </c>
      <c r="L129" t="s">
        <v>28</v>
      </c>
    </row>
    <row r="130" spans="1:12" x14ac:dyDescent="0.2">
      <c r="A130" t="s">
        <v>164</v>
      </c>
      <c r="B130" s="2">
        <v>45844</v>
      </c>
      <c r="C130" t="s">
        <v>32</v>
      </c>
      <c r="D130" t="s">
        <v>33</v>
      </c>
      <c r="E130" t="s">
        <v>51</v>
      </c>
      <c r="F130" t="s">
        <v>23</v>
      </c>
      <c r="G130" t="s">
        <v>40</v>
      </c>
      <c r="H130">
        <v>46</v>
      </c>
      <c r="I130">
        <v>13</v>
      </c>
      <c r="J130">
        <v>5</v>
      </c>
      <c r="K130">
        <v>606</v>
      </c>
      <c r="L130" t="s">
        <v>28</v>
      </c>
    </row>
    <row r="131" spans="1:12" x14ac:dyDescent="0.2">
      <c r="A131" t="s">
        <v>165</v>
      </c>
      <c r="B131" s="2">
        <v>45952</v>
      </c>
      <c r="C131" t="s">
        <v>32</v>
      </c>
      <c r="D131" t="s">
        <v>33</v>
      </c>
      <c r="E131" t="s">
        <v>51</v>
      </c>
      <c r="F131" t="s">
        <v>16</v>
      </c>
      <c r="G131" t="s">
        <v>36</v>
      </c>
      <c r="H131">
        <v>156</v>
      </c>
      <c r="I131">
        <v>7</v>
      </c>
      <c r="J131">
        <v>5</v>
      </c>
      <c r="K131">
        <v>17646</v>
      </c>
      <c r="L131" t="s">
        <v>18</v>
      </c>
    </row>
    <row r="132" spans="1:12" x14ac:dyDescent="0.2">
      <c r="A132" t="s">
        <v>166</v>
      </c>
      <c r="B132" s="2">
        <v>45669</v>
      </c>
      <c r="C132" t="s">
        <v>20</v>
      </c>
      <c r="D132" t="s">
        <v>21</v>
      </c>
      <c r="E132" t="s">
        <v>51</v>
      </c>
      <c r="F132" t="s">
        <v>35</v>
      </c>
      <c r="G132" t="s">
        <v>17</v>
      </c>
      <c r="H132">
        <v>45</v>
      </c>
      <c r="I132">
        <v>13</v>
      </c>
      <c r="J132">
        <v>4</v>
      </c>
      <c r="K132">
        <v>8603</v>
      </c>
      <c r="L132" t="s">
        <v>28</v>
      </c>
    </row>
    <row r="133" spans="1:12" x14ac:dyDescent="0.2">
      <c r="A133" t="s">
        <v>167</v>
      </c>
      <c r="B133" s="2">
        <v>45724</v>
      </c>
      <c r="C133" t="s">
        <v>32</v>
      </c>
      <c r="D133" t="s">
        <v>33</v>
      </c>
      <c r="E133" t="s">
        <v>23</v>
      </c>
      <c r="F133" t="s">
        <v>23</v>
      </c>
      <c r="G133" t="s">
        <v>17</v>
      </c>
      <c r="H133">
        <v>110</v>
      </c>
      <c r="I133">
        <v>1</v>
      </c>
      <c r="J133">
        <v>2</v>
      </c>
      <c r="K133">
        <v>3393</v>
      </c>
      <c r="L133" t="s">
        <v>28</v>
      </c>
    </row>
    <row r="134" spans="1:12" x14ac:dyDescent="0.2">
      <c r="A134" t="s">
        <v>168</v>
      </c>
      <c r="B134" s="2">
        <v>45924</v>
      </c>
      <c r="C134" t="s">
        <v>32</v>
      </c>
      <c r="D134" t="s">
        <v>33</v>
      </c>
      <c r="E134" t="s">
        <v>34</v>
      </c>
      <c r="F134" t="s">
        <v>23</v>
      </c>
      <c r="G134" t="s">
        <v>30</v>
      </c>
      <c r="H134">
        <v>137</v>
      </c>
      <c r="I134">
        <v>0</v>
      </c>
      <c r="J134">
        <v>3</v>
      </c>
      <c r="K134">
        <v>11139</v>
      </c>
      <c r="L134" t="s">
        <v>18</v>
      </c>
    </row>
    <row r="135" spans="1:12" x14ac:dyDescent="0.2">
      <c r="A135" t="s">
        <v>169</v>
      </c>
      <c r="B135" s="2">
        <v>45816</v>
      </c>
      <c r="C135" t="s">
        <v>20</v>
      </c>
      <c r="D135" t="s">
        <v>21</v>
      </c>
      <c r="E135" t="s">
        <v>15</v>
      </c>
      <c r="F135" t="s">
        <v>35</v>
      </c>
      <c r="G135" t="s">
        <v>24</v>
      </c>
      <c r="H135">
        <v>142</v>
      </c>
      <c r="I135">
        <v>11</v>
      </c>
      <c r="J135">
        <v>1</v>
      </c>
      <c r="K135">
        <v>13753</v>
      </c>
      <c r="L135" t="s">
        <v>28</v>
      </c>
    </row>
    <row r="136" spans="1:12" x14ac:dyDescent="0.2">
      <c r="A136" t="s">
        <v>170</v>
      </c>
      <c r="B136" s="2">
        <v>45667</v>
      </c>
      <c r="C136" t="s">
        <v>44</v>
      </c>
      <c r="D136" t="s">
        <v>45</v>
      </c>
      <c r="E136" t="s">
        <v>34</v>
      </c>
      <c r="F136" t="s">
        <v>35</v>
      </c>
      <c r="G136" t="s">
        <v>17</v>
      </c>
      <c r="H136">
        <v>57</v>
      </c>
      <c r="I136">
        <v>11</v>
      </c>
      <c r="J136">
        <v>4</v>
      </c>
      <c r="K136">
        <v>6703</v>
      </c>
      <c r="L136" t="s">
        <v>28</v>
      </c>
    </row>
    <row r="137" spans="1:12" x14ac:dyDescent="0.2">
      <c r="A137" t="s">
        <v>171</v>
      </c>
      <c r="B137" s="2">
        <v>45740</v>
      </c>
      <c r="C137" t="s">
        <v>13</v>
      </c>
      <c r="D137" t="s">
        <v>14</v>
      </c>
      <c r="E137" t="s">
        <v>22</v>
      </c>
      <c r="F137" t="s">
        <v>23</v>
      </c>
      <c r="G137" t="s">
        <v>17</v>
      </c>
      <c r="H137">
        <v>11</v>
      </c>
      <c r="I137">
        <v>8</v>
      </c>
      <c r="J137">
        <v>5</v>
      </c>
      <c r="K137">
        <v>2712</v>
      </c>
      <c r="L137" t="s">
        <v>28</v>
      </c>
    </row>
    <row r="138" spans="1:12" x14ac:dyDescent="0.2">
      <c r="A138" t="s">
        <v>172</v>
      </c>
      <c r="B138" s="2">
        <v>45915</v>
      </c>
      <c r="C138" t="s">
        <v>44</v>
      </c>
      <c r="D138" t="s">
        <v>45</v>
      </c>
      <c r="E138" t="s">
        <v>34</v>
      </c>
      <c r="F138" t="s">
        <v>23</v>
      </c>
      <c r="G138" t="s">
        <v>24</v>
      </c>
      <c r="H138">
        <v>137</v>
      </c>
      <c r="I138">
        <v>9</v>
      </c>
      <c r="J138">
        <v>3</v>
      </c>
      <c r="K138">
        <v>6704</v>
      </c>
      <c r="L138" t="s">
        <v>28</v>
      </c>
    </row>
    <row r="139" spans="1:12" x14ac:dyDescent="0.2">
      <c r="A139" t="s">
        <v>173</v>
      </c>
      <c r="B139" s="2">
        <v>45879</v>
      </c>
      <c r="C139" t="s">
        <v>13</v>
      </c>
      <c r="D139" t="s">
        <v>14</v>
      </c>
      <c r="E139" t="s">
        <v>34</v>
      </c>
      <c r="F139" t="s">
        <v>23</v>
      </c>
      <c r="G139" t="s">
        <v>17</v>
      </c>
      <c r="H139">
        <v>97</v>
      </c>
      <c r="I139">
        <v>1</v>
      </c>
      <c r="J139">
        <v>4</v>
      </c>
      <c r="K139">
        <v>13403</v>
      </c>
      <c r="L139" t="s">
        <v>28</v>
      </c>
    </row>
    <row r="140" spans="1:12" x14ac:dyDescent="0.2">
      <c r="A140" t="s">
        <v>174</v>
      </c>
      <c r="B140" s="2">
        <v>45658</v>
      </c>
      <c r="C140" t="s">
        <v>32</v>
      </c>
      <c r="D140" t="s">
        <v>33</v>
      </c>
      <c r="E140" t="s">
        <v>34</v>
      </c>
      <c r="F140" t="s">
        <v>16</v>
      </c>
      <c r="G140" t="s">
        <v>40</v>
      </c>
      <c r="H140">
        <v>38</v>
      </c>
      <c r="I140">
        <v>5</v>
      </c>
      <c r="J140">
        <v>3</v>
      </c>
      <c r="K140">
        <v>14925</v>
      </c>
      <c r="L140" t="s">
        <v>18</v>
      </c>
    </row>
    <row r="141" spans="1:12" x14ac:dyDescent="0.2">
      <c r="A141" t="s">
        <v>175</v>
      </c>
      <c r="B141" s="2">
        <v>45967</v>
      </c>
      <c r="C141" t="s">
        <v>26</v>
      </c>
      <c r="D141" t="s">
        <v>27</v>
      </c>
      <c r="E141" t="s">
        <v>51</v>
      </c>
      <c r="F141" t="s">
        <v>16</v>
      </c>
      <c r="G141" t="s">
        <v>40</v>
      </c>
      <c r="H141">
        <v>128</v>
      </c>
      <c r="I141">
        <v>9</v>
      </c>
      <c r="J141">
        <v>2</v>
      </c>
      <c r="K141">
        <v>15078</v>
      </c>
      <c r="L141" t="s">
        <v>28</v>
      </c>
    </row>
    <row r="142" spans="1:12" x14ac:dyDescent="0.2">
      <c r="A142" t="s">
        <v>176</v>
      </c>
      <c r="B142" s="2">
        <v>45803</v>
      </c>
      <c r="C142" t="s">
        <v>20</v>
      </c>
      <c r="D142" t="s">
        <v>21</v>
      </c>
      <c r="E142" t="s">
        <v>34</v>
      </c>
      <c r="F142" t="s">
        <v>16</v>
      </c>
      <c r="G142" t="s">
        <v>30</v>
      </c>
      <c r="H142">
        <v>79</v>
      </c>
      <c r="I142">
        <v>4</v>
      </c>
      <c r="J142">
        <v>3</v>
      </c>
      <c r="K142">
        <v>13665</v>
      </c>
      <c r="L142" t="s">
        <v>18</v>
      </c>
    </row>
    <row r="143" spans="1:12" x14ac:dyDescent="0.2">
      <c r="A143" t="s">
        <v>177</v>
      </c>
      <c r="B143" s="2">
        <v>45802</v>
      </c>
      <c r="C143" t="s">
        <v>20</v>
      </c>
      <c r="D143" t="s">
        <v>21</v>
      </c>
      <c r="E143" t="s">
        <v>15</v>
      </c>
      <c r="F143" t="s">
        <v>35</v>
      </c>
      <c r="G143" t="s">
        <v>17</v>
      </c>
      <c r="H143">
        <v>133</v>
      </c>
      <c r="I143">
        <v>1</v>
      </c>
      <c r="J143">
        <v>3</v>
      </c>
      <c r="K143">
        <v>410</v>
      </c>
      <c r="L143" t="s">
        <v>28</v>
      </c>
    </row>
    <row r="144" spans="1:12" x14ac:dyDescent="0.2">
      <c r="A144" t="s">
        <v>178</v>
      </c>
      <c r="B144" s="2">
        <v>45970</v>
      </c>
      <c r="C144" t="s">
        <v>32</v>
      </c>
      <c r="D144" t="s">
        <v>33</v>
      </c>
      <c r="E144" t="s">
        <v>23</v>
      </c>
      <c r="F144" t="s">
        <v>16</v>
      </c>
      <c r="G144" t="s">
        <v>40</v>
      </c>
      <c r="H144">
        <v>83</v>
      </c>
      <c r="I144">
        <v>13</v>
      </c>
      <c r="J144">
        <v>1</v>
      </c>
      <c r="K144">
        <v>12850</v>
      </c>
      <c r="L144" t="s">
        <v>18</v>
      </c>
    </row>
    <row r="145" spans="1:12" x14ac:dyDescent="0.2">
      <c r="A145" t="s">
        <v>179</v>
      </c>
      <c r="B145" s="2">
        <v>45974</v>
      </c>
      <c r="C145" t="s">
        <v>20</v>
      </c>
      <c r="D145" t="s">
        <v>21</v>
      </c>
      <c r="E145" t="s">
        <v>15</v>
      </c>
      <c r="F145" t="s">
        <v>23</v>
      </c>
      <c r="G145" t="s">
        <v>24</v>
      </c>
      <c r="H145">
        <v>157</v>
      </c>
      <c r="I145">
        <v>2</v>
      </c>
      <c r="J145">
        <v>2</v>
      </c>
      <c r="K145">
        <v>15635</v>
      </c>
      <c r="L145" t="s">
        <v>28</v>
      </c>
    </row>
    <row r="146" spans="1:12" x14ac:dyDescent="0.2">
      <c r="A146" t="s">
        <v>180</v>
      </c>
      <c r="B146" s="2">
        <v>45772</v>
      </c>
      <c r="C146" t="s">
        <v>26</v>
      </c>
      <c r="D146" t="s">
        <v>27</v>
      </c>
      <c r="E146" t="s">
        <v>15</v>
      </c>
      <c r="F146" t="s">
        <v>16</v>
      </c>
      <c r="G146" t="s">
        <v>36</v>
      </c>
      <c r="H146">
        <v>154</v>
      </c>
      <c r="I146">
        <v>10</v>
      </c>
      <c r="J146">
        <v>4</v>
      </c>
      <c r="K146">
        <v>12588</v>
      </c>
      <c r="L146" t="s">
        <v>18</v>
      </c>
    </row>
    <row r="147" spans="1:12" x14ac:dyDescent="0.2">
      <c r="A147" t="s">
        <v>181</v>
      </c>
      <c r="B147" s="2">
        <v>45803</v>
      </c>
      <c r="C147" t="s">
        <v>13</v>
      </c>
      <c r="D147" t="s">
        <v>14</v>
      </c>
      <c r="E147" t="s">
        <v>34</v>
      </c>
      <c r="F147" t="s">
        <v>16</v>
      </c>
      <c r="G147" t="s">
        <v>30</v>
      </c>
      <c r="H147">
        <v>104</v>
      </c>
      <c r="I147">
        <v>3</v>
      </c>
      <c r="J147">
        <v>2</v>
      </c>
      <c r="K147">
        <v>11843</v>
      </c>
      <c r="L147" t="s">
        <v>28</v>
      </c>
    </row>
    <row r="148" spans="1:12" x14ac:dyDescent="0.2">
      <c r="A148" t="s">
        <v>182</v>
      </c>
      <c r="B148" s="2">
        <v>45872</v>
      </c>
      <c r="C148" t="s">
        <v>44</v>
      </c>
      <c r="D148" t="s">
        <v>45</v>
      </c>
      <c r="E148" t="s">
        <v>51</v>
      </c>
      <c r="F148" t="s">
        <v>35</v>
      </c>
      <c r="G148" t="s">
        <v>30</v>
      </c>
      <c r="H148">
        <v>99</v>
      </c>
      <c r="I148">
        <v>11</v>
      </c>
      <c r="J148">
        <v>4</v>
      </c>
      <c r="K148">
        <v>16507</v>
      </c>
      <c r="L148" t="s">
        <v>18</v>
      </c>
    </row>
    <row r="149" spans="1:12" x14ac:dyDescent="0.2">
      <c r="A149" t="s">
        <v>183</v>
      </c>
      <c r="B149" s="2">
        <v>45832</v>
      </c>
      <c r="C149" t="s">
        <v>32</v>
      </c>
      <c r="D149" t="s">
        <v>33</v>
      </c>
      <c r="E149" t="s">
        <v>23</v>
      </c>
      <c r="F149" t="s">
        <v>23</v>
      </c>
      <c r="G149" t="s">
        <v>24</v>
      </c>
      <c r="H149">
        <v>83</v>
      </c>
      <c r="I149">
        <v>5</v>
      </c>
      <c r="J149">
        <v>3</v>
      </c>
      <c r="K149">
        <v>2350</v>
      </c>
      <c r="L149" t="s">
        <v>28</v>
      </c>
    </row>
    <row r="150" spans="1:12" x14ac:dyDescent="0.2">
      <c r="A150" t="s">
        <v>184</v>
      </c>
      <c r="B150" s="2">
        <v>45803</v>
      </c>
      <c r="C150" t="s">
        <v>44</v>
      </c>
      <c r="D150" t="s">
        <v>45</v>
      </c>
      <c r="E150" t="s">
        <v>51</v>
      </c>
      <c r="F150" t="s">
        <v>16</v>
      </c>
      <c r="G150" t="s">
        <v>36</v>
      </c>
      <c r="H150">
        <v>139</v>
      </c>
      <c r="I150">
        <v>6</v>
      </c>
      <c r="J150">
        <v>5</v>
      </c>
      <c r="K150">
        <v>11533</v>
      </c>
      <c r="L150" t="s">
        <v>28</v>
      </c>
    </row>
    <row r="151" spans="1:12" x14ac:dyDescent="0.2">
      <c r="A151" t="s">
        <v>185</v>
      </c>
      <c r="B151" s="2">
        <v>45798</v>
      </c>
      <c r="C151" t="s">
        <v>32</v>
      </c>
      <c r="D151" t="s">
        <v>33</v>
      </c>
      <c r="E151" t="s">
        <v>22</v>
      </c>
      <c r="F151" t="s">
        <v>16</v>
      </c>
      <c r="G151" t="s">
        <v>24</v>
      </c>
      <c r="H151">
        <v>59</v>
      </c>
      <c r="I151">
        <v>6</v>
      </c>
      <c r="J151">
        <v>1</v>
      </c>
      <c r="K151">
        <v>11445</v>
      </c>
      <c r="L151" t="s">
        <v>18</v>
      </c>
    </row>
    <row r="152" spans="1:12" x14ac:dyDescent="0.2">
      <c r="A152" t="s">
        <v>186</v>
      </c>
      <c r="B152" s="2">
        <v>45943</v>
      </c>
      <c r="C152" t="s">
        <v>26</v>
      </c>
      <c r="D152" t="s">
        <v>27</v>
      </c>
      <c r="E152" t="s">
        <v>23</v>
      </c>
      <c r="F152" t="s">
        <v>35</v>
      </c>
      <c r="G152" t="s">
        <v>24</v>
      </c>
      <c r="H152">
        <v>71</v>
      </c>
      <c r="I152">
        <v>2</v>
      </c>
      <c r="J152">
        <v>3</v>
      </c>
      <c r="K152">
        <v>13913</v>
      </c>
      <c r="L152" t="s">
        <v>28</v>
      </c>
    </row>
    <row r="153" spans="1:12" x14ac:dyDescent="0.2">
      <c r="A153" t="s">
        <v>187</v>
      </c>
      <c r="B153" s="2">
        <v>46005</v>
      </c>
      <c r="C153" t="s">
        <v>26</v>
      </c>
      <c r="D153" t="s">
        <v>27</v>
      </c>
      <c r="E153" t="s">
        <v>34</v>
      </c>
      <c r="F153" t="s">
        <v>16</v>
      </c>
      <c r="G153" t="s">
        <v>17</v>
      </c>
      <c r="H153">
        <v>122</v>
      </c>
      <c r="I153">
        <v>0</v>
      </c>
      <c r="J153">
        <v>1</v>
      </c>
      <c r="K153">
        <v>10849</v>
      </c>
      <c r="L153" t="s">
        <v>28</v>
      </c>
    </row>
    <row r="154" spans="1:12" x14ac:dyDescent="0.2">
      <c r="A154" t="s">
        <v>188</v>
      </c>
      <c r="B154" s="2">
        <v>45890</v>
      </c>
      <c r="C154" t="s">
        <v>20</v>
      </c>
      <c r="D154" t="s">
        <v>21</v>
      </c>
      <c r="E154" t="s">
        <v>22</v>
      </c>
      <c r="F154" t="s">
        <v>16</v>
      </c>
      <c r="G154" t="s">
        <v>40</v>
      </c>
      <c r="H154">
        <v>139</v>
      </c>
      <c r="I154">
        <v>4</v>
      </c>
      <c r="J154">
        <v>3</v>
      </c>
      <c r="K154">
        <v>12506</v>
      </c>
      <c r="L154" t="s">
        <v>28</v>
      </c>
    </row>
    <row r="155" spans="1:12" x14ac:dyDescent="0.2">
      <c r="A155" t="s">
        <v>189</v>
      </c>
      <c r="B155" s="2">
        <v>45815</v>
      </c>
      <c r="C155" t="s">
        <v>20</v>
      </c>
      <c r="D155" t="s">
        <v>21</v>
      </c>
      <c r="E155" t="s">
        <v>51</v>
      </c>
      <c r="F155" t="s">
        <v>35</v>
      </c>
      <c r="G155" t="s">
        <v>24</v>
      </c>
      <c r="H155">
        <v>50</v>
      </c>
      <c r="I155">
        <v>2</v>
      </c>
      <c r="J155">
        <v>4</v>
      </c>
      <c r="K155">
        <v>3778</v>
      </c>
      <c r="L155" t="s">
        <v>28</v>
      </c>
    </row>
    <row r="156" spans="1:12" x14ac:dyDescent="0.2">
      <c r="A156" t="s">
        <v>190</v>
      </c>
      <c r="B156" s="2">
        <v>45713</v>
      </c>
      <c r="C156" t="s">
        <v>26</v>
      </c>
      <c r="D156" t="s">
        <v>27</v>
      </c>
      <c r="E156" t="s">
        <v>23</v>
      </c>
      <c r="F156" t="s">
        <v>23</v>
      </c>
      <c r="G156" t="s">
        <v>30</v>
      </c>
      <c r="H156">
        <v>122</v>
      </c>
      <c r="I156">
        <v>11</v>
      </c>
      <c r="J156">
        <v>4</v>
      </c>
      <c r="K156">
        <v>11382</v>
      </c>
      <c r="L156" t="s">
        <v>28</v>
      </c>
    </row>
    <row r="157" spans="1:12" x14ac:dyDescent="0.2">
      <c r="A157" t="s">
        <v>191</v>
      </c>
      <c r="B157" s="2">
        <v>45847</v>
      </c>
      <c r="C157" t="s">
        <v>44</v>
      </c>
      <c r="D157" t="s">
        <v>45</v>
      </c>
      <c r="E157" t="s">
        <v>23</v>
      </c>
      <c r="F157" t="s">
        <v>16</v>
      </c>
      <c r="G157" t="s">
        <v>36</v>
      </c>
      <c r="H157">
        <v>13</v>
      </c>
      <c r="I157">
        <v>4</v>
      </c>
      <c r="J157">
        <v>1</v>
      </c>
      <c r="K157">
        <v>16777</v>
      </c>
      <c r="L157" t="s">
        <v>28</v>
      </c>
    </row>
    <row r="158" spans="1:12" x14ac:dyDescent="0.2">
      <c r="A158" t="s">
        <v>192</v>
      </c>
      <c r="B158" s="2">
        <v>46009</v>
      </c>
      <c r="C158" t="s">
        <v>20</v>
      </c>
      <c r="D158" t="s">
        <v>21</v>
      </c>
      <c r="E158" t="s">
        <v>23</v>
      </c>
      <c r="F158" t="s">
        <v>23</v>
      </c>
      <c r="G158" t="s">
        <v>24</v>
      </c>
      <c r="H158">
        <v>126</v>
      </c>
      <c r="I158">
        <v>6</v>
      </c>
      <c r="J158">
        <v>1</v>
      </c>
      <c r="K158">
        <v>8913</v>
      </c>
      <c r="L158" t="s">
        <v>18</v>
      </c>
    </row>
    <row r="159" spans="1:12" x14ac:dyDescent="0.2">
      <c r="A159" t="s">
        <v>193</v>
      </c>
      <c r="B159" s="2">
        <v>45685</v>
      </c>
      <c r="C159" t="s">
        <v>20</v>
      </c>
      <c r="D159" t="s">
        <v>21</v>
      </c>
      <c r="E159" t="s">
        <v>34</v>
      </c>
      <c r="F159" t="s">
        <v>35</v>
      </c>
      <c r="G159" t="s">
        <v>24</v>
      </c>
      <c r="H159">
        <v>20</v>
      </c>
      <c r="I159">
        <v>4</v>
      </c>
      <c r="J159">
        <v>2</v>
      </c>
      <c r="K159">
        <v>13485</v>
      </c>
      <c r="L159" t="s">
        <v>18</v>
      </c>
    </row>
    <row r="160" spans="1:12" x14ac:dyDescent="0.2">
      <c r="A160" t="s">
        <v>194</v>
      </c>
      <c r="B160" s="2">
        <v>45891</v>
      </c>
      <c r="C160" t="s">
        <v>26</v>
      </c>
      <c r="D160" t="s">
        <v>27</v>
      </c>
      <c r="E160" t="s">
        <v>51</v>
      </c>
      <c r="F160" t="s">
        <v>35</v>
      </c>
      <c r="G160" t="s">
        <v>17</v>
      </c>
      <c r="H160">
        <v>116</v>
      </c>
      <c r="I160">
        <v>5</v>
      </c>
      <c r="J160">
        <v>2</v>
      </c>
      <c r="K160">
        <v>9892</v>
      </c>
      <c r="L160" t="s">
        <v>28</v>
      </c>
    </row>
    <row r="161" spans="1:12" x14ac:dyDescent="0.2">
      <c r="A161" t="s">
        <v>195</v>
      </c>
      <c r="B161" s="2">
        <v>45698</v>
      </c>
      <c r="C161" t="s">
        <v>26</v>
      </c>
      <c r="D161" t="s">
        <v>27</v>
      </c>
      <c r="E161" t="s">
        <v>51</v>
      </c>
      <c r="F161" t="s">
        <v>35</v>
      </c>
      <c r="G161" t="s">
        <v>36</v>
      </c>
      <c r="H161">
        <v>53</v>
      </c>
      <c r="I161">
        <v>1</v>
      </c>
      <c r="J161">
        <v>2</v>
      </c>
      <c r="K161">
        <v>2748</v>
      </c>
      <c r="L161" t="s">
        <v>28</v>
      </c>
    </row>
    <row r="162" spans="1:12" x14ac:dyDescent="0.2">
      <c r="A162" t="s">
        <v>196</v>
      </c>
      <c r="B162" s="2">
        <v>45835</v>
      </c>
      <c r="C162" t="s">
        <v>13</v>
      </c>
      <c r="D162" t="s">
        <v>14</v>
      </c>
      <c r="E162" t="s">
        <v>23</v>
      </c>
      <c r="F162" t="s">
        <v>16</v>
      </c>
      <c r="G162" t="s">
        <v>24</v>
      </c>
      <c r="H162">
        <v>96</v>
      </c>
      <c r="I162">
        <v>0</v>
      </c>
      <c r="J162">
        <v>3</v>
      </c>
      <c r="K162">
        <v>13721</v>
      </c>
      <c r="L162" t="s">
        <v>18</v>
      </c>
    </row>
    <row r="163" spans="1:12" x14ac:dyDescent="0.2">
      <c r="A163" t="s">
        <v>197</v>
      </c>
      <c r="B163" s="2">
        <v>45707</v>
      </c>
      <c r="C163" t="s">
        <v>13</v>
      </c>
      <c r="D163" t="s">
        <v>14</v>
      </c>
      <c r="E163" t="s">
        <v>51</v>
      </c>
      <c r="F163" t="s">
        <v>35</v>
      </c>
      <c r="G163" t="s">
        <v>40</v>
      </c>
      <c r="H163">
        <v>154</v>
      </c>
      <c r="I163">
        <v>9</v>
      </c>
      <c r="J163">
        <v>2</v>
      </c>
      <c r="K163">
        <v>4002</v>
      </c>
      <c r="L163" t="s">
        <v>18</v>
      </c>
    </row>
    <row r="164" spans="1:12" x14ac:dyDescent="0.2">
      <c r="A164" t="s">
        <v>198</v>
      </c>
      <c r="B164" s="2">
        <v>46004</v>
      </c>
      <c r="C164" t="s">
        <v>26</v>
      </c>
      <c r="D164" t="s">
        <v>27</v>
      </c>
      <c r="E164" t="s">
        <v>23</v>
      </c>
      <c r="F164" t="s">
        <v>23</v>
      </c>
      <c r="G164" t="s">
        <v>24</v>
      </c>
      <c r="H164">
        <v>69</v>
      </c>
      <c r="I164">
        <v>12</v>
      </c>
      <c r="J164">
        <v>1</v>
      </c>
      <c r="K164">
        <v>2554</v>
      </c>
      <c r="L164" t="s">
        <v>28</v>
      </c>
    </row>
    <row r="165" spans="1:12" x14ac:dyDescent="0.2">
      <c r="A165" t="s">
        <v>199</v>
      </c>
      <c r="B165" s="2">
        <v>45766</v>
      </c>
      <c r="C165" t="s">
        <v>20</v>
      </c>
      <c r="D165" t="s">
        <v>21</v>
      </c>
      <c r="E165" t="s">
        <v>34</v>
      </c>
      <c r="F165" t="s">
        <v>23</v>
      </c>
      <c r="G165" t="s">
        <v>24</v>
      </c>
      <c r="H165">
        <v>156</v>
      </c>
      <c r="I165">
        <v>6</v>
      </c>
      <c r="J165">
        <v>5</v>
      </c>
      <c r="K165">
        <v>8038</v>
      </c>
      <c r="L165" t="s">
        <v>28</v>
      </c>
    </row>
    <row r="166" spans="1:12" x14ac:dyDescent="0.2">
      <c r="A166" t="s">
        <v>200</v>
      </c>
      <c r="B166" s="2">
        <v>45804</v>
      </c>
      <c r="C166" t="s">
        <v>44</v>
      </c>
      <c r="D166" t="s">
        <v>45</v>
      </c>
      <c r="E166" t="s">
        <v>51</v>
      </c>
      <c r="F166" t="s">
        <v>16</v>
      </c>
      <c r="G166" t="s">
        <v>17</v>
      </c>
      <c r="H166">
        <v>74</v>
      </c>
      <c r="I166">
        <v>10</v>
      </c>
      <c r="J166">
        <v>5</v>
      </c>
      <c r="K166">
        <v>15594</v>
      </c>
      <c r="L166" t="s">
        <v>28</v>
      </c>
    </row>
    <row r="167" spans="1:12" x14ac:dyDescent="0.2">
      <c r="A167" t="s">
        <v>201</v>
      </c>
      <c r="B167" s="2">
        <v>45665</v>
      </c>
      <c r="C167" t="s">
        <v>20</v>
      </c>
      <c r="D167" t="s">
        <v>21</v>
      </c>
      <c r="E167" t="s">
        <v>22</v>
      </c>
      <c r="F167" t="s">
        <v>35</v>
      </c>
      <c r="G167" t="s">
        <v>40</v>
      </c>
      <c r="H167">
        <v>16</v>
      </c>
      <c r="I167">
        <v>4</v>
      </c>
      <c r="J167">
        <v>5</v>
      </c>
      <c r="K167">
        <v>10558</v>
      </c>
      <c r="L167" t="s">
        <v>18</v>
      </c>
    </row>
    <row r="168" spans="1:12" x14ac:dyDescent="0.2">
      <c r="A168" t="s">
        <v>202</v>
      </c>
      <c r="B168" s="2">
        <v>45661</v>
      </c>
      <c r="C168" t="s">
        <v>32</v>
      </c>
      <c r="D168" t="s">
        <v>33</v>
      </c>
      <c r="E168" t="s">
        <v>51</v>
      </c>
      <c r="F168" t="s">
        <v>35</v>
      </c>
      <c r="G168" t="s">
        <v>40</v>
      </c>
      <c r="H168">
        <v>26</v>
      </c>
      <c r="I168">
        <v>1</v>
      </c>
      <c r="J168">
        <v>1</v>
      </c>
      <c r="K168">
        <v>17430</v>
      </c>
      <c r="L168" t="s">
        <v>28</v>
      </c>
    </row>
    <row r="169" spans="1:12" x14ac:dyDescent="0.2">
      <c r="A169" t="s">
        <v>203</v>
      </c>
      <c r="B169" s="2">
        <v>45970</v>
      </c>
      <c r="C169" t="s">
        <v>26</v>
      </c>
      <c r="D169" t="s">
        <v>27</v>
      </c>
      <c r="E169" t="s">
        <v>15</v>
      </c>
      <c r="F169" t="s">
        <v>35</v>
      </c>
      <c r="G169" t="s">
        <v>40</v>
      </c>
      <c r="H169">
        <v>65</v>
      </c>
      <c r="I169">
        <v>13</v>
      </c>
      <c r="J169">
        <v>5</v>
      </c>
      <c r="K169">
        <v>1488</v>
      </c>
      <c r="L169" t="s">
        <v>28</v>
      </c>
    </row>
    <row r="170" spans="1:12" x14ac:dyDescent="0.2">
      <c r="A170" t="s">
        <v>204</v>
      </c>
      <c r="B170" s="2">
        <v>45995</v>
      </c>
      <c r="C170" t="s">
        <v>44</v>
      </c>
      <c r="D170" t="s">
        <v>45</v>
      </c>
      <c r="E170" t="s">
        <v>34</v>
      </c>
      <c r="F170" t="s">
        <v>23</v>
      </c>
      <c r="G170" t="s">
        <v>17</v>
      </c>
      <c r="H170">
        <v>56</v>
      </c>
      <c r="I170">
        <v>11</v>
      </c>
      <c r="J170">
        <v>4</v>
      </c>
      <c r="K170">
        <v>14197</v>
      </c>
      <c r="L170" t="s">
        <v>18</v>
      </c>
    </row>
    <row r="171" spans="1:12" x14ac:dyDescent="0.2">
      <c r="A171" t="s">
        <v>205</v>
      </c>
      <c r="B171" s="2">
        <v>45812</v>
      </c>
      <c r="C171" t="s">
        <v>20</v>
      </c>
      <c r="D171" t="s">
        <v>21</v>
      </c>
      <c r="E171" t="s">
        <v>22</v>
      </c>
      <c r="F171" t="s">
        <v>16</v>
      </c>
      <c r="G171" t="s">
        <v>40</v>
      </c>
      <c r="H171">
        <v>101</v>
      </c>
      <c r="I171">
        <v>12</v>
      </c>
      <c r="J171">
        <v>5</v>
      </c>
      <c r="K171">
        <v>443</v>
      </c>
      <c r="L171" t="s">
        <v>28</v>
      </c>
    </row>
    <row r="172" spans="1:12" x14ac:dyDescent="0.2">
      <c r="A172" t="s">
        <v>206</v>
      </c>
      <c r="B172" s="2">
        <v>45833</v>
      </c>
      <c r="C172" t="s">
        <v>26</v>
      </c>
      <c r="D172" t="s">
        <v>27</v>
      </c>
      <c r="E172" t="s">
        <v>23</v>
      </c>
      <c r="F172" t="s">
        <v>16</v>
      </c>
      <c r="G172" t="s">
        <v>36</v>
      </c>
      <c r="H172">
        <v>109</v>
      </c>
      <c r="I172">
        <v>5</v>
      </c>
      <c r="J172">
        <v>2</v>
      </c>
      <c r="K172">
        <v>2685</v>
      </c>
      <c r="L172" t="s">
        <v>28</v>
      </c>
    </row>
    <row r="173" spans="1:12" x14ac:dyDescent="0.2">
      <c r="A173" t="s">
        <v>207</v>
      </c>
      <c r="B173" s="2">
        <v>45984</v>
      </c>
      <c r="C173" t="s">
        <v>32</v>
      </c>
      <c r="D173" t="s">
        <v>33</v>
      </c>
      <c r="E173" t="s">
        <v>15</v>
      </c>
      <c r="F173" t="s">
        <v>23</v>
      </c>
      <c r="G173" t="s">
        <v>40</v>
      </c>
      <c r="H173">
        <v>70</v>
      </c>
      <c r="I173">
        <v>11</v>
      </c>
      <c r="J173">
        <v>5</v>
      </c>
      <c r="K173">
        <v>10594</v>
      </c>
      <c r="L173" t="s">
        <v>28</v>
      </c>
    </row>
    <row r="174" spans="1:12" x14ac:dyDescent="0.2">
      <c r="A174" t="s">
        <v>208</v>
      </c>
      <c r="B174" s="2">
        <v>45753</v>
      </c>
      <c r="C174" t="s">
        <v>13</v>
      </c>
      <c r="D174" t="s">
        <v>14</v>
      </c>
      <c r="E174" t="s">
        <v>23</v>
      </c>
      <c r="F174" t="s">
        <v>23</v>
      </c>
      <c r="G174" t="s">
        <v>30</v>
      </c>
      <c r="H174">
        <v>14</v>
      </c>
      <c r="I174">
        <v>5</v>
      </c>
      <c r="J174">
        <v>3</v>
      </c>
      <c r="K174">
        <v>5180</v>
      </c>
      <c r="L174" t="s">
        <v>18</v>
      </c>
    </row>
    <row r="175" spans="1:12" x14ac:dyDescent="0.2">
      <c r="A175" t="s">
        <v>209</v>
      </c>
      <c r="B175" s="2">
        <v>45744</v>
      </c>
      <c r="C175" t="s">
        <v>44</v>
      </c>
      <c r="D175" t="s">
        <v>45</v>
      </c>
      <c r="E175" t="s">
        <v>51</v>
      </c>
      <c r="F175" t="s">
        <v>23</v>
      </c>
      <c r="G175" t="s">
        <v>40</v>
      </c>
      <c r="H175">
        <v>46</v>
      </c>
      <c r="I175">
        <v>9</v>
      </c>
      <c r="J175">
        <v>2</v>
      </c>
      <c r="K175">
        <v>11616</v>
      </c>
      <c r="L175" t="s">
        <v>28</v>
      </c>
    </row>
    <row r="176" spans="1:12" x14ac:dyDescent="0.2">
      <c r="A176" t="s">
        <v>210</v>
      </c>
      <c r="B176" s="2">
        <v>45727</v>
      </c>
      <c r="C176" t="s">
        <v>32</v>
      </c>
      <c r="D176" t="s">
        <v>33</v>
      </c>
      <c r="E176" t="s">
        <v>34</v>
      </c>
      <c r="F176" t="s">
        <v>16</v>
      </c>
      <c r="G176" t="s">
        <v>17</v>
      </c>
      <c r="H176">
        <v>124</v>
      </c>
      <c r="I176">
        <v>7</v>
      </c>
      <c r="J176">
        <v>4</v>
      </c>
      <c r="K176">
        <v>14925</v>
      </c>
      <c r="L176" t="s">
        <v>28</v>
      </c>
    </row>
    <row r="177" spans="1:12" x14ac:dyDescent="0.2">
      <c r="A177" t="s">
        <v>211</v>
      </c>
      <c r="B177" s="2">
        <v>45924</v>
      </c>
      <c r="C177" t="s">
        <v>44</v>
      </c>
      <c r="D177" t="s">
        <v>45</v>
      </c>
      <c r="E177" t="s">
        <v>22</v>
      </c>
      <c r="F177" t="s">
        <v>16</v>
      </c>
      <c r="G177" t="s">
        <v>30</v>
      </c>
      <c r="H177">
        <v>137</v>
      </c>
      <c r="I177">
        <v>4</v>
      </c>
      <c r="J177">
        <v>4</v>
      </c>
      <c r="K177">
        <v>17551</v>
      </c>
      <c r="L177" t="s">
        <v>28</v>
      </c>
    </row>
    <row r="178" spans="1:12" x14ac:dyDescent="0.2">
      <c r="A178" t="s">
        <v>212</v>
      </c>
      <c r="B178" s="2">
        <v>45710</v>
      </c>
      <c r="C178" t="s">
        <v>26</v>
      </c>
      <c r="D178" t="s">
        <v>27</v>
      </c>
      <c r="E178" t="s">
        <v>22</v>
      </c>
      <c r="F178" t="s">
        <v>23</v>
      </c>
      <c r="G178" t="s">
        <v>30</v>
      </c>
      <c r="H178">
        <v>149</v>
      </c>
      <c r="I178">
        <v>11</v>
      </c>
      <c r="J178">
        <v>1</v>
      </c>
      <c r="K178">
        <v>3683</v>
      </c>
      <c r="L178" t="s">
        <v>18</v>
      </c>
    </row>
    <row r="179" spans="1:12" x14ac:dyDescent="0.2">
      <c r="A179" t="s">
        <v>213</v>
      </c>
      <c r="B179" s="2">
        <v>45919</v>
      </c>
      <c r="C179" t="s">
        <v>13</v>
      </c>
      <c r="D179" t="s">
        <v>14</v>
      </c>
      <c r="E179" t="s">
        <v>23</v>
      </c>
      <c r="F179" t="s">
        <v>16</v>
      </c>
      <c r="G179" t="s">
        <v>24</v>
      </c>
      <c r="H179">
        <v>40</v>
      </c>
      <c r="I179">
        <v>6</v>
      </c>
      <c r="J179">
        <v>2</v>
      </c>
      <c r="K179">
        <v>2431</v>
      </c>
      <c r="L179" t="s">
        <v>28</v>
      </c>
    </row>
    <row r="180" spans="1:12" x14ac:dyDescent="0.2">
      <c r="A180" t="s">
        <v>214</v>
      </c>
      <c r="B180" s="2">
        <v>45892</v>
      </c>
      <c r="C180" t="s">
        <v>26</v>
      </c>
      <c r="D180" t="s">
        <v>27</v>
      </c>
      <c r="E180" t="s">
        <v>15</v>
      </c>
      <c r="F180" t="s">
        <v>23</v>
      </c>
      <c r="G180" t="s">
        <v>24</v>
      </c>
      <c r="H180">
        <v>18</v>
      </c>
      <c r="I180">
        <v>6</v>
      </c>
      <c r="J180">
        <v>4</v>
      </c>
      <c r="K180">
        <v>17644</v>
      </c>
      <c r="L180" t="s">
        <v>28</v>
      </c>
    </row>
    <row r="181" spans="1:12" x14ac:dyDescent="0.2">
      <c r="A181" t="s">
        <v>215</v>
      </c>
      <c r="B181" s="2">
        <v>45759</v>
      </c>
      <c r="C181" t="s">
        <v>20</v>
      </c>
      <c r="D181" t="s">
        <v>21</v>
      </c>
      <c r="E181" t="s">
        <v>22</v>
      </c>
      <c r="F181" t="s">
        <v>23</v>
      </c>
      <c r="G181" t="s">
        <v>40</v>
      </c>
      <c r="H181">
        <v>41</v>
      </c>
      <c r="I181">
        <v>6</v>
      </c>
      <c r="J181">
        <v>3</v>
      </c>
      <c r="K181">
        <v>10692</v>
      </c>
      <c r="L181" t="s">
        <v>18</v>
      </c>
    </row>
    <row r="182" spans="1:12" x14ac:dyDescent="0.2">
      <c r="A182" t="s">
        <v>216</v>
      </c>
      <c r="B182" s="2">
        <v>45816</v>
      </c>
      <c r="C182" t="s">
        <v>20</v>
      </c>
      <c r="D182" t="s">
        <v>21</v>
      </c>
      <c r="E182" t="s">
        <v>15</v>
      </c>
      <c r="F182" t="s">
        <v>23</v>
      </c>
      <c r="G182" t="s">
        <v>30</v>
      </c>
      <c r="H182">
        <v>97</v>
      </c>
      <c r="I182">
        <v>9</v>
      </c>
      <c r="J182">
        <v>2</v>
      </c>
      <c r="K182">
        <v>3603</v>
      </c>
      <c r="L182" t="s">
        <v>18</v>
      </c>
    </row>
    <row r="183" spans="1:12" x14ac:dyDescent="0.2">
      <c r="A183" t="s">
        <v>217</v>
      </c>
      <c r="B183" s="2">
        <v>45888</v>
      </c>
      <c r="C183" t="s">
        <v>32</v>
      </c>
      <c r="D183" t="s">
        <v>33</v>
      </c>
      <c r="E183" t="s">
        <v>15</v>
      </c>
      <c r="F183" t="s">
        <v>23</v>
      </c>
      <c r="G183" t="s">
        <v>17</v>
      </c>
      <c r="H183">
        <v>94</v>
      </c>
      <c r="I183">
        <v>13</v>
      </c>
      <c r="J183">
        <v>4</v>
      </c>
      <c r="K183">
        <v>8091</v>
      </c>
      <c r="L183" t="s">
        <v>18</v>
      </c>
    </row>
    <row r="184" spans="1:12" x14ac:dyDescent="0.2">
      <c r="A184" t="s">
        <v>218</v>
      </c>
      <c r="B184" s="2">
        <v>45855</v>
      </c>
      <c r="C184" t="s">
        <v>13</v>
      </c>
      <c r="D184" t="s">
        <v>14</v>
      </c>
      <c r="E184" t="s">
        <v>15</v>
      </c>
      <c r="F184" t="s">
        <v>16</v>
      </c>
      <c r="G184" t="s">
        <v>30</v>
      </c>
      <c r="H184">
        <v>162</v>
      </c>
      <c r="I184">
        <v>2</v>
      </c>
      <c r="J184">
        <v>4</v>
      </c>
      <c r="K184">
        <v>9040</v>
      </c>
      <c r="L184" t="s">
        <v>28</v>
      </c>
    </row>
    <row r="185" spans="1:12" x14ac:dyDescent="0.2">
      <c r="A185" t="s">
        <v>219</v>
      </c>
      <c r="B185" s="2">
        <v>45987</v>
      </c>
      <c r="C185" t="s">
        <v>20</v>
      </c>
      <c r="D185" t="s">
        <v>21</v>
      </c>
      <c r="E185" t="s">
        <v>15</v>
      </c>
      <c r="F185" t="s">
        <v>16</v>
      </c>
      <c r="G185" t="s">
        <v>36</v>
      </c>
      <c r="H185">
        <v>138</v>
      </c>
      <c r="I185">
        <v>6</v>
      </c>
      <c r="J185">
        <v>5</v>
      </c>
      <c r="K185">
        <v>13948</v>
      </c>
      <c r="L185" t="s">
        <v>28</v>
      </c>
    </row>
    <row r="186" spans="1:12" x14ac:dyDescent="0.2">
      <c r="A186" t="s">
        <v>220</v>
      </c>
      <c r="B186" s="2">
        <v>45858</v>
      </c>
      <c r="C186" t="s">
        <v>44</v>
      </c>
      <c r="D186" t="s">
        <v>45</v>
      </c>
      <c r="E186" t="s">
        <v>51</v>
      </c>
      <c r="F186" t="s">
        <v>23</v>
      </c>
      <c r="G186" t="s">
        <v>36</v>
      </c>
      <c r="H186">
        <v>22</v>
      </c>
      <c r="I186">
        <v>11</v>
      </c>
      <c r="J186">
        <v>1</v>
      </c>
      <c r="K186">
        <v>6000</v>
      </c>
      <c r="L186" t="s">
        <v>28</v>
      </c>
    </row>
    <row r="187" spans="1:12" x14ac:dyDescent="0.2">
      <c r="A187" t="s">
        <v>221</v>
      </c>
      <c r="B187" s="2">
        <v>45895</v>
      </c>
      <c r="C187" t="s">
        <v>32</v>
      </c>
      <c r="D187" t="s">
        <v>33</v>
      </c>
      <c r="E187" t="s">
        <v>23</v>
      </c>
      <c r="F187" t="s">
        <v>35</v>
      </c>
      <c r="G187" t="s">
        <v>17</v>
      </c>
      <c r="H187">
        <v>135</v>
      </c>
      <c r="I187">
        <v>5</v>
      </c>
      <c r="J187">
        <v>4</v>
      </c>
      <c r="K187">
        <v>9904</v>
      </c>
      <c r="L187" t="s">
        <v>28</v>
      </c>
    </row>
    <row r="188" spans="1:12" x14ac:dyDescent="0.2">
      <c r="A188" t="s">
        <v>222</v>
      </c>
      <c r="B188" s="2">
        <v>45795</v>
      </c>
      <c r="C188" t="s">
        <v>44</v>
      </c>
      <c r="D188" t="s">
        <v>45</v>
      </c>
      <c r="E188" t="s">
        <v>15</v>
      </c>
      <c r="F188" t="s">
        <v>35</v>
      </c>
      <c r="G188" t="s">
        <v>40</v>
      </c>
      <c r="H188">
        <v>5</v>
      </c>
      <c r="I188">
        <v>10</v>
      </c>
      <c r="J188">
        <v>1</v>
      </c>
      <c r="K188">
        <v>8870</v>
      </c>
      <c r="L188" t="s">
        <v>18</v>
      </c>
    </row>
    <row r="189" spans="1:12" x14ac:dyDescent="0.2">
      <c r="A189" t="s">
        <v>223</v>
      </c>
      <c r="B189" s="2">
        <v>45783</v>
      </c>
      <c r="C189" t="s">
        <v>20</v>
      </c>
      <c r="D189" t="s">
        <v>21</v>
      </c>
      <c r="E189" t="s">
        <v>15</v>
      </c>
      <c r="F189" t="s">
        <v>35</v>
      </c>
      <c r="G189" t="s">
        <v>24</v>
      </c>
      <c r="H189">
        <v>149</v>
      </c>
      <c r="I189">
        <v>2</v>
      </c>
      <c r="J189">
        <v>2</v>
      </c>
      <c r="K189">
        <v>10511</v>
      </c>
      <c r="L189" t="s">
        <v>28</v>
      </c>
    </row>
    <row r="190" spans="1:12" x14ac:dyDescent="0.2">
      <c r="A190" t="s">
        <v>224</v>
      </c>
      <c r="B190" s="2">
        <v>45905</v>
      </c>
      <c r="C190" t="s">
        <v>32</v>
      </c>
      <c r="D190" t="s">
        <v>33</v>
      </c>
      <c r="E190" t="s">
        <v>15</v>
      </c>
      <c r="F190" t="s">
        <v>23</v>
      </c>
      <c r="G190" t="s">
        <v>30</v>
      </c>
      <c r="H190">
        <v>58</v>
      </c>
      <c r="I190">
        <v>4</v>
      </c>
      <c r="J190">
        <v>4</v>
      </c>
      <c r="K190">
        <v>4996</v>
      </c>
      <c r="L190" t="s">
        <v>28</v>
      </c>
    </row>
    <row r="191" spans="1:12" x14ac:dyDescent="0.2">
      <c r="A191" t="s">
        <v>225</v>
      </c>
      <c r="B191" s="2">
        <v>45905</v>
      </c>
      <c r="C191" t="s">
        <v>32</v>
      </c>
      <c r="D191" t="s">
        <v>33</v>
      </c>
      <c r="E191" t="s">
        <v>23</v>
      </c>
      <c r="F191" t="s">
        <v>16</v>
      </c>
      <c r="G191" t="s">
        <v>17</v>
      </c>
      <c r="H191">
        <v>160</v>
      </c>
      <c r="I191">
        <v>13</v>
      </c>
      <c r="J191">
        <v>2</v>
      </c>
      <c r="K191">
        <v>14923</v>
      </c>
      <c r="L191" t="s">
        <v>28</v>
      </c>
    </row>
    <row r="192" spans="1:12" x14ac:dyDescent="0.2">
      <c r="A192" t="s">
        <v>226</v>
      </c>
      <c r="B192" s="2">
        <v>45963</v>
      </c>
      <c r="C192" t="s">
        <v>26</v>
      </c>
      <c r="D192" t="s">
        <v>27</v>
      </c>
      <c r="E192" t="s">
        <v>51</v>
      </c>
      <c r="F192" t="s">
        <v>23</v>
      </c>
      <c r="G192" t="s">
        <v>40</v>
      </c>
      <c r="H192">
        <v>148</v>
      </c>
      <c r="I192">
        <v>5</v>
      </c>
      <c r="J192">
        <v>5</v>
      </c>
      <c r="K192">
        <v>8779</v>
      </c>
      <c r="L192" t="s">
        <v>18</v>
      </c>
    </row>
    <row r="193" spans="1:12" x14ac:dyDescent="0.2">
      <c r="A193" t="s">
        <v>227</v>
      </c>
      <c r="B193" s="2">
        <v>45954</v>
      </c>
      <c r="C193" t="s">
        <v>44</v>
      </c>
      <c r="D193" t="s">
        <v>45</v>
      </c>
      <c r="E193" t="s">
        <v>34</v>
      </c>
      <c r="F193" t="s">
        <v>23</v>
      </c>
      <c r="G193" t="s">
        <v>24</v>
      </c>
      <c r="H193">
        <v>159</v>
      </c>
      <c r="I193">
        <v>12</v>
      </c>
      <c r="J193">
        <v>5</v>
      </c>
      <c r="K193">
        <v>2120</v>
      </c>
      <c r="L193" t="s">
        <v>28</v>
      </c>
    </row>
    <row r="194" spans="1:12" x14ac:dyDescent="0.2">
      <c r="A194" t="s">
        <v>228</v>
      </c>
      <c r="B194" s="2">
        <v>45940</v>
      </c>
      <c r="C194" t="s">
        <v>20</v>
      </c>
      <c r="D194" t="s">
        <v>21</v>
      </c>
      <c r="E194" t="s">
        <v>23</v>
      </c>
      <c r="F194" t="s">
        <v>23</v>
      </c>
      <c r="G194" t="s">
        <v>40</v>
      </c>
      <c r="H194">
        <v>102</v>
      </c>
      <c r="I194">
        <v>8</v>
      </c>
      <c r="J194">
        <v>3</v>
      </c>
      <c r="K194">
        <v>2152</v>
      </c>
      <c r="L194" t="s">
        <v>28</v>
      </c>
    </row>
    <row r="195" spans="1:12" x14ac:dyDescent="0.2">
      <c r="A195" t="s">
        <v>229</v>
      </c>
      <c r="B195" s="2">
        <v>45727</v>
      </c>
      <c r="C195" t="s">
        <v>44</v>
      </c>
      <c r="D195" t="s">
        <v>45</v>
      </c>
      <c r="E195" t="s">
        <v>51</v>
      </c>
      <c r="F195" t="s">
        <v>16</v>
      </c>
      <c r="G195" t="s">
        <v>30</v>
      </c>
      <c r="H195">
        <v>169</v>
      </c>
      <c r="I195">
        <v>1</v>
      </c>
      <c r="J195">
        <v>3</v>
      </c>
      <c r="K195">
        <v>10441</v>
      </c>
      <c r="L195" t="s">
        <v>28</v>
      </c>
    </row>
    <row r="196" spans="1:12" x14ac:dyDescent="0.2">
      <c r="A196" t="s">
        <v>230</v>
      </c>
      <c r="B196" s="2">
        <v>45690</v>
      </c>
      <c r="C196" t="s">
        <v>32</v>
      </c>
      <c r="D196" t="s">
        <v>33</v>
      </c>
      <c r="E196" t="s">
        <v>23</v>
      </c>
      <c r="F196" t="s">
        <v>35</v>
      </c>
      <c r="G196" t="s">
        <v>17</v>
      </c>
      <c r="H196">
        <v>134</v>
      </c>
      <c r="I196">
        <v>0</v>
      </c>
      <c r="J196">
        <v>2</v>
      </c>
      <c r="K196">
        <v>12801</v>
      </c>
      <c r="L196" t="s">
        <v>28</v>
      </c>
    </row>
    <row r="197" spans="1:12" x14ac:dyDescent="0.2">
      <c r="A197" t="s">
        <v>231</v>
      </c>
      <c r="B197" s="2">
        <v>46014</v>
      </c>
      <c r="C197" t="s">
        <v>20</v>
      </c>
      <c r="D197" t="s">
        <v>21</v>
      </c>
      <c r="E197" t="s">
        <v>51</v>
      </c>
      <c r="F197" t="s">
        <v>35</v>
      </c>
      <c r="G197" t="s">
        <v>24</v>
      </c>
      <c r="H197">
        <v>118</v>
      </c>
      <c r="I197">
        <v>12</v>
      </c>
      <c r="J197">
        <v>5</v>
      </c>
      <c r="K197">
        <v>4323</v>
      </c>
      <c r="L197" t="s">
        <v>28</v>
      </c>
    </row>
    <row r="198" spans="1:12" x14ac:dyDescent="0.2">
      <c r="A198" t="s">
        <v>232</v>
      </c>
      <c r="B198" s="2">
        <v>45940</v>
      </c>
      <c r="C198" t="s">
        <v>44</v>
      </c>
      <c r="D198" t="s">
        <v>45</v>
      </c>
      <c r="E198" t="s">
        <v>34</v>
      </c>
      <c r="F198" t="s">
        <v>16</v>
      </c>
      <c r="G198" t="s">
        <v>40</v>
      </c>
      <c r="H198">
        <v>25</v>
      </c>
      <c r="I198">
        <v>5</v>
      </c>
      <c r="J198">
        <v>4</v>
      </c>
      <c r="K198">
        <v>17881</v>
      </c>
      <c r="L198" t="s">
        <v>18</v>
      </c>
    </row>
    <row r="199" spans="1:12" x14ac:dyDescent="0.2">
      <c r="A199" t="s">
        <v>233</v>
      </c>
      <c r="B199" s="2">
        <v>45912</v>
      </c>
      <c r="C199" t="s">
        <v>20</v>
      </c>
      <c r="D199" t="s">
        <v>21</v>
      </c>
      <c r="E199" t="s">
        <v>34</v>
      </c>
      <c r="F199" t="s">
        <v>35</v>
      </c>
      <c r="G199" t="s">
        <v>24</v>
      </c>
      <c r="H199">
        <v>22</v>
      </c>
      <c r="I199">
        <v>9</v>
      </c>
      <c r="J199">
        <v>1</v>
      </c>
      <c r="K199">
        <v>14704</v>
      </c>
      <c r="L199" t="s">
        <v>28</v>
      </c>
    </row>
    <row r="200" spans="1:12" x14ac:dyDescent="0.2">
      <c r="A200" t="s">
        <v>234</v>
      </c>
      <c r="B200" s="2">
        <v>45890</v>
      </c>
      <c r="C200" t="s">
        <v>13</v>
      </c>
      <c r="D200" t="s">
        <v>14</v>
      </c>
      <c r="E200" t="s">
        <v>34</v>
      </c>
      <c r="F200" t="s">
        <v>16</v>
      </c>
      <c r="G200" t="s">
        <v>30</v>
      </c>
      <c r="H200">
        <v>104</v>
      </c>
      <c r="I200">
        <v>1</v>
      </c>
      <c r="J200">
        <v>1</v>
      </c>
      <c r="K200">
        <v>14030</v>
      </c>
      <c r="L200" t="s">
        <v>28</v>
      </c>
    </row>
    <row r="201" spans="1:12" x14ac:dyDescent="0.2">
      <c r="A201" t="s">
        <v>235</v>
      </c>
      <c r="B201" s="2">
        <v>45663</v>
      </c>
      <c r="C201" t="s">
        <v>26</v>
      </c>
      <c r="D201" t="s">
        <v>27</v>
      </c>
      <c r="E201" t="s">
        <v>23</v>
      </c>
      <c r="F201" t="s">
        <v>16</v>
      </c>
      <c r="G201" t="s">
        <v>40</v>
      </c>
      <c r="H201">
        <v>144</v>
      </c>
      <c r="I201">
        <v>9</v>
      </c>
      <c r="J201">
        <v>4</v>
      </c>
      <c r="K201">
        <v>14190</v>
      </c>
      <c r="L201" t="s">
        <v>18</v>
      </c>
    </row>
    <row r="202" spans="1:12" x14ac:dyDescent="0.2">
      <c r="A202" t="s">
        <v>236</v>
      </c>
      <c r="B202" s="2">
        <v>45821</v>
      </c>
      <c r="C202" t="s">
        <v>32</v>
      </c>
      <c r="D202" t="s">
        <v>33</v>
      </c>
      <c r="E202" t="s">
        <v>15</v>
      </c>
      <c r="F202" t="s">
        <v>23</v>
      </c>
      <c r="G202" t="s">
        <v>36</v>
      </c>
      <c r="H202">
        <v>33</v>
      </c>
      <c r="I202">
        <v>6</v>
      </c>
      <c r="J202">
        <v>4</v>
      </c>
      <c r="K202">
        <v>1579</v>
      </c>
      <c r="L202" t="s">
        <v>28</v>
      </c>
    </row>
    <row r="203" spans="1:12" x14ac:dyDescent="0.2">
      <c r="A203" t="s">
        <v>237</v>
      </c>
      <c r="B203" s="2">
        <v>45943</v>
      </c>
      <c r="C203" t="s">
        <v>44</v>
      </c>
      <c r="D203" t="s">
        <v>45</v>
      </c>
      <c r="E203" t="s">
        <v>15</v>
      </c>
      <c r="F203" t="s">
        <v>16</v>
      </c>
      <c r="G203" t="s">
        <v>36</v>
      </c>
      <c r="H203">
        <v>35</v>
      </c>
      <c r="I203">
        <v>13</v>
      </c>
      <c r="J203">
        <v>2</v>
      </c>
      <c r="K203">
        <v>4155</v>
      </c>
      <c r="L203" t="s">
        <v>18</v>
      </c>
    </row>
    <row r="204" spans="1:12" x14ac:dyDescent="0.2">
      <c r="A204" t="s">
        <v>238</v>
      </c>
      <c r="B204" s="2">
        <v>45736</v>
      </c>
      <c r="C204" t="s">
        <v>26</v>
      </c>
      <c r="D204" t="s">
        <v>27</v>
      </c>
      <c r="E204" t="s">
        <v>51</v>
      </c>
      <c r="F204" t="s">
        <v>16</v>
      </c>
      <c r="G204" t="s">
        <v>36</v>
      </c>
      <c r="H204">
        <v>168</v>
      </c>
      <c r="I204">
        <v>4</v>
      </c>
      <c r="J204">
        <v>3</v>
      </c>
      <c r="K204">
        <v>7455</v>
      </c>
      <c r="L204" t="s">
        <v>28</v>
      </c>
    </row>
    <row r="205" spans="1:12" x14ac:dyDescent="0.2">
      <c r="A205" t="s">
        <v>239</v>
      </c>
      <c r="B205" s="2">
        <v>45761</v>
      </c>
      <c r="C205" t="s">
        <v>44</v>
      </c>
      <c r="D205" t="s">
        <v>45</v>
      </c>
      <c r="E205" t="s">
        <v>15</v>
      </c>
      <c r="F205" t="s">
        <v>35</v>
      </c>
      <c r="G205" t="s">
        <v>17</v>
      </c>
      <c r="H205">
        <v>145</v>
      </c>
      <c r="I205">
        <v>6</v>
      </c>
      <c r="J205">
        <v>1</v>
      </c>
      <c r="K205">
        <v>9225</v>
      </c>
      <c r="L205" t="s">
        <v>28</v>
      </c>
    </row>
    <row r="206" spans="1:12" x14ac:dyDescent="0.2">
      <c r="A206" t="s">
        <v>240</v>
      </c>
      <c r="B206" s="2">
        <v>45967</v>
      </c>
      <c r="C206" t="s">
        <v>13</v>
      </c>
      <c r="D206" t="s">
        <v>14</v>
      </c>
      <c r="E206" t="s">
        <v>51</v>
      </c>
      <c r="F206" t="s">
        <v>23</v>
      </c>
      <c r="G206" t="s">
        <v>30</v>
      </c>
      <c r="H206">
        <v>170</v>
      </c>
      <c r="I206">
        <v>4</v>
      </c>
      <c r="J206">
        <v>5</v>
      </c>
      <c r="K206">
        <v>10002</v>
      </c>
      <c r="L206" t="s">
        <v>18</v>
      </c>
    </row>
    <row r="207" spans="1:12" x14ac:dyDescent="0.2">
      <c r="A207" t="s">
        <v>241</v>
      </c>
      <c r="B207" s="2">
        <v>45878</v>
      </c>
      <c r="C207" t="s">
        <v>20</v>
      </c>
      <c r="D207" t="s">
        <v>21</v>
      </c>
      <c r="E207" t="s">
        <v>15</v>
      </c>
      <c r="F207" t="s">
        <v>23</v>
      </c>
      <c r="G207" t="s">
        <v>36</v>
      </c>
      <c r="H207">
        <v>35</v>
      </c>
      <c r="I207">
        <v>1</v>
      </c>
      <c r="J207">
        <v>3</v>
      </c>
      <c r="K207">
        <v>938</v>
      </c>
      <c r="L207" t="s">
        <v>18</v>
      </c>
    </row>
    <row r="208" spans="1:12" x14ac:dyDescent="0.2">
      <c r="A208" t="s">
        <v>242</v>
      </c>
      <c r="B208" s="2">
        <v>45670</v>
      </c>
      <c r="C208" t="s">
        <v>32</v>
      </c>
      <c r="D208" t="s">
        <v>33</v>
      </c>
      <c r="E208" t="s">
        <v>23</v>
      </c>
      <c r="F208" t="s">
        <v>35</v>
      </c>
      <c r="G208" t="s">
        <v>24</v>
      </c>
      <c r="H208">
        <v>88</v>
      </c>
      <c r="I208">
        <v>12</v>
      </c>
      <c r="J208">
        <v>4</v>
      </c>
      <c r="K208">
        <v>775</v>
      </c>
      <c r="L208" t="s">
        <v>28</v>
      </c>
    </row>
    <row r="209" spans="1:12" x14ac:dyDescent="0.2">
      <c r="A209" t="s">
        <v>243</v>
      </c>
      <c r="B209" s="2">
        <v>45911</v>
      </c>
      <c r="C209" t="s">
        <v>26</v>
      </c>
      <c r="D209" t="s">
        <v>27</v>
      </c>
      <c r="E209" t="s">
        <v>22</v>
      </c>
      <c r="F209" t="s">
        <v>23</v>
      </c>
      <c r="G209" t="s">
        <v>36</v>
      </c>
      <c r="H209">
        <v>162</v>
      </c>
      <c r="I209">
        <v>3</v>
      </c>
      <c r="J209">
        <v>1</v>
      </c>
      <c r="K209">
        <v>5057</v>
      </c>
      <c r="L209" t="s">
        <v>28</v>
      </c>
    </row>
    <row r="210" spans="1:12" x14ac:dyDescent="0.2">
      <c r="A210" t="s">
        <v>244</v>
      </c>
      <c r="B210" s="2">
        <v>45720</v>
      </c>
      <c r="C210" t="s">
        <v>26</v>
      </c>
      <c r="D210" t="s">
        <v>27</v>
      </c>
      <c r="E210" t="s">
        <v>34</v>
      </c>
      <c r="F210" t="s">
        <v>23</v>
      </c>
      <c r="G210" t="s">
        <v>17</v>
      </c>
      <c r="H210">
        <v>123</v>
      </c>
      <c r="I210">
        <v>11</v>
      </c>
      <c r="J210">
        <v>2</v>
      </c>
      <c r="K210">
        <v>12045</v>
      </c>
      <c r="L210" t="s">
        <v>28</v>
      </c>
    </row>
    <row r="211" spans="1:12" x14ac:dyDescent="0.2">
      <c r="A211" t="s">
        <v>245</v>
      </c>
      <c r="B211" s="2">
        <v>45942</v>
      </c>
      <c r="C211" t="s">
        <v>44</v>
      </c>
      <c r="D211" t="s">
        <v>45</v>
      </c>
      <c r="E211" t="s">
        <v>34</v>
      </c>
      <c r="F211" t="s">
        <v>35</v>
      </c>
      <c r="G211" t="s">
        <v>17</v>
      </c>
      <c r="H211">
        <v>107</v>
      </c>
      <c r="I211">
        <v>0</v>
      </c>
      <c r="J211">
        <v>1</v>
      </c>
      <c r="K211">
        <v>2959</v>
      </c>
      <c r="L211" t="s">
        <v>18</v>
      </c>
    </row>
    <row r="212" spans="1:12" x14ac:dyDescent="0.2">
      <c r="A212" t="s">
        <v>246</v>
      </c>
      <c r="B212" s="2">
        <v>45887</v>
      </c>
      <c r="C212" t="s">
        <v>44</v>
      </c>
      <c r="D212" t="s">
        <v>45</v>
      </c>
      <c r="E212" t="s">
        <v>22</v>
      </c>
      <c r="F212" t="s">
        <v>35</v>
      </c>
      <c r="G212" t="s">
        <v>36</v>
      </c>
      <c r="H212">
        <v>14</v>
      </c>
      <c r="I212">
        <v>4</v>
      </c>
      <c r="J212">
        <v>5</v>
      </c>
      <c r="K212">
        <v>7353</v>
      </c>
      <c r="L212" t="s">
        <v>28</v>
      </c>
    </row>
    <row r="213" spans="1:12" x14ac:dyDescent="0.2">
      <c r="A213" t="s">
        <v>247</v>
      </c>
      <c r="B213" s="2">
        <v>45705</v>
      </c>
      <c r="C213" t="s">
        <v>20</v>
      </c>
      <c r="D213" t="s">
        <v>21</v>
      </c>
      <c r="E213" t="s">
        <v>34</v>
      </c>
      <c r="F213" t="s">
        <v>35</v>
      </c>
      <c r="G213" t="s">
        <v>17</v>
      </c>
      <c r="H213">
        <v>24</v>
      </c>
      <c r="I213">
        <v>0</v>
      </c>
      <c r="J213">
        <v>2</v>
      </c>
      <c r="K213">
        <v>7883</v>
      </c>
      <c r="L213" t="s">
        <v>18</v>
      </c>
    </row>
    <row r="214" spans="1:12" x14ac:dyDescent="0.2">
      <c r="A214" t="s">
        <v>248</v>
      </c>
      <c r="B214" s="2">
        <v>45764</v>
      </c>
      <c r="C214" t="s">
        <v>26</v>
      </c>
      <c r="D214" t="s">
        <v>27</v>
      </c>
      <c r="E214" t="s">
        <v>15</v>
      </c>
      <c r="F214" t="s">
        <v>16</v>
      </c>
      <c r="G214" t="s">
        <v>24</v>
      </c>
      <c r="H214">
        <v>41</v>
      </c>
      <c r="I214">
        <v>10</v>
      </c>
      <c r="J214">
        <v>4</v>
      </c>
      <c r="K214">
        <v>1292</v>
      </c>
      <c r="L214" t="s">
        <v>28</v>
      </c>
    </row>
    <row r="215" spans="1:12" x14ac:dyDescent="0.2">
      <c r="A215" t="s">
        <v>249</v>
      </c>
      <c r="B215" s="2">
        <v>45935</v>
      </c>
      <c r="C215" t="s">
        <v>20</v>
      </c>
      <c r="D215" t="s">
        <v>21</v>
      </c>
      <c r="E215" t="s">
        <v>23</v>
      </c>
      <c r="F215" t="s">
        <v>23</v>
      </c>
      <c r="G215" t="s">
        <v>40</v>
      </c>
      <c r="H215">
        <v>164</v>
      </c>
      <c r="I215">
        <v>4</v>
      </c>
      <c r="J215">
        <v>3</v>
      </c>
      <c r="K215">
        <v>13509</v>
      </c>
      <c r="L215" t="s">
        <v>28</v>
      </c>
    </row>
    <row r="216" spans="1:12" x14ac:dyDescent="0.2">
      <c r="A216" t="s">
        <v>250</v>
      </c>
      <c r="B216" s="2">
        <v>45846</v>
      </c>
      <c r="C216" t="s">
        <v>20</v>
      </c>
      <c r="D216" t="s">
        <v>21</v>
      </c>
      <c r="E216" t="s">
        <v>22</v>
      </c>
      <c r="F216" t="s">
        <v>35</v>
      </c>
      <c r="G216" t="s">
        <v>40</v>
      </c>
      <c r="H216">
        <v>138</v>
      </c>
      <c r="I216">
        <v>0</v>
      </c>
      <c r="J216">
        <v>2</v>
      </c>
      <c r="K216">
        <v>9880</v>
      </c>
      <c r="L216" t="s">
        <v>28</v>
      </c>
    </row>
    <row r="217" spans="1:12" x14ac:dyDescent="0.2">
      <c r="A217" t="s">
        <v>251</v>
      </c>
      <c r="B217" s="2">
        <v>45872</v>
      </c>
      <c r="C217" t="s">
        <v>13</v>
      </c>
      <c r="D217" t="s">
        <v>14</v>
      </c>
      <c r="E217" t="s">
        <v>51</v>
      </c>
      <c r="F217" t="s">
        <v>35</v>
      </c>
      <c r="G217" t="s">
        <v>36</v>
      </c>
      <c r="H217">
        <v>135</v>
      </c>
      <c r="I217">
        <v>3</v>
      </c>
      <c r="J217">
        <v>4</v>
      </c>
      <c r="K217">
        <v>5088</v>
      </c>
      <c r="L217" t="s">
        <v>28</v>
      </c>
    </row>
    <row r="218" spans="1:12" x14ac:dyDescent="0.2">
      <c r="A218" t="s">
        <v>252</v>
      </c>
      <c r="B218" s="2">
        <v>45841</v>
      </c>
      <c r="C218" t="s">
        <v>26</v>
      </c>
      <c r="D218" t="s">
        <v>27</v>
      </c>
      <c r="E218" t="s">
        <v>15</v>
      </c>
      <c r="F218" t="s">
        <v>35</v>
      </c>
      <c r="G218" t="s">
        <v>30</v>
      </c>
      <c r="H218">
        <v>142</v>
      </c>
      <c r="I218">
        <v>3</v>
      </c>
      <c r="J218">
        <v>5</v>
      </c>
      <c r="K218">
        <v>15102</v>
      </c>
      <c r="L218" t="s">
        <v>28</v>
      </c>
    </row>
    <row r="219" spans="1:12" x14ac:dyDescent="0.2">
      <c r="A219" t="s">
        <v>253</v>
      </c>
      <c r="B219" s="2">
        <v>45836</v>
      </c>
      <c r="C219" t="s">
        <v>20</v>
      </c>
      <c r="D219" t="s">
        <v>21</v>
      </c>
      <c r="E219" t="s">
        <v>51</v>
      </c>
      <c r="F219" t="s">
        <v>35</v>
      </c>
      <c r="G219" t="s">
        <v>40</v>
      </c>
      <c r="H219">
        <v>6</v>
      </c>
      <c r="I219">
        <v>10</v>
      </c>
      <c r="J219">
        <v>2</v>
      </c>
      <c r="K219">
        <v>4217</v>
      </c>
      <c r="L219" t="s">
        <v>28</v>
      </c>
    </row>
    <row r="220" spans="1:12" x14ac:dyDescent="0.2">
      <c r="A220" t="s">
        <v>254</v>
      </c>
      <c r="B220" s="2">
        <v>45958</v>
      </c>
      <c r="C220" t="s">
        <v>26</v>
      </c>
      <c r="D220" t="s">
        <v>27</v>
      </c>
      <c r="E220" t="s">
        <v>23</v>
      </c>
      <c r="F220" t="s">
        <v>23</v>
      </c>
      <c r="G220" t="s">
        <v>17</v>
      </c>
      <c r="H220">
        <v>86</v>
      </c>
      <c r="I220">
        <v>1</v>
      </c>
      <c r="J220">
        <v>3</v>
      </c>
      <c r="K220">
        <v>12524</v>
      </c>
      <c r="L220" t="s">
        <v>28</v>
      </c>
    </row>
    <row r="221" spans="1:12" x14ac:dyDescent="0.2">
      <c r="A221" t="s">
        <v>255</v>
      </c>
      <c r="B221" s="2">
        <v>45660</v>
      </c>
      <c r="C221" t="s">
        <v>44</v>
      </c>
      <c r="D221" t="s">
        <v>45</v>
      </c>
      <c r="E221" t="s">
        <v>23</v>
      </c>
      <c r="F221" t="s">
        <v>23</v>
      </c>
      <c r="G221" t="s">
        <v>30</v>
      </c>
      <c r="H221">
        <v>73</v>
      </c>
      <c r="I221">
        <v>5</v>
      </c>
      <c r="J221">
        <v>2</v>
      </c>
      <c r="K221">
        <v>17134</v>
      </c>
      <c r="L221" t="s">
        <v>28</v>
      </c>
    </row>
    <row r="222" spans="1:12" x14ac:dyDescent="0.2">
      <c r="A222" t="s">
        <v>256</v>
      </c>
      <c r="B222" s="2">
        <v>45917</v>
      </c>
      <c r="C222" t="s">
        <v>26</v>
      </c>
      <c r="D222" t="s">
        <v>27</v>
      </c>
      <c r="E222" t="s">
        <v>34</v>
      </c>
      <c r="F222" t="s">
        <v>35</v>
      </c>
      <c r="G222" t="s">
        <v>30</v>
      </c>
      <c r="H222">
        <v>61</v>
      </c>
      <c r="I222">
        <v>5</v>
      </c>
      <c r="J222">
        <v>4</v>
      </c>
      <c r="K222">
        <v>2020</v>
      </c>
      <c r="L222" t="s">
        <v>28</v>
      </c>
    </row>
    <row r="223" spans="1:12" x14ac:dyDescent="0.2">
      <c r="A223" t="s">
        <v>257</v>
      </c>
      <c r="B223" s="2">
        <v>45749</v>
      </c>
      <c r="C223" t="s">
        <v>20</v>
      </c>
      <c r="D223" t="s">
        <v>21</v>
      </c>
      <c r="E223" t="s">
        <v>22</v>
      </c>
      <c r="F223" t="s">
        <v>23</v>
      </c>
      <c r="G223" t="s">
        <v>17</v>
      </c>
      <c r="H223">
        <v>60</v>
      </c>
      <c r="I223">
        <v>6</v>
      </c>
      <c r="J223">
        <v>3</v>
      </c>
      <c r="K223">
        <v>5965</v>
      </c>
      <c r="L223" t="s">
        <v>28</v>
      </c>
    </row>
    <row r="224" spans="1:12" x14ac:dyDescent="0.2">
      <c r="A224" t="s">
        <v>258</v>
      </c>
      <c r="B224" s="2">
        <v>45810</v>
      </c>
      <c r="C224" t="s">
        <v>32</v>
      </c>
      <c r="D224" t="s">
        <v>33</v>
      </c>
      <c r="E224" t="s">
        <v>22</v>
      </c>
      <c r="F224" t="s">
        <v>35</v>
      </c>
      <c r="G224" t="s">
        <v>30</v>
      </c>
      <c r="H224">
        <v>148</v>
      </c>
      <c r="I224">
        <v>7</v>
      </c>
      <c r="J224">
        <v>1</v>
      </c>
      <c r="K224">
        <v>874</v>
      </c>
      <c r="L224" t="s">
        <v>28</v>
      </c>
    </row>
    <row r="225" spans="1:12" x14ac:dyDescent="0.2">
      <c r="A225" t="s">
        <v>259</v>
      </c>
      <c r="B225" s="2">
        <v>45946</v>
      </c>
      <c r="C225" t="s">
        <v>13</v>
      </c>
      <c r="D225" t="s">
        <v>14</v>
      </c>
      <c r="E225" t="s">
        <v>15</v>
      </c>
      <c r="F225" t="s">
        <v>16</v>
      </c>
      <c r="G225" t="s">
        <v>36</v>
      </c>
      <c r="H225">
        <v>54</v>
      </c>
      <c r="I225">
        <v>12</v>
      </c>
      <c r="J225">
        <v>5</v>
      </c>
      <c r="K225">
        <v>6620</v>
      </c>
      <c r="L225" t="s">
        <v>28</v>
      </c>
    </row>
    <row r="226" spans="1:12" x14ac:dyDescent="0.2">
      <c r="A226" t="s">
        <v>260</v>
      </c>
      <c r="B226" s="2">
        <v>45825</v>
      </c>
      <c r="C226" t="s">
        <v>20</v>
      </c>
      <c r="D226" t="s">
        <v>21</v>
      </c>
      <c r="E226" t="s">
        <v>15</v>
      </c>
      <c r="F226" t="s">
        <v>23</v>
      </c>
      <c r="G226" t="s">
        <v>36</v>
      </c>
      <c r="H226">
        <v>119</v>
      </c>
      <c r="I226">
        <v>1</v>
      </c>
      <c r="J226">
        <v>3</v>
      </c>
      <c r="K226">
        <v>583</v>
      </c>
      <c r="L226" t="s">
        <v>28</v>
      </c>
    </row>
    <row r="227" spans="1:12" x14ac:dyDescent="0.2">
      <c r="A227" t="s">
        <v>261</v>
      </c>
      <c r="B227" s="2">
        <v>45866</v>
      </c>
      <c r="C227" t="s">
        <v>26</v>
      </c>
      <c r="D227" t="s">
        <v>27</v>
      </c>
      <c r="E227" t="s">
        <v>23</v>
      </c>
      <c r="F227" t="s">
        <v>23</v>
      </c>
      <c r="G227" t="s">
        <v>30</v>
      </c>
      <c r="H227">
        <v>72</v>
      </c>
      <c r="I227">
        <v>1</v>
      </c>
      <c r="J227">
        <v>2</v>
      </c>
      <c r="K227">
        <v>10063</v>
      </c>
      <c r="L227" t="s">
        <v>28</v>
      </c>
    </row>
    <row r="228" spans="1:12" x14ac:dyDescent="0.2">
      <c r="A228" t="s">
        <v>262</v>
      </c>
      <c r="B228" s="2">
        <v>45680</v>
      </c>
      <c r="C228" t="s">
        <v>20</v>
      </c>
      <c r="D228" t="s">
        <v>21</v>
      </c>
      <c r="E228" t="s">
        <v>15</v>
      </c>
      <c r="F228" t="s">
        <v>35</v>
      </c>
      <c r="G228" t="s">
        <v>17</v>
      </c>
      <c r="H228">
        <v>106</v>
      </c>
      <c r="I228">
        <v>3</v>
      </c>
      <c r="J228">
        <v>3</v>
      </c>
      <c r="K228">
        <v>7633</v>
      </c>
      <c r="L228" t="s">
        <v>28</v>
      </c>
    </row>
    <row r="229" spans="1:12" x14ac:dyDescent="0.2">
      <c r="A229" t="s">
        <v>263</v>
      </c>
      <c r="B229" s="2">
        <v>46005</v>
      </c>
      <c r="C229" t="s">
        <v>44</v>
      </c>
      <c r="D229" t="s">
        <v>45</v>
      </c>
      <c r="E229" t="s">
        <v>51</v>
      </c>
      <c r="F229" t="s">
        <v>23</v>
      </c>
      <c r="G229" t="s">
        <v>40</v>
      </c>
      <c r="H229">
        <v>42</v>
      </c>
      <c r="I229">
        <v>11</v>
      </c>
      <c r="J229">
        <v>3</v>
      </c>
      <c r="K229">
        <v>15140</v>
      </c>
      <c r="L229" t="s">
        <v>28</v>
      </c>
    </row>
    <row r="230" spans="1:12" x14ac:dyDescent="0.2">
      <c r="A230" t="s">
        <v>264</v>
      </c>
      <c r="B230" s="2">
        <v>45659</v>
      </c>
      <c r="C230" t="s">
        <v>13</v>
      </c>
      <c r="D230" t="s">
        <v>14</v>
      </c>
      <c r="E230" t="s">
        <v>51</v>
      </c>
      <c r="F230" t="s">
        <v>23</v>
      </c>
      <c r="G230" t="s">
        <v>24</v>
      </c>
      <c r="H230">
        <v>54</v>
      </c>
      <c r="I230">
        <v>13</v>
      </c>
      <c r="J230">
        <v>3</v>
      </c>
      <c r="K230">
        <v>9975</v>
      </c>
      <c r="L230" t="s">
        <v>28</v>
      </c>
    </row>
    <row r="231" spans="1:12" x14ac:dyDescent="0.2">
      <c r="A231" t="s">
        <v>265</v>
      </c>
      <c r="B231" s="2">
        <v>45721</v>
      </c>
      <c r="C231" t="s">
        <v>26</v>
      </c>
      <c r="D231" t="s">
        <v>27</v>
      </c>
      <c r="E231" t="s">
        <v>22</v>
      </c>
      <c r="F231" t="s">
        <v>23</v>
      </c>
      <c r="G231" t="s">
        <v>17</v>
      </c>
      <c r="H231">
        <v>17</v>
      </c>
      <c r="I231">
        <v>13</v>
      </c>
      <c r="J231">
        <v>2</v>
      </c>
      <c r="K231">
        <v>7960</v>
      </c>
      <c r="L231" t="s">
        <v>18</v>
      </c>
    </row>
    <row r="232" spans="1:12" x14ac:dyDescent="0.2">
      <c r="A232" t="s">
        <v>266</v>
      </c>
      <c r="B232" s="2">
        <v>45953</v>
      </c>
      <c r="C232" t="s">
        <v>20</v>
      </c>
      <c r="D232" t="s">
        <v>21</v>
      </c>
      <c r="E232" t="s">
        <v>51</v>
      </c>
      <c r="F232" t="s">
        <v>16</v>
      </c>
      <c r="G232" t="s">
        <v>17</v>
      </c>
      <c r="H232">
        <v>164</v>
      </c>
      <c r="I232">
        <v>5</v>
      </c>
      <c r="J232">
        <v>4</v>
      </c>
      <c r="K232">
        <v>5342</v>
      </c>
      <c r="L232" t="s">
        <v>28</v>
      </c>
    </row>
    <row r="233" spans="1:12" x14ac:dyDescent="0.2">
      <c r="A233" t="s">
        <v>267</v>
      </c>
      <c r="B233" s="2">
        <v>45887</v>
      </c>
      <c r="C233" t="s">
        <v>26</v>
      </c>
      <c r="D233" t="s">
        <v>27</v>
      </c>
      <c r="E233" t="s">
        <v>34</v>
      </c>
      <c r="F233" t="s">
        <v>23</v>
      </c>
      <c r="G233" t="s">
        <v>30</v>
      </c>
      <c r="H233">
        <v>144</v>
      </c>
      <c r="I233">
        <v>4</v>
      </c>
      <c r="J233">
        <v>3</v>
      </c>
      <c r="K233">
        <v>11951</v>
      </c>
      <c r="L233" t="s">
        <v>28</v>
      </c>
    </row>
    <row r="234" spans="1:12" x14ac:dyDescent="0.2">
      <c r="A234" t="s">
        <v>268</v>
      </c>
      <c r="B234" s="2">
        <v>46013</v>
      </c>
      <c r="C234" t="s">
        <v>44</v>
      </c>
      <c r="D234" t="s">
        <v>45</v>
      </c>
      <c r="E234" t="s">
        <v>34</v>
      </c>
      <c r="F234" t="s">
        <v>16</v>
      </c>
      <c r="G234" t="s">
        <v>30</v>
      </c>
      <c r="H234">
        <v>159</v>
      </c>
      <c r="I234">
        <v>12</v>
      </c>
      <c r="J234">
        <v>4</v>
      </c>
      <c r="K234">
        <v>6665</v>
      </c>
      <c r="L234" t="s">
        <v>18</v>
      </c>
    </row>
    <row r="235" spans="1:12" x14ac:dyDescent="0.2">
      <c r="A235" t="s">
        <v>269</v>
      </c>
      <c r="B235" s="2">
        <v>45885</v>
      </c>
      <c r="C235" t="s">
        <v>20</v>
      </c>
      <c r="D235" t="s">
        <v>21</v>
      </c>
      <c r="E235" t="s">
        <v>34</v>
      </c>
      <c r="F235" t="s">
        <v>23</v>
      </c>
      <c r="G235" t="s">
        <v>17</v>
      </c>
      <c r="H235">
        <v>67</v>
      </c>
      <c r="I235">
        <v>11</v>
      </c>
      <c r="J235">
        <v>1</v>
      </c>
      <c r="K235">
        <v>3280</v>
      </c>
      <c r="L235" t="s">
        <v>28</v>
      </c>
    </row>
    <row r="236" spans="1:12" x14ac:dyDescent="0.2">
      <c r="A236" t="s">
        <v>270</v>
      </c>
      <c r="B236" s="2">
        <v>45981</v>
      </c>
      <c r="C236" t="s">
        <v>13</v>
      </c>
      <c r="D236" t="s">
        <v>14</v>
      </c>
      <c r="E236" t="s">
        <v>22</v>
      </c>
      <c r="F236" t="s">
        <v>16</v>
      </c>
      <c r="G236" t="s">
        <v>36</v>
      </c>
      <c r="H236">
        <v>156</v>
      </c>
      <c r="I236">
        <v>12</v>
      </c>
      <c r="J236">
        <v>2</v>
      </c>
      <c r="K236">
        <v>11237</v>
      </c>
      <c r="L236" t="s">
        <v>28</v>
      </c>
    </row>
    <row r="237" spans="1:12" x14ac:dyDescent="0.2">
      <c r="A237" t="s">
        <v>271</v>
      </c>
      <c r="B237" s="2">
        <v>45836</v>
      </c>
      <c r="C237" t="s">
        <v>44</v>
      </c>
      <c r="D237" t="s">
        <v>45</v>
      </c>
      <c r="E237" t="s">
        <v>23</v>
      </c>
      <c r="F237" t="s">
        <v>23</v>
      </c>
      <c r="G237" t="s">
        <v>40</v>
      </c>
      <c r="H237">
        <v>135</v>
      </c>
      <c r="I237">
        <v>0</v>
      </c>
      <c r="J237">
        <v>5</v>
      </c>
      <c r="K237">
        <v>12213</v>
      </c>
      <c r="L237" t="s">
        <v>18</v>
      </c>
    </row>
    <row r="238" spans="1:12" x14ac:dyDescent="0.2">
      <c r="A238" t="s">
        <v>272</v>
      </c>
      <c r="B238" s="2">
        <v>45847</v>
      </c>
      <c r="C238" t="s">
        <v>20</v>
      </c>
      <c r="D238" t="s">
        <v>21</v>
      </c>
      <c r="E238" t="s">
        <v>51</v>
      </c>
      <c r="F238" t="s">
        <v>35</v>
      </c>
      <c r="G238" t="s">
        <v>40</v>
      </c>
      <c r="H238">
        <v>99</v>
      </c>
      <c r="I238">
        <v>1</v>
      </c>
      <c r="J238">
        <v>5</v>
      </c>
      <c r="K238">
        <v>13215</v>
      </c>
      <c r="L238" t="s">
        <v>28</v>
      </c>
    </row>
    <row r="239" spans="1:12" x14ac:dyDescent="0.2">
      <c r="A239" t="s">
        <v>273</v>
      </c>
      <c r="B239" s="2">
        <v>45851</v>
      </c>
      <c r="C239" t="s">
        <v>13</v>
      </c>
      <c r="D239" t="s">
        <v>14</v>
      </c>
      <c r="E239" t="s">
        <v>15</v>
      </c>
      <c r="F239" t="s">
        <v>35</v>
      </c>
      <c r="G239" t="s">
        <v>36</v>
      </c>
      <c r="H239">
        <v>162</v>
      </c>
      <c r="I239">
        <v>9</v>
      </c>
      <c r="J239">
        <v>4</v>
      </c>
      <c r="K239">
        <v>12585</v>
      </c>
      <c r="L239" t="s">
        <v>28</v>
      </c>
    </row>
    <row r="240" spans="1:12" x14ac:dyDescent="0.2">
      <c r="A240" t="s">
        <v>274</v>
      </c>
      <c r="B240" s="2">
        <v>45943</v>
      </c>
      <c r="C240" t="s">
        <v>26</v>
      </c>
      <c r="D240" t="s">
        <v>27</v>
      </c>
      <c r="E240" t="s">
        <v>34</v>
      </c>
      <c r="F240" t="s">
        <v>35</v>
      </c>
      <c r="G240" t="s">
        <v>17</v>
      </c>
      <c r="H240">
        <v>119</v>
      </c>
      <c r="I240">
        <v>11</v>
      </c>
      <c r="J240">
        <v>5</v>
      </c>
      <c r="K240">
        <v>9660</v>
      </c>
      <c r="L240" t="s">
        <v>28</v>
      </c>
    </row>
    <row r="241" spans="1:12" x14ac:dyDescent="0.2">
      <c r="A241" t="s">
        <v>275</v>
      </c>
      <c r="B241" s="2">
        <v>45946</v>
      </c>
      <c r="C241" t="s">
        <v>32</v>
      </c>
      <c r="D241" t="s">
        <v>33</v>
      </c>
      <c r="E241" t="s">
        <v>15</v>
      </c>
      <c r="F241" t="s">
        <v>35</v>
      </c>
      <c r="G241" t="s">
        <v>40</v>
      </c>
      <c r="H241">
        <v>15</v>
      </c>
      <c r="I241">
        <v>13</v>
      </c>
      <c r="J241">
        <v>5</v>
      </c>
      <c r="K241">
        <v>11173</v>
      </c>
      <c r="L241" t="s">
        <v>28</v>
      </c>
    </row>
    <row r="242" spans="1:12" x14ac:dyDescent="0.2">
      <c r="A242" t="s">
        <v>276</v>
      </c>
      <c r="B242" s="2">
        <v>45957</v>
      </c>
      <c r="C242" t="s">
        <v>44</v>
      </c>
      <c r="D242" t="s">
        <v>45</v>
      </c>
      <c r="E242" t="s">
        <v>23</v>
      </c>
      <c r="F242" t="s">
        <v>16</v>
      </c>
      <c r="G242" t="s">
        <v>30</v>
      </c>
      <c r="H242">
        <v>102</v>
      </c>
      <c r="I242">
        <v>10</v>
      </c>
      <c r="J242">
        <v>3</v>
      </c>
      <c r="K242">
        <v>5109</v>
      </c>
      <c r="L242" t="s">
        <v>18</v>
      </c>
    </row>
    <row r="243" spans="1:12" x14ac:dyDescent="0.2">
      <c r="A243" t="s">
        <v>277</v>
      </c>
      <c r="B243" s="2">
        <v>45879</v>
      </c>
      <c r="C243" t="s">
        <v>13</v>
      </c>
      <c r="D243" t="s">
        <v>14</v>
      </c>
      <c r="E243" t="s">
        <v>23</v>
      </c>
      <c r="F243" t="s">
        <v>35</v>
      </c>
      <c r="G243" t="s">
        <v>36</v>
      </c>
      <c r="H243">
        <v>88</v>
      </c>
      <c r="I243">
        <v>4</v>
      </c>
      <c r="J243">
        <v>1</v>
      </c>
      <c r="K243">
        <v>4487</v>
      </c>
      <c r="L243" t="s">
        <v>28</v>
      </c>
    </row>
    <row r="244" spans="1:12" x14ac:dyDescent="0.2">
      <c r="A244" t="s">
        <v>278</v>
      </c>
      <c r="B244" s="2">
        <v>46015</v>
      </c>
      <c r="C244" t="s">
        <v>32</v>
      </c>
      <c r="D244" t="s">
        <v>33</v>
      </c>
      <c r="E244" t="s">
        <v>34</v>
      </c>
      <c r="F244" t="s">
        <v>23</v>
      </c>
      <c r="G244" t="s">
        <v>24</v>
      </c>
      <c r="H244">
        <v>163</v>
      </c>
      <c r="I244">
        <v>10</v>
      </c>
      <c r="J244">
        <v>3</v>
      </c>
      <c r="K244">
        <v>14766</v>
      </c>
      <c r="L244" t="s">
        <v>18</v>
      </c>
    </row>
    <row r="245" spans="1:12" x14ac:dyDescent="0.2">
      <c r="A245" t="s">
        <v>279</v>
      </c>
      <c r="B245" s="2">
        <v>45780</v>
      </c>
      <c r="C245" t="s">
        <v>13</v>
      </c>
      <c r="D245" t="s">
        <v>14</v>
      </c>
      <c r="E245" t="s">
        <v>22</v>
      </c>
      <c r="F245" t="s">
        <v>35</v>
      </c>
      <c r="G245" t="s">
        <v>24</v>
      </c>
      <c r="H245">
        <v>22</v>
      </c>
      <c r="I245">
        <v>3</v>
      </c>
      <c r="J245">
        <v>1</v>
      </c>
      <c r="K245">
        <v>15841</v>
      </c>
      <c r="L245" t="s">
        <v>18</v>
      </c>
    </row>
    <row r="246" spans="1:12" x14ac:dyDescent="0.2">
      <c r="A246" t="s">
        <v>280</v>
      </c>
      <c r="B246" s="2">
        <v>45963</v>
      </c>
      <c r="C246" t="s">
        <v>20</v>
      </c>
      <c r="D246" t="s">
        <v>21</v>
      </c>
      <c r="E246" t="s">
        <v>22</v>
      </c>
      <c r="F246" t="s">
        <v>16</v>
      </c>
      <c r="G246" t="s">
        <v>36</v>
      </c>
      <c r="H246">
        <v>68</v>
      </c>
      <c r="I246">
        <v>2</v>
      </c>
      <c r="J246">
        <v>4</v>
      </c>
      <c r="K246">
        <v>16206</v>
      </c>
      <c r="L246" t="s">
        <v>28</v>
      </c>
    </row>
    <row r="247" spans="1:12" x14ac:dyDescent="0.2">
      <c r="A247" t="s">
        <v>281</v>
      </c>
      <c r="B247" s="2">
        <v>45828</v>
      </c>
      <c r="C247" t="s">
        <v>44</v>
      </c>
      <c r="D247" t="s">
        <v>45</v>
      </c>
      <c r="E247" t="s">
        <v>15</v>
      </c>
      <c r="F247" t="s">
        <v>23</v>
      </c>
      <c r="G247" t="s">
        <v>24</v>
      </c>
      <c r="H247">
        <v>21</v>
      </c>
      <c r="I247">
        <v>4</v>
      </c>
      <c r="J247">
        <v>4</v>
      </c>
      <c r="K247">
        <v>16289</v>
      </c>
      <c r="L247" t="s">
        <v>28</v>
      </c>
    </row>
    <row r="248" spans="1:12" x14ac:dyDescent="0.2">
      <c r="A248" t="s">
        <v>282</v>
      </c>
      <c r="B248" s="2">
        <v>45844</v>
      </c>
      <c r="C248" t="s">
        <v>20</v>
      </c>
      <c r="D248" t="s">
        <v>21</v>
      </c>
      <c r="E248" t="s">
        <v>15</v>
      </c>
      <c r="F248" t="s">
        <v>16</v>
      </c>
      <c r="G248" t="s">
        <v>36</v>
      </c>
      <c r="H248">
        <v>143</v>
      </c>
      <c r="I248">
        <v>10</v>
      </c>
      <c r="J248">
        <v>3</v>
      </c>
      <c r="K248">
        <v>12600</v>
      </c>
      <c r="L248" t="s">
        <v>28</v>
      </c>
    </row>
    <row r="249" spans="1:12" x14ac:dyDescent="0.2">
      <c r="A249" t="s">
        <v>283</v>
      </c>
      <c r="B249" s="2">
        <v>45800</v>
      </c>
      <c r="C249" t="s">
        <v>20</v>
      </c>
      <c r="D249" t="s">
        <v>21</v>
      </c>
      <c r="E249" t="s">
        <v>23</v>
      </c>
      <c r="F249" t="s">
        <v>35</v>
      </c>
      <c r="G249" t="s">
        <v>24</v>
      </c>
      <c r="H249">
        <v>98</v>
      </c>
      <c r="I249">
        <v>13</v>
      </c>
      <c r="J249">
        <v>2</v>
      </c>
      <c r="K249">
        <v>14576</v>
      </c>
      <c r="L249" t="s">
        <v>18</v>
      </c>
    </row>
    <row r="250" spans="1:12" x14ac:dyDescent="0.2">
      <c r="A250" t="s">
        <v>284</v>
      </c>
      <c r="B250" s="2">
        <v>45799</v>
      </c>
      <c r="C250" t="s">
        <v>20</v>
      </c>
      <c r="D250" t="s">
        <v>21</v>
      </c>
      <c r="E250" t="s">
        <v>15</v>
      </c>
      <c r="F250" t="s">
        <v>16</v>
      </c>
      <c r="G250" t="s">
        <v>36</v>
      </c>
      <c r="H250">
        <v>18</v>
      </c>
      <c r="I250">
        <v>4</v>
      </c>
      <c r="J250">
        <v>3</v>
      </c>
      <c r="K250">
        <v>5926</v>
      </c>
      <c r="L250" t="s">
        <v>28</v>
      </c>
    </row>
    <row r="251" spans="1:12" x14ac:dyDescent="0.2">
      <c r="A251" t="s">
        <v>285</v>
      </c>
      <c r="B251" s="2">
        <v>45702</v>
      </c>
      <c r="C251" t="s">
        <v>13</v>
      </c>
      <c r="D251" t="s">
        <v>14</v>
      </c>
      <c r="E251" t="s">
        <v>51</v>
      </c>
      <c r="F251" t="s">
        <v>16</v>
      </c>
      <c r="G251" t="s">
        <v>17</v>
      </c>
      <c r="H251">
        <v>38</v>
      </c>
      <c r="I251">
        <v>0</v>
      </c>
      <c r="J251">
        <v>4</v>
      </c>
      <c r="K251">
        <v>14603</v>
      </c>
      <c r="L251" t="s">
        <v>28</v>
      </c>
    </row>
    <row r="252" spans="1:12" x14ac:dyDescent="0.2">
      <c r="A252" t="s">
        <v>286</v>
      </c>
      <c r="B252" s="2">
        <v>45857</v>
      </c>
      <c r="C252" t="s">
        <v>32</v>
      </c>
      <c r="D252" t="s">
        <v>33</v>
      </c>
      <c r="E252" t="s">
        <v>15</v>
      </c>
      <c r="F252" t="s">
        <v>16</v>
      </c>
      <c r="G252" t="s">
        <v>40</v>
      </c>
      <c r="H252">
        <v>138</v>
      </c>
      <c r="I252">
        <v>11</v>
      </c>
      <c r="J252">
        <v>3</v>
      </c>
      <c r="K252">
        <v>7271</v>
      </c>
      <c r="L252" t="s">
        <v>28</v>
      </c>
    </row>
    <row r="253" spans="1:12" x14ac:dyDescent="0.2">
      <c r="A253" t="s">
        <v>287</v>
      </c>
      <c r="B253" s="2">
        <v>45820</v>
      </c>
      <c r="C253" t="s">
        <v>44</v>
      </c>
      <c r="D253" t="s">
        <v>45</v>
      </c>
      <c r="E253" t="s">
        <v>23</v>
      </c>
      <c r="F253" t="s">
        <v>16</v>
      </c>
      <c r="G253" t="s">
        <v>24</v>
      </c>
      <c r="H253">
        <v>134</v>
      </c>
      <c r="I253">
        <v>11</v>
      </c>
      <c r="J253">
        <v>2</v>
      </c>
      <c r="K253">
        <v>14639</v>
      </c>
      <c r="L253" t="s">
        <v>28</v>
      </c>
    </row>
    <row r="254" spans="1:12" x14ac:dyDescent="0.2">
      <c r="A254" t="s">
        <v>288</v>
      </c>
      <c r="B254" s="2">
        <v>45877</v>
      </c>
      <c r="C254" t="s">
        <v>44</v>
      </c>
      <c r="D254" t="s">
        <v>45</v>
      </c>
      <c r="E254" t="s">
        <v>15</v>
      </c>
      <c r="F254" t="s">
        <v>16</v>
      </c>
      <c r="G254" t="s">
        <v>40</v>
      </c>
      <c r="H254">
        <v>11</v>
      </c>
      <c r="I254">
        <v>12</v>
      </c>
      <c r="J254">
        <v>1</v>
      </c>
      <c r="K254">
        <v>244</v>
      </c>
      <c r="L254" t="s">
        <v>18</v>
      </c>
    </row>
    <row r="255" spans="1:12" x14ac:dyDescent="0.2">
      <c r="A255" t="s">
        <v>289</v>
      </c>
      <c r="B255" s="2">
        <v>45661</v>
      </c>
      <c r="C255" t="s">
        <v>26</v>
      </c>
      <c r="D255" t="s">
        <v>27</v>
      </c>
      <c r="E255" t="s">
        <v>34</v>
      </c>
      <c r="F255" t="s">
        <v>35</v>
      </c>
      <c r="G255" t="s">
        <v>36</v>
      </c>
      <c r="H255">
        <v>132</v>
      </c>
      <c r="I255">
        <v>5</v>
      </c>
      <c r="J255">
        <v>2</v>
      </c>
      <c r="K255">
        <v>15368</v>
      </c>
      <c r="L255" t="s">
        <v>28</v>
      </c>
    </row>
    <row r="256" spans="1:12" x14ac:dyDescent="0.2">
      <c r="A256" t="s">
        <v>290</v>
      </c>
      <c r="B256" s="2">
        <v>45883</v>
      </c>
      <c r="C256" t="s">
        <v>13</v>
      </c>
      <c r="D256" t="s">
        <v>14</v>
      </c>
      <c r="E256" t="s">
        <v>23</v>
      </c>
      <c r="F256" t="s">
        <v>16</v>
      </c>
      <c r="G256" t="s">
        <v>40</v>
      </c>
      <c r="H256">
        <v>158</v>
      </c>
      <c r="I256">
        <v>7</v>
      </c>
      <c r="J256">
        <v>5</v>
      </c>
      <c r="K256">
        <v>8311</v>
      </c>
      <c r="L256" t="s">
        <v>28</v>
      </c>
    </row>
    <row r="257" spans="1:12" x14ac:dyDescent="0.2">
      <c r="A257" t="s">
        <v>291</v>
      </c>
      <c r="B257" s="2">
        <v>45943</v>
      </c>
      <c r="C257" t="s">
        <v>20</v>
      </c>
      <c r="D257" t="s">
        <v>21</v>
      </c>
      <c r="E257" t="s">
        <v>23</v>
      </c>
      <c r="F257" t="s">
        <v>35</v>
      </c>
      <c r="G257" t="s">
        <v>17</v>
      </c>
      <c r="H257">
        <v>69</v>
      </c>
      <c r="I257">
        <v>12</v>
      </c>
      <c r="J257">
        <v>5</v>
      </c>
      <c r="K257">
        <v>14882</v>
      </c>
      <c r="L257" t="s">
        <v>28</v>
      </c>
    </row>
    <row r="258" spans="1:12" x14ac:dyDescent="0.2">
      <c r="A258" t="s">
        <v>292</v>
      </c>
      <c r="B258" s="2">
        <v>45893</v>
      </c>
      <c r="C258" t="s">
        <v>26</v>
      </c>
      <c r="D258" t="s">
        <v>27</v>
      </c>
      <c r="E258" t="s">
        <v>22</v>
      </c>
      <c r="F258" t="s">
        <v>23</v>
      </c>
      <c r="G258" t="s">
        <v>30</v>
      </c>
      <c r="H258">
        <v>56</v>
      </c>
      <c r="I258">
        <v>7</v>
      </c>
      <c r="J258">
        <v>1</v>
      </c>
      <c r="K258">
        <v>7219</v>
      </c>
      <c r="L258" t="s">
        <v>28</v>
      </c>
    </row>
    <row r="259" spans="1:12" x14ac:dyDescent="0.2">
      <c r="A259" t="s">
        <v>293</v>
      </c>
      <c r="B259" s="2">
        <v>45939</v>
      </c>
      <c r="C259" t="s">
        <v>13</v>
      </c>
      <c r="D259" t="s">
        <v>14</v>
      </c>
      <c r="E259" t="s">
        <v>34</v>
      </c>
      <c r="F259" t="s">
        <v>35</v>
      </c>
      <c r="G259" t="s">
        <v>24</v>
      </c>
      <c r="H259">
        <v>143</v>
      </c>
      <c r="I259">
        <v>9</v>
      </c>
      <c r="J259">
        <v>2</v>
      </c>
      <c r="K259">
        <v>2979</v>
      </c>
      <c r="L259" t="s">
        <v>28</v>
      </c>
    </row>
    <row r="260" spans="1:12" x14ac:dyDescent="0.2">
      <c r="A260" t="s">
        <v>294</v>
      </c>
      <c r="B260" s="2">
        <v>45812</v>
      </c>
      <c r="C260" t="s">
        <v>20</v>
      </c>
      <c r="D260" t="s">
        <v>21</v>
      </c>
      <c r="E260" t="s">
        <v>22</v>
      </c>
      <c r="F260" t="s">
        <v>23</v>
      </c>
      <c r="G260" t="s">
        <v>30</v>
      </c>
      <c r="H260">
        <v>20</v>
      </c>
      <c r="I260">
        <v>11</v>
      </c>
      <c r="J260">
        <v>3</v>
      </c>
      <c r="K260">
        <v>14651</v>
      </c>
      <c r="L260" t="s">
        <v>28</v>
      </c>
    </row>
    <row r="261" spans="1:12" x14ac:dyDescent="0.2">
      <c r="A261" t="s">
        <v>295</v>
      </c>
      <c r="B261" s="2">
        <v>46014</v>
      </c>
      <c r="C261" t="s">
        <v>32</v>
      </c>
      <c r="D261" t="s">
        <v>33</v>
      </c>
      <c r="E261" t="s">
        <v>34</v>
      </c>
      <c r="F261" t="s">
        <v>35</v>
      </c>
      <c r="G261" t="s">
        <v>30</v>
      </c>
      <c r="H261">
        <v>111</v>
      </c>
      <c r="I261">
        <v>6</v>
      </c>
      <c r="J261">
        <v>1</v>
      </c>
      <c r="K261">
        <v>16878</v>
      </c>
      <c r="L261" t="s">
        <v>28</v>
      </c>
    </row>
    <row r="262" spans="1:12" x14ac:dyDescent="0.2">
      <c r="A262" t="s">
        <v>296</v>
      </c>
      <c r="B262" s="2">
        <v>45988</v>
      </c>
      <c r="C262" t="s">
        <v>13</v>
      </c>
      <c r="D262" t="s">
        <v>14</v>
      </c>
      <c r="E262" t="s">
        <v>15</v>
      </c>
      <c r="F262" t="s">
        <v>35</v>
      </c>
      <c r="G262" t="s">
        <v>30</v>
      </c>
      <c r="H262">
        <v>42</v>
      </c>
      <c r="I262">
        <v>4</v>
      </c>
      <c r="J262">
        <v>2</v>
      </c>
      <c r="K262">
        <v>14202</v>
      </c>
      <c r="L262" t="s">
        <v>28</v>
      </c>
    </row>
    <row r="263" spans="1:12" x14ac:dyDescent="0.2">
      <c r="A263" t="s">
        <v>297</v>
      </c>
      <c r="B263" s="2">
        <v>45733</v>
      </c>
      <c r="C263" t="s">
        <v>20</v>
      </c>
      <c r="D263" t="s">
        <v>21</v>
      </c>
      <c r="E263" t="s">
        <v>22</v>
      </c>
      <c r="F263" t="s">
        <v>23</v>
      </c>
      <c r="G263" t="s">
        <v>24</v>
      </c>
      <c r="H263">
        <v>59</v>
      </c>
      <c r="I263">
        <v>12</v>
      </c>
      <c r="J263">
        <v>2</v>
      </c>
      <c r="K263">
        <v>12470</v>
      </c>
      <c r="L263" t="s">
        <v>28</v>
      </c>
    </row>
    <row r="264" spans="1:12" x14ac:dyDescent="0.2">
      <c r="A264" t="s">
        <v>298</v>
      </c>
      <c r="B264" s="2">
        <v>45854</v>
      </c>
      <c r="C264" t="s">
        <v>44</v>
      </c>
      <c r="D264" t="s">
        <v>45</v>
      </c>
      <c r="E264" t="s">
        <v>23</v>
      </c>
      <c r="F264" t="s">
        <v>35</v>
      </c>
      <c r="G264" t="s">
        <v>30</v>
      </c>
      <c r="H264">
        <v>42</v>
      </c>
      <c r="I264">
        <v>9</v>
      </c>
      <c r="J264">
        <v>1</v>
      </c>
      <c r="K264">
        <v>1597</v>
      </c>
      <c r="L264" t="s">
        <v>28</v>
      </c>
    </row>
    <row r="265" spans="1:12" x14ac:dyDescent="0.2">
      <c r="A265" t="s">
        <v>299</v>
      </c>
      <c r="B265" s="2">
        <v>45765</v>
      </c>
      <c r="C265" t="s">
        <v>32</v>
      </c>
      <c r="D265" t="s">
        <v>33</v>
      </c>
      <c r="E265" t="s">
        <v>34</v>
      </c>
      <c r="F265" t="s">
        <v>23</v>
      </c>
      <c r="G265" t="s">
        <v>24</v>
      </c>
      <c r="H265">
        <v>55</v>
      </c>
      <c r="I265">
        <v>13</v>
      </c>
      <c r="J265">
        <v>5</v>
      </c>
      <c r="K265">
        <v>4056</v>
      </c>
      <c r="L265" t="s">
        <v>28</v>
      </c>
    </row>
    <row r="266" spans="1:12" x14ac:dyDescent="0.2">
      <c r="A266" t="s">
        <v>300</v>
      </c>
      <c r="B266" s="2">
        <v>45871</v>
      </c>
      <c r="C266" t="s">
        <v>20</v>
      </c>
      <c r="D266" t="s">
        <v>21</v>
      </c>
      <c r="E266" t="s">
        <v>51</v>
      </c>
      <c r="F266" t="s">
        <v>23</v>
      </c>
      <c r="G266" t="s">
        <v>30</v>
      </c>
      <c r="H266">
        <v>133</v>
      </c>
      <c r="I266">
        <v>8</v>
      </c>
      <c r="J266">
        <v>2</v>
      </c>
      <c r="K266">
        <v>4062</v>
      </c>
      <c r="L266" t="s">
        <v>28</v>
      </c>
    </row>
    <row r="267" spans="1:12" x14ac:dyDescent="0.2">
      <c r="A267" t="s">
        <v>301</v>
      </c>
      <c r="B267" s="2">
        <v>45925</v>
      </c>
      <c r="C267" t="s">
        <v>13</v>
      </c>
      <c r="D267" t="s">
        <v>14</v>
      </c>
      <c r="E267" t="s">
        <v>51</v>
      </c>
      <c r="F267" t="s">
        <v>23</v>
      </c>
      <c r="G267" t="s">
        <v>36</v>
      </c>
      <c r="H267">
        <v>29</v>
      </c>
      <c r="I267">
        <v>7</v>
      </c>
      <c r="J267">
        <v>3</v>
      </c>
      <c r="K267">
        <v>12478</v>
      </c>
      <c r="L267" t="s">
        <v>28</v>
      </c>
    </row>
    <row r="268" spans="1:12" x14ac:dyDescent="0.2">
      <c r="A268" t="s">
        <v>302</v>
      </c>
      <c r="B268" s="2">
        <v>45914</v>
      </c>
      <c r="C268" t="s">
        <v>44</v>
      </c>
      <c r="D268" t="s">
        <v>45</v>
      </c>
      <c r="E268" t="s">
        <v>51</v>
      </c>
      <c r="F268" t="s">
        <v>16</v>
      </c>
      <c r="G268" t="s">
        <v>24</v>
      </c>
      <c r="H268">
        <v>97</v>
      </c>
      <c r="I268">
        <v>9</v>
      </c>
      <c r="J268">
        <v>5</v>
      </c>
      <c r="K268">
        <v>10792</v>
      </c>
      <c r="L268" t="s">
        <v>28</v>
      </c>
    </row>
    <row r="269" spans="1:12" x14ac:dyDescent="0.2">
      <c r="A269" t="s">
        <v>303</v>
      </c>
      <c r="B269" s="2">
        <v>45741</v>
      </c>
      <c r="C269" t="s">
        <v>32</v>
      </c>
      <c r="D269" t="s">
        <v>33</v>
      </c>
      <c r="E269" t="s">
        <v>15</v>
      </c>
      <c r="F269" t="s">
        <v>23</v>
      </c>
      <c r="G269" t="s">
        <v>24</v>
      </c>
      <c r="H269">
        <v>40</v>
      </c>
      <c r="I269">
        <v>7</v>
      </c>
      <c r="J269">
        <v>1</v>
      </c>
      <c r="K269">
        <v>1030</v>
      </c>
      <c r="L269" t="s">
        <v>28</v>
      </c>
    </row>
    <row r="270" spans="1:12" x14ac:dyDescent="0.2">
      <c r="A270" t="s">
        <v>304</v>
      </c>
      <c r="B270" s="2">
        <v>45818</v>
      </c>
      <c r="C270" t="s">
        <v>20</v>
      </c>
      <c r="D270" t="s">
        <v>21</v>
      </c>
      <c r="E270" t="s">
        <v>22</v>
      </c>
      <c r="F270" t="s">
        <v>23</v>
      </c>
      <c r="G270" t="s">
        <v>36</v>
      </c>
      <c r="H270">
        <v>81</v>
      </c>
      <c r="I270">
        <v>11</v>
      </c>
      <c r="J270">
        <v>5</v>
      </c>
      <c r="K270">
        <v>3522</v>
      </c>
      <c r="L270" t="s">
        <v>28</v>
      </c>
    </row>
    <row r="271" spans="1:12" x14ac:dyDescent="0.2">
      <c r="A271" t="s">
        <v>305</v>
      </c>
      <c r="B271" s="2">
        <v>45718</v>
      </c>
      <c r="C271" t="s">
        <v>13</v>
      </c>
      <c r="D271" t="s">
        <v>14</v>
      </c>
      <c r="E271" t="s">
        <v>15</v>
      </c>
      <c r="F271" t="s">
        <v>16</v>
      </c>
      <c r="G271" t="s">
        <v>30</v>
      </c>
      <c r="H271">
        <v>109</v>
      </c>
      <c r="I271">
        <v>11</v>
      </c>
      <c r="J271">
        <v>1</v>
      </c>
      <c r="K271">
        <v>15308</v>
      </c>
      <c r="L271" t="s">
        <v>28</v>
      </c>
    </row>
    <row r="272" spans="1:12" x14ac:dyDescent="0.2">
      <c r="A272" t="s">
        <v>306</v>
      </c>
      <c r="B272" s="2">
        <v>45850</v>
      </c>
      <c r="C272" t="s">
        <v>44</v>
      </c>
      <c r="D272" t="s">
        <v>45</v>
      </c>
      <c r="E272" t="s">
        <v>15</v>
      </c>
      <c r="F272" t="s">
        <v>16</v>
      </c>
      <c r="G272" t="s">
        <v>30</v>
      </c>
      <c r="H272">
        <v>73</v>
      </c>
      <c r="I272">
        <v>8</v>
      </c>
      <c r="J272">
        <v>2</v>
      </c>
      <c r="K272">
        <v>2038</v>
      </c>
      <c r="L272" t="s">
        <v>28</v>
      </c>
    </row>
    <row r="273" spans="1:12" x14ac:dyDescent="0.2">
      <c r="A273" t="s">
        <v>307</v>
      </c>
      <c r="B273" s="2">
        <v>45971</v>
      </c>
      <c r="C273" t="s">
        <v>13</v>
      </c>
      <c r="D273" t="s">
        <v>14</v>
      </c>
      <c r="E273" t="s">
        <v>22</v>
      </c>
      <c r="F273" t="s">
        <v>35</v>
      </c>
      <c r="G273" t="s">
        <v>40</v>
      </c>
      <c r="H273">
        <v>158</v>
      </c>
      <c r="I273">
        <v>3</v>
      </c>
      <c r="J273">
        <v>3</v>
      </c>
      <c r="K273">
        <v>9055</v>
      </c>
      <c r="L273" t="s">
        <v>28</v>
      </c>
    </row>
    <row r="274" spans="1:12" x14ac:dyDescent="0.2">
      <c r="A274" t="s">
        <v>308</v>
      </c>
      <c r="B274" s="2">
        <v>45781</v>
      </c>
      <c r="C274" t="s">
        <v>32</v>
      </c>
      <c r="D274" t="s">
        <v>33</v>
      </c>
      <c r="E274" t="s">
        <v>51</v>
      </c>
      <c r="F274" t="s">
        <v>35</v>
      </c>
      <c r="G274" t="s">
        <v>40</v>
      </c>
      <c r="H274">
        <v>132</v>
      </c>
      <c r="I274">
        <v>6</v>
      </c>
      <c r="J274">
        <v>4</v>
      </c>
      <c r="K274">
        <v>2940</v>
      </c>
      <c r="L274" t="s">
        <v>28</v>
      </c>
    </row>
    <row r="275" spans="1:12" x14ac:dyDescent="0.2">
      <c r="A275" t="s">
        <v>309</v>
      </c>
      <c r="B275" s="2">
        <v>45703</v>
      </c>
      <c r="C275" t="s">
        <v>20</v>
      </c>
      <c r="D275" t="s">
        <v>21</v>
      </c>
      <c r="E275" t="s">
        <v>51</v>
      </c>
      <c r="F275" t="s">
        <v>35</v>
      </c>
      <c r="G275" t="s">
        <v>36</v>
      </c>
      <c r="H275">
        <v>9</v>
      </c>
      <c r="I275">
        <v>9</v>
      </c>
      <c r="J275">
        <v>3</v>
      </c>
      <c r="K275">
        <v>7267</v>
      </c>
      <c r="L275" t="s">
        <v>28</v>
      </c>
    </row>
    <row r="276" spans="1:12" x14ac:dyDescent="0.2">
      <c r="A276" t="s">
        <v>310</v>
      </c>
      <c r="B276" s="2">
        <v>45823</v>
      </c>
      <c r="C276" t="s">
        <v>13</v>
      </c>
      <c r="D276" t="s">
        <v>14</v>
      </c>
      <c r="E276" t="s">
        <v>15</v>
      </c>
      <c r="F276" t="s">
        <v>16</v>
      </c>
      <c r="G276" t="s">
        <v>36</v>
      </c>
      <c r="H276">
        <v>42</v>
      </c>
      <c r="I276">
        <v>5</v>
      </c>
      <c r="J276">
        <v>3</v>
      </c>
      <c r="K276">
        <v>3576</v>
      </c>
      <c r="L276" t="s">
        <v>28</v>
      </c>
    </row>
    <row r="277" spans="1:12" x14ac:dyDescent="0.2">
      <c r="A277" t="s">
        <v>311</v>
      </c>
      <c r="B277" s="2">
        <v>45861</v>
      </c>
      <c r="C277" t="s">
        <v>13</v>
      </c>
      <c r="D277" t="s">
        <v>14</v>
      </c>
      <c r="E277" t="s">
        <v>23</v>
      </c>
      <c r="F277" t="s">
        <v>35</v>
      </c>
      <c r="G277" t="s">
        <v>17</v>
      </c>
      <c r="H277">
        <v>164</v>
      </c>
      <c r="I277">
        <v>0</v>
      </c>
      <c r="J277">
        <v>4</v>
      </c>
      <c r="K277">
        <v>9983</v>
      </c>
      <c r="L277" t="s">
        <v>28</v>
      </c>
    </row>
    <row r="278" spans="1:12" x14ac:dyDescent="0.2">
      <c r="A278" t="s">
        <v>312</v>
      </c>
      <c r="B278" s="2">
        <v>45797</v>
      </c>
      <c r="C278" t="s">
        <v>13</v>
      </c>
      <c r="D278" t="s">
        <v>14</v>
      </c>
      <c r="E278" t="s">
        <v>34</v>
      </c>
      <c r="F278" t="s">
        <v>16</v>
      </c>
      <c r="G278" t="s">
        <v>30</v>
      </c>
      <c r="H278">
        <v>92</v>
      </c>
      <c r="I278">
        <v>3</v>
      </c>
      <c r="J278">
        <v>4</v>
      </c>
      <c r="K278">
        <v>1196</v>
      </c>
      <c r="L278" t="s">
        <v>28</v>
      </c>
    </row>
    <row r="279" spans="1:12" x14ac:dyDescent="0.2">
      <c r="A279" t="s">
        <v>313</v>
      </c>
      <c r="B279" s="2">
        <v>45944</v>
      </c>
      <c r="C279" t="s">
        <v>13</v>
      </c>
      <c r="D279" t="s">
        <v>14</v>
      </c>
      <c r="E279" t="s">
        <v>22</v>
      </c>
      <c r="F279" t="s">
        <v>23</v>
      </c>
      <c r="G279" t="s">
        <v>30</v>
      </c>
      <c r="H279">
        <v>110</v>
      </c>
      <c r="I279">
        <v>3</v>
      </c>
      <c r="J279">
        <v>4</v>
      </c>
      <c r="K279">
        <v>9755</v>
      </c>
      <c r="L279" t="s">
        <v>28</v>
      </c>
    </row>
    <row r="280" spans="1:12" x14ac:dyDescent="0.2">
      <c r="A280" t="s">
        <v>314</v>
      </c>
      <c r="B280" s="2">
        <v>45918</v>
      </c>
      <c r="C280" t="s">
        <v>13</v>
      </c>
      <c r="D280" t="s">
        <v>14</v>
      </c>
      <c r="E280" t="s">
        <v>34</v>
      </c>
      <c r="F280" t="s">
        <v>23</v>
      </c>
      <c r="G280" t="s">
        <v>40</v>
      </c>
      <c r="H280">
        <v>118</v>
      </c>
      <c r="I280">
        <v>0</v>
      </c>
      <c r="J280">
        <v>3</v>
      </c>
      <c r="K280">
        <v>14763</v>
      </c>
      <c r="L280" t="s">
        <v>18</v>
      </c>
    </row>
    <row r="281" spans="1:12" x14ac:dyDescent="0.2">
      <c r="A281" t="s">
        <v>315</v>
      </c>
      <c r="B281" s="2">
        <v>45954</v>
      </c>
      <c r="C281" t="s">
        <v>44</v>
      </c>
      <c r="D281" t="s">
        <v>45</v>
      </c>
      <c r="E281" t="s">
        <v>34</v>
      </c>
      <c r="F281" t="s">
        <v>23</v>
      </c>
      <c r="G281" t="s">
        <v>17</v>
      </c>
      <c r="H281">
        <v>108</v>
      </c>
      <c r="I281">
        <v>9</v>
      </c>
      <c r="J281">
        <v>1</v>
      </c>
      <c r="K281">
        <v>3939</v>
      </c>
      <c r="L281" t="s">
        <v>28</v>
      </c>
    </row>
    <row r="282" spans="1:12" x14ac:dyDescent="0.2">
      <c r="A282" t="s">
        <v>316</v>
      </c>
      <c r="B282" s="2">
        <v>45751</v>
      </c>
      <c r="C282" t="s">
        <v>13</v>
      </c>
      <c r="D282" t="s">
        <v>14</v>
      </c>
      <c r="E282" t="s">
        <v>34</v>
      </c>
      <c r="F282" t="s">
        <v>16</v>
      </c>
      <c r="G282" t="s">
        <v>30</v>
      </c>
      <c r="H282">
        <v>109</v>
      </c>
      <c r="I282">
        <v>12</v>
      </c>
      <c r="J282">
        <v>1</v>
      </c>
      <c r="K282">
        <v>6123</v>
      </c>
      <c r="L282" t="s">
        <v>28</v>
      </c>
    </row>
    <row r="283" spans="1:12" x14ac:dyDescent="0.2">
      <c r="A283" t="s">
        <v>317</v>
      </c>
      <c r="B283" s="2">
        <v>45803</v>
      </c>
      <c r="C283" t="s">
        <v>44</v>
      </c>
      <c r="D283" t="s">
        <v>45</v>
      </c>
      <c r="E283" t="s">
        <v>23</v>
      </c>
      <c r="F283" t="s">
        <v>35</v>
      </c>
      <c r="G283" t="s">
        <v>30</v>
      </c>
      <c r="H283">
        <v>98</v>
      </c>
      <c r="I283">
        <v>0</v>
      </c>
      <c r="J283">
        <v>4</v>
      </c>
      <c r="K283">
        <v>15766</v>
      </c>
      <c r="L283" t="s">
        <v>28</v>
      </c>
    </row>
    <row r="284" spans="1:12" x14ac:dyDescent="0.2">
      <c r="A284" t="s">
        <v>318</v>
      </c>
      <c r="B284" s="2">
        <v>45889</v>
      </c>
      <c r="C284" t="s">
        <v>26</v>
      </c>
      <c r="D284" t="s">
        <v>27</v>
      </c>
      <c r="E284" t="s">
        <v>23</v>
      </c>
      <c r="F284" t="s">
        <v>16</v>
      </c>
      <c r="G284" t="s">
        <v>36</v>
      </c>
      <c r="H284">
        <v>21</v>
      </c>
      <c r="I284">
        <v>7</v>
      </c>
      <c r="J284">
        <v>5</v>
      </c>
      <c r="K284">
        <v>10615</v>
      </c>
      <c r="L284" t="s">
        <v>28</v>
      </c>
    </row>
    <row r="285" spans="1:12" x14ac:dyDescent="0.2">
      <c r="A285" t="s">
        <v>319</v>
      </c>
      <c r="B285" s="2">
        <v>45695</v>
      </c>
      <c r="C285" t="s">
        <v>13</v>
      </c>
      <c r="D285" t="s">
        <v>14</v>
      </c>
      <c r="E285" t="s">
        <v>15</v>
      </c>
      <c r="F285" t="s">
        <v>23</v>
      </c>
      <c r="G285" t="s">
        <v>36</v>
      </c>
      <c r="H285">
        <v>67</v>
      </c>
      <c r="I285">
        <v>9</v>
      </c>
      <c r="J285">
        <v>3</v>
      </c>
      <c r="K285">
        <v>14709</v>
      </c>
      <c r="L285" t="s">
        <v>28</v>
      </c>
    </row>
    <row r="286" spans="1:12" x14ac:dyDescent="0.2">
      <c r="A286" t="s">
        <v>320</v>
      </c>
      <c r="B286" s="2">
        <v>45831</v>
      </c>
      <c r="C286" t="s">
        <v>44</v>
      </c>
      <c r="D286" t="s">
        <v>45</v>
      </c>
      <c r="E286" t="s">
        <v>15</v>
      </c>
      <c r="F286" t="s">
        <v>35</v>
      </c>
      <c r="G286" t="s">
        <v>40</v>
      </c>
      <c r="H286">
        <v>13</v>
      </c>
      <c r="I286">
        <v>3</v>
      </c>
      <c r="J286">
        <v>5</v>
      </c>
      <c r="K286">
        <v>3547</v>
      </c>
      <c r="L286" t="s">
        <v>28</v>
      </c>
    </row>
    <row r="287" spans="1:12" x14ac:dyDescent="0.2">
      <c r="A287" t="s">
        <v>321</v>
      </c>
      <c r="B287" s="2">
        <v>45922</v>
      </c>
      <c r="C287" t="s">
        <v>20</v>
      </c>
      <c r="D287" t="s">
        <v>21</v>
      </c>
      <c r="E287" t="s">
        <v>51</v>
      </c>
      <c r="F287" t="s">
        <v>16</v>
      </c>
      <c r="G287" t="s">
        <v>40</v>
      </c>
      <c r="H287">
        <v>74</v>
      </c>
      <c r="I287">
        <v>5</v>
      </c>
      <c r="J287">
        <v>3</v>
      </c>
      <c r="K287">
        <v>14249</v>
      </c>
      <c r="L287" t="s">
        <v>28</v>
      </c>
    </row>
    <row r="288" spans="1:12" x14ac:dyDescent="0.2">
      <c r="A288" t="s">
        <v>322</v>
      </c>
      <c r="B288" s="2">
        <v>45998</v>
      </c>
      <c r="C288" t="s">
        <v>20</v>
      </c>
      <c r="D288" t="s">
        <v>21</v>
      </c>
      <c r="E288" t="s">
        <v>23</v>
      </c>
      <c r="F288" t="s">
        <v>16</v>
      </c>
      <c r="G288" t="s">
        <v>30</v>
      </c>
      <c r="H288">
        <v>98</v>
      </c>
      <c r="I288">
        <v>10</v>
      </c>
      <c r="J288">
        <v>1</v>
      </c>
      <c r="K288">
        <v>10064</v>
      </c>
      <c r="L288" t="s">
        <v>28</v>
      </c>
    </row>
    <row r="289" spans="1:12" x14ac:dyDescent="0.2">
      <c r="A289" t="s">
        <v>323</v>
      </c>
      <c r="B289" s="2">
        <v>45901</v>
      </c>
      <c r="C289" t="s">
        <v>44</v>
      </c>
      <c r="D289" t="s">
        <v>45</v>
      </c>
      <c r="E289" t="s">
        <v>51</v>
      </c>
      <c r="F289" t="s">
        <v>23</v>
      </c>
      <c r="G289" t="s">
        <v>17</v>
      </c>
      <c r="H289">
        <v>49</v>
      </c>
      <c r="I289">
        <v>6</v>
      </c>
      <c r="J289">
        <v>4</v>
      </c>
      <c r="K289">
        <v>1310</v>
      </c>
      <c r="L289" t="s">
        <v>28</v>
      </c>
    </row>
    <row r="290" spans="1:12" x14ac:dyDescent="0.2">
      <c r="A290" t="s">
        <v>324</v>
      </c>
      <c r="B290" s="2">
        <v>45818</v>
      </c>
      <c r="C290" t="s">
        <v>32</v>
      </c>
      <c r="D290" t="s">
        <v>33</v>
      </c>
      <c r="E290" t="s">
        <v>22</v>
      </c>
      <c r="F290" t="s">
        <v>23</v>
      </c>
      <c r="G290" t="s">
        <v>24</v>
      </c>
      <c r="H290">
        <v>16</v>
      </c>
      <c r="I290">
        <v>11</v>
      </c>
      <c r="J290">
        <v>1</v>
      </c>
      <c r="K290">
        <v>1609</v>
      </c>
      <c r="L290" t="s">
        <v>28</v>
      </c>
    </row>
    <row r="291" spans="1:12" x14ac:dyDescent="0.2">
      <c r="A291" t="s">
        <v>325</v>
      </c>
      <c r="B291" s="2">
        <v>45932</v>
      </c>
      <c r="C291" t="s">
        <v>26</v>
      </c>
      <c r="D291" t="s">
        <v>27</v>
      </c>
      <c r="E291" t="s">
        <v>51</v>
      </c>
      <c r="F291" t="s">
        <v>23</v>
      </c>
      <c r="G291" t="s">
        <v>40</v>
      </c>
      <c r="H291">
        <v>69</v>
      </c>
      <c r="I291">
        <v>13</v>
      </c>
      <c r="J291">
        <v>4</v>
      </c>
      <c r="K291">
        <v>16311</v>
      </c>
      <c r="L291" t="s">
        <v>28</v>
      </c>
    </row>
    <row r="292" spans="1:12" x14ac:dyDescent="0.2">
      <c r="A292" t="s">
        <v>326</v>
      </c>
      <c r="B292" s="2">
        <v>45971</v>
      </c>
      <c r="C292" t="s">
        <v>26</v>
      </c>
      <c r="D292" t="s">
        <v>27</v>
      </c>
      <c r="E292" t="s">
        <v>51</v>
      </c>
      <c r="F292" t="s">
        <v>23</v>
      </c>
      <c r="G292" t="s">
        <v>24</v>
      </c>
      <c r="H292">
        <v>77</v>
      </c>
      <c r="I292">
        <v>3</v>
      </c>
      <c r="J292">
        <v>4</v>
      </c>
      <c r="K292">
        <v>13837</v>
      </c>
      <c r="L292" t="s">
        <v>28</v>
      </c>
    </row>
    <row r="293" spans="1:12" x14ac:dyDescent="0.2">
      <c r="A293" t="s">
        <v>327</v>
      </c>
      <c r="B293" s="2">
        <v>45957</v>
      </c>
      <c r="C293" t="s">
        <v>13</v>
      </c>
      <c r="D293" t="s">
        <v>14</v>
      </c>
      <c r="E293" t="s">
        <v>34</v>
      </c>
      <c r="F293" t="s">
        <v>16</v>
      </c>
      <c r="G293" t="s">
        <v>36</v>
      </c>
      <c r="H293">
        <v>149</v>
      </c>
      <c r="I293">
        <v>11</v>
      </c>
      <c r="J293">
        <v>4</v>
      </c>
      <c r="K293">
        <v>10712</v>
      </c>
      <c r="L293" t="s">
        <v>28</v>
      </c>
    </row>
    <row r="294" spans="1:12" x14ac:dyDescent="0.2">
      <c r="A294" t="s">
        <v>328</v>
      </c>
      <c r="B294" s="2">
        <v>45677</v>
      </c>
      <c r="C294" t="s">
        <v>32</v>
      </c>
      <c r="D294" t="s">
        <v>33</v>
      </c>
      <c r="E294" t="s">
        <v>23</v>
      </c>
      <c r="F294" t="s">
        <v>16</v>
      </c>
      <c r="G294" t="s">
        <v>30</v>
      </c>
      <c r="H294">
        <v>18</v>
      </c>
      <c r="I294">
        <v>10</v>
      </c>
      <c r="J294">
        <v>4</v>
      </c>
      <c r="K294">
        <v>11956</v>
      </c>
      <c r="L294" t="s">
        <v>28</v>
      </c>
    </row>
    <row r="295" spans="1:12" x14ac:dyDescent="0.2">
      <c r="A295" t="s">
        <v>329</v>
      </c>
      <c r="B295" s="2">
        <v>45699</v>
      </c>
      <c r="C295" t="s">
        <v>44</v>
      </c>
      <c r="D295" t="s">
        <v>45</v>
      </c>
      <c r="E295" t="s">
        <v>22</v>
      </c>
      <c r="F295" t="s">
        <v>35</v>
      </c>
      <c r="G295" t="s">
        <v>24</v>
      </c>
      <c r="H295">
        <v>72</v>
      </c>
      <c r="I295">
        <v>13</v>
      </c>
      <c r="J295">
        <v>5</v>
      </c>
      <c r="K295">
        <v>1647</v>
      </c>
      <c r="L295" t="s">
        <v>28</v>
      </c>
    </row>
    <row r="296" spans="1:12" x14ac:dyDescent="0.2">
      <c r="A296" t="s">
        <v>330</v>
      </c>
      <c r="B296" s="2">
        <v>45801</v>
      </c>
      <c r="C296" t="s">
        <v>26</v>
      </c>
      <c r="D296" t="s">
        <v>27</v>
      </c>
      <c r="E296" t="s">
        <v>15</v>
      </c>
      <c r="F296" t="s">
        <v>16</v>
      </c>
      <c r="G296" t="s">
        <v>36</v>
      </c>
      <c r="H296">
        <v>32</v>
      </c>
      <c r="I296">
        <v>6</v>
      </c>
      <c r="J296">
        <v>2</v>
      </c>
      <c r="K296">
        <v>14418</v>
      </c>
      <c r="L296" t="s">
        <v>28</v>
      </c>
    </row>
    <row r="297" spans="1:12" x14ac:dyDescent="0.2">
      <c r="A297" t="s">
        <v>331</v>
      </c>
      <c r="B297" s="2">
        <v>45813</v>
      </c>
      <c r="C297" t="s">
        <v>32</v>
      </c>
      <c r="D297" t="s">
        <v>33</v>
      </c>
      <c r="E297" t="s">
        <v>15</v>
      </c>
      <c r="F297" t="s">
        <v>16</v>
      </c>
      <c r="G297" t="s">
        <v>40</v>
      </c>
      <c r="H297">
        <v>130</v>
      </c>
      <c r="I297">
        <v>4</v>
      </c>
      <c r="J297">
        <v>4</v>
      </c>
      <c r="K297">
        <v>2291</v>
      </c>
      <c r="L297" t="s">
        <v>28</v>
      </c>
    </row>
    <row r="298" spans="1:12" x14ac:dyDescent="0.2">
      <c r="A298" t="s">
        <v>332</v>
      </c>
      <c r="B298" s="2">
        <v>45856</v>
      </c>
      <c r="C298" t="s">
        <v>32</v>
      </c>
      <c r="D298" t="s">
        <v>33</v>
      </c>
      <c r="E298" t="s">
        <v>23</v>
      </c>
      <c r="F298" t="s">
        <v>35</v>
      </c>
      <c r="G298" t="s">
        <v>36</v>
      </c>
      <c r="H298">
        <v>94</v>
      </c>
      <c r="I298">
        <v>5</v>
      </c>
      <c r="J298">
        <v>1</v>
      </c>
      <c r="K298">
        <v>12093</v>
      </c>
      <c r="L298" t="s">
        <v>28</v>
      </c>
    </row>
    <row r="299" spans="1:12" x14ac:dyDescent="0.2">
      <c r="A299" t="s">
        <v>333</v>
      </c>
      <c r="B299" s="2">
        <v>45725</v>
      </c>
      <c r="C299" t="s">
        <v>26</v>
      </c>
      <c r="D299" t="s">
        <v>27</v>
      </c>
      <c r="E299" t="s">
        <v>51</v>
      </c>
      <c r="F299" t="s">
        <v>23</v>
      </c>
      <c r="G299" t="s">
        <v>36</v>
      </c>
      <c r="H299">
        <v>74</v>
      </c>
      <c r="I299">
        <v>7</v>
      </c>
      <c r="J299">
        <v>2</v>
      </c>
      <c r="K299">
        <v>11045</v>
      </c>
      <c r="L299" t="s">
        <v>18</v>
      </c>
    </row>
    <row r="300" spans="1:12" x14ac:dyDescent="0.2">
      <c r="A300" t="s">
        <v>334</v>
      </c>
      <c r="B300" s="2">
        <v>45689</v>
      </c>
      <c r="C300" t="s">
        <v>32</v>
      </c>
      <c r="D300" t="s">
        <v>33</v>
      </c>
      <c r="E300" t="s">
        <v>22</v>
      </c>
      <c r="F300" t="s">
        <v>23</v>
      </c>
      <c r="G300" t="s">
        <v>30</v>
      </c>
      <c r="H300">
        <v>101</v>
      </c>
      <c r="I300">
        <v>11</v>
      </c>
      <c r="J300">
        <v>1</v>
      </c>
      <c r="K300">
        <v>17639</v>
      </c>
      <c r="L300" t="s">
        <v>18</v>
      </c>
    </row>
    <row r="301" spans="1:12" x14ac:dyDescent="0.2">
      <c r="A301" t="s">
        <v>335</v>
      </c>
      <c r="B301" s="2">
        <v>45699</v>
      </c>
      <c r="C301" t="s">
        <v>26</v>
      </c>
      <c r="D301" t="s">
        <v>27</v>
      </c>
      <c r="E301" t="s">
        <v>15</v>
      </c>
      <c r="F301" t="s">
        <v>16</v>
      </c>
      <c r="G301" t="s">
        <v>24</v>
      </c>
      <c r="H301">
        <v>80</v>
      </c>
      <c r="I301">
        <v>13</v>
      </c>
      <c r="J301">
        <v>2</v>
      </c>
      <c r="K301">
        <v>8661</v>
      </c>
      <c r="L301" t="s">
        <v>28</v>
      </c>
    </row>
    <row r="302" spans="1:12" x14ac:dyDescent="0.2">
      <c r="A302" t="s">
        <v>336</v>
      </c>
      <c r="B302" s="2">
        <v>45998</v>
      </c>
      <c r="C302" t="s">
        <v>20</v>
      </c>
      <c r="D302" t="s">
        <v>21</v>
      </c>
      <c r="E302" t="s">
        <v>15</v>
      </c>
      <c r="F302" t="s">
        <v>35</v>
      </c>
      <c r="G302" t="s">
        <v>24</v>
      </c>
      <c r="H302">
        <v>129</v>
      </c>
      <c r="I302">
        <v>6</v>
      </c>
      <c r="J302">
        <v>2</v>
      </c>
      <c r="K302">
        <v>8887</v>
      </c>
      <c r="L302" t="s">
        <v>28</v>
      </c>
    </row>
    <row r="303" spans="1:12" x14ac:dyDescent="0.2">
      <c r="A303" t="s">
        <v>337</v>
      </c>
      <c r="B303" s="2">
        <v>45772</v>
      </c>
      <c r="C303" t="s">
        <v>20</v>
      </c>
      <c r="D303" t="s">
        <v>21</v>
      </c>
      <c r="E303" t="s">
        <v>15</v>
      </c>
      <c r="F303" t="s">
        <v>16</v>
      </c>
      <c r="G303" t="s">
        <v>36</v>
      </c>
      <c r="H303">
        <v>5</v>
      </c>
      <c r="I303">
        <v>12</v>
      </c>
      <c r="J303">
        <v>1</v>
      </c>
      <c r="K303">
        <v>9322</v>
      </c>
      <c r="L303" t="s">
        <v>18</v>
      </c>
    </row>
    <row r="304" spans="1:12" x14ac:dyDescent="0.2">
      <c r="A304" t="s">
        <v>338</v>
      </c>
      <c r="B304" s="2">
        <v>45734</v>
      </c>
      <c r="C304" t="s">
        <v>32</v>
      </c>
      <c r="D304" t="s">
        <v>33</v>
      </c>
      <c r="E304" t="s">
        <v>15</v>
      </c>
      <c r="F304" t="s">
        <v>23</v>
      </c>
      <c r="G304" t="s">
        <v>24</v>
      </c>
      <c r="H304">
        <v>16</v>
      </c>
      <c r="I304">
        <v>13</v>
      </c>
      <c r="J304">
        <v>4</v>
      </c>
      <c r="K304">
        <v>2132</v>
      </c>
      <c r="L304" t="s">
        <v>18</v>
      </c>
    </row>
    <row r="305" spans="1:12" x14ac:dyDescent="0.2">
      <c r="A305" t="s">
        <v>339</v>
      </c>
      <c r="B305" s="2">
        <v>45752</v>
      </c>
      <c r="C305" t="s">
        <v>26</v>
      </c>
      <c r="D305" t="s">
        <v>27</v>
      </c>
      <c r="E305" t="s">
        <v>23</v>
      </c>
      <c r="F305" t="s">
        <v>35</v>
      </c>
      <c r="G305" t="s">
        <v>40</v>
      </c>
      <c r="H305">
        <v>69</v>
      </c>
      <c r="I305">
        <v>2</v>
      </c>
      <c r="J305">
        <v>4</v>
      </c>
      <c r="K305">
        <v>1091</v>
      </c>
      <c r="L305" t="s">
        <v>28</v>
      </c>
    </row>
    <row r="306" spans="1:12" x14ac:dyDescent="0.2">
      <c r="A306" t="s">
        <v>340</v>
      </c>
      <c r="B306" s="2">
        <v>45764</v>
      </c>
      <c r="C306" t="s">
        <v>32</v>
      </c>
      <c r="D306" t="s">
        <v>33</v>
      </c>
      <c r="E306" t="s">
        <v>15</v>
      </c>
      <c r="F306" t="s">
        <v>23</v>
      </c>
      <c r="G306" t="s">
        <v>40</v>
      </c>
      <c r="H306">
        <v>119</v>
      </c>
      <c r="I306">
        <v>6</v>
      </c>
      <c r="J306">
        <v>4</v>
      </c>
      <c r="K306">
        <v>6944</v>
      </c>
      <c r="L306" t="s">
        <v>18</v>
      </c>
    </row>
    <row r="307" spans="1:12" x14ac:dyDescent="0.2">
      <c r="A307" t="s">
        <v>341</v>
      </c>
      <c r="B307" s="2">
        <v>45860</v>
      </c>
      <c r="C307" t="s">
        <v>44</v>
      </c>
      <c r="D307" t="s">
        <v>45</v>
      </c>
      <c r="E307" t="s">
        <v>34</v>
      </c>
      <c r="F307" t="s">
        <v>35</v>
      </c>
      <c r="G307" t="s">
        <v>24</v>
      </c>
      <c r="H307">
        <v>137</v>
      </c>
      <c r="I307">
        <v>3</v>
      </c>
      <c r="J307">
        <v>4</v>
      </c>
      <c r="K307">
        <v>2915</v>
      </c>
      <c r="L307" t="s">
        <v>28</v>
      </c>
    </row>
    <row r="308" spans="1:12" x14ac:dyDescent="0.2">
      <c r="A308" t="s">
        <v>342</v>
      </c>
      <c r="B308" s="2">
        <v>45798</v>
      </c>
      <c r="C308" t="s">
        <v>44</v>
      </c>
      <c r="D308" t="s">
        <v>45</v>
      </c>
      <c r="E308" t="s">
        <v>51</v>
      </c>
      <c r="F308" t="s">
        <v>35</v>
      </c>
      <c r="G308" t="s">
        <v>17</v>
      </c>
      <c r="H308">
        <v>64</v>
      </c>
      <c r="I308">
        <v>0</v>
      </c>
      <c r="J308">
        <v>3</v>
      </c>
      <c r="K308">
        <v>14609</v>
      </c>
      <c r="L308" t="s">
        <v>28</v>
      </c>
    </row>
    <row r="309" spans="1:12" x14ac:dyDescent="0.2">
      <c r="A309" t="s">
        <v>343</v>
      </c>
      <c r="B309" s="2">
        <v>45710</v>
      </c>
      <c r="C309" t="s">
        <v>13</v>
      </c>
      <c r="D309" t="s">
        <v>14</v>
      </c>
      <c r="E309" t="s">
        <v>51</v>
      </c>
      <c r="F309" t="s">
        <v>16</v>
      </c>
      <c r="G309" t="s">
        <v>17</v>
      </c>
      <c r="H309">
        <v>52</v>
      </c>
      <c r="I309">
        <v>11</v>
      </c>
      <c r="J309">
        <v>2</v>
      </c>
      <c r="K309">
        <v>8326</v>
      </c>
      <c r="L309" t="s">
        <v>28</v>
      </c>
    </row>
    <row r="310" spans="1:12" x14ac:dyDescent="0.2">
      <c r="A310" t="s">
        <v>344</v>
      </c>
      <c r="B310" s="2">
        <v>45877</v>
      </c>
      <c r="C310" t="s">
        <v>26</v>
      </c>
      <c r="D310" t="s">
        <v>27</v>
      </c>
      <c r="E310" t="s">
        <v>34</v>
      </c>
      <c r="F310" t="s">
        <v>16</v>
      </c>
      <c r="G310" t="s">
        <v>30</v>
      </c>
      <c r="H310">
        <v>6</v>
      </c>
      <c r="I310">
        <v>12</v>
      </c>
      <c r="J310">
        <v>4</v>
      </c>
      <c r="K310">
        <v>10752</v>
      </c>
      <c r="L310" t="s">
        <v>28</v>
      </c>
    </row>
    <row r="311" spans="1:12" x14ac:dyDescent="0.2">
      <c r="A311" t="s">
        <v>345</v>
      </c>
      <c r="B311" s="2">
        <v>45995</v>
      </c>
      <c r="C311" t="s">
        <v>20</v>
      </c>
      <c r="D311" t="s">
        <v>21</v>
      </c>
      <c r="E311" t="s">
        <v>23</v>
      </c>
      <c r="F311" t="s">
        <v>35</v>
      </c>
      <c r="G311" t="s">
        <v>24</v>
      </c>
      <c r="H311">
        <v>83</v>
      </c>
      <c r="I311">
        <v>1</v>
      </c>
      <c r="J311">
        <v>1</v>
      </c>
      <c r="K311">
        <v>9786</v>
      </c>
      <c r="L311" t="s">
        <v>28</v>
      </c>
    </row>
    <row r="312" spans="1:12" x14ac:dyDescent="0.2">
      <c r="A312" t="s">
        <v>346</v>
      </c>
      <c r="B312" s="2">
        <v>45703</v>
      </c>
      <c r="C312" t="s">
        <v>20</v>
      </c>
      <c r="D312" t="s">
        <v>21</v>
      </c>
      <c r="E312" t="s">
        <v>51</v>
      </c>
      <c r="F312" t="s">
        <v>16</v>
      </c>
      <c r="G312" t="s">
        <v>17</v>
      </c>
      <c r="H312">
        <v>129</v>
      </c>
      <c r="I312">
        <v>10</v>
      </c>
      <c r="J312">
        <v>4</v>
      </c>
      <c r="K312">
        <v>15321</v>
      </c>
      <c r="L312" t="s">
        <v>28</v>
      </c>
    </row>
    <row r="313" spans="1:12" x14ac:dyDescent="0.2">
      <c r="A313" t="s">
        <v>347</v>
      </c>
      <c r="B313" s="2">
        <v>45804</v>
      </c>
      <c r="C313" t="s">
        <v>26</v>
      </c>
      <c r="D313" t="s">
        <v>27</v>
      </c>
      <c r="E313" t="s">
        <v>51</v>
      </c>
      <c r="F313" t="s">
        <v>23</v>
      </c>
      <c r="G313" t="s">
        <v>30</v>
      </c>
      <c r="H313">
        <v>9</v>
      </c>
      <c r="I313">
        <v>1</v>
      </c>
      <c r="J313">
        <v>2</v>
      </c>
      <c r="K313">
        <v>8495</v>
      </c>
      <c r="L313" t="s">
        <v>28</v>
      </c>
    </row>
    <row r="314" spans="1:12" x14ac:dyDescent="0.2">
      <c r="A314" t="s">
        <v>348</v>
      </c>
      <c r="B314" s="2">
        <v>45749</v>
      </c>
      <c r="C314" t="s">
        <v>44</v>
      </c>
      <c r="D314" t="s">
        <v>45</v>
      </c>
      <c r="E314" t="s">
        <v>51</v>
      </c>
      <c r="F314" t="s">
        <v>23</v>
      </c>
      <c r="G314" t="s">
        <v>36</v>
      </c>
      <c r="H314">
        <v>150</v>
      </c>
      <c r="I314">
        <v>3</v>
      </c>
      <c r="J314">
        <v>3</v>
      </c>
      <c r="K314">
        <v>15778</v>
      </c>
      <c r="L314" t="s">
        <v>28</v>
      </c>
    </row>
    <row r="315" spans="1:12" x14ac:dyDescent="0.2">
      <c r="A315" t="s">
        <v>349</v>
      </c>
      <c r="B315" s="2">
        <v>45804</v>
      </c>
      <c r="C315" t="s">
        <v>13</v>
      </c>
      <c r="D315" t="s">
        <v>14</v>
      </c>
      <c r="E315" t="s">
        <v>22</v>
      </c>
      <c r="F315" t="s">
        <v>23</v>
      </c>
      <c r="G315" t="s">
        <v>30</v>
      </c>
      <c r="H315">
        <v>46</v>
      </c>
      <c r="I315">
        <v>1</v>
      </c>
      <c r="J315">
        <v>5</v>
      </c>
      <c r="K315">
        <v>506</v>
      </c>
      <c r="L315" t="s">
        <v>18</v>
      </c>
    </row>
    <row r="316" spans="1:12" x14ac:dyDescent="0.2">
      <c r="A316" t="s">
        <v>350</v>
      </c>
      <c r="B316" s="2">
        <v>45731</v>
      </c>
      <c r="C316" t="s">
        <v>20</v>
      </c>
      <c r="D316" t="s">
        <v>21</v>
      </c>
      <c r="E316" t="s">
        <v>15</v>
      </c>
      <c r="F316" t="s">
        <v>23</v>
      </c>
      <c r="G316" t="s">
        <v>40</v>
      </c>
      <c r="H316">
        <v>12</v>
      </c>
      <c r="I316">
        <v>5</v>
      </c>
      <c r="J316">
        <v>3</v>
      </c>
      <c r="K316">
        <v>1359</v>
      </c>
      <c r="L316" t="s">
        <v>28</v>
      </c>
    </row>
    <row r="317" spans="1:12" x14ac:dyDescent="0.2">
      <c r="A317" t="s">
        <v>351</v>
      </c>
      <c r="B317" s="2">
        <v>46003</v>
      </c>
      <c r="C317" t="s">
        <v>13</v>
      </c>
      <c r="D317" t="s">
        <v>14</v>
      </c>
      <c r="E317" t="s">
        <v>15</v>
      </c>
      <c r="F317" t="s">
        <v>16</v>
      </c>
      <c r="G317" t="s">
        <v>36</v>
      </c>
      <c r="H317">
        <v>163</v>
      </c>
      <c r="I317">
        <v>8</v>
      </c>
      <c r="J317">
        <v>1</v>
      </c>
      <c r="K317">
        <v>9259</v>
      </c>
      <c r="L317" t="s">
        <v>28</v>
      </c>
    </row>
    <row r="318" spans="1:12" x14ac:dyDescent="0.2">
      <c r="A318" t="s">
        <v>352</v>
      </c>
      <c r="B318" s="2">
        <v>45719</v>
      </c>
      <c r="C318" t="s">
        <v>26</v>
      </c>
      <c r="D318" t="s">
        <v>27</v>
      </c>
      <c r="E318" t="s">
        <v>34</v>
      </c>
      <c r="F318" t="s">
        <v>35</v>
      </c>
      <c r="G318" t="s">
        <v>17</v>
      </c>
      <c r="H318">
        <v>71</v>
      </c>
      <c r="I318">
        <v>12</v>
      </c>
      <c r="J318">
        <v>2</v>
      </c>
      <c r="K318">
        <v>1606</v>
      </c>
      <c r="L318" t="s">
        <v>18</v>
      </c>
    </row>
    <row r="319" spans="1:12" x14ac:dyDescent="0.2">
      <c r="A319" t="s">
        <v>353</v>
      </c>
      <c r="B319" s="2">
        <v>45792</v>
      </c>
      <c r="C319" t="s">
        <v>26</v>
      </c>
      <c r="D319" t="s">
        <v>27</v>
      </c>
      <c r="E319" t="s">
        <v>22</v>
      </c>
      <c r="F319" t="s">
        <v>23</v>
      </c>
      <c r="G319" t="s">
        <v>36</v>
      </c>
      <c r="H319">
        <v>33</v>
      </c>
      <c r="I319">
        <v>5</v>
      </c>
      <c r="J319">
        <v>1</v>
      </c>
      <c r="K319">
        <v>5190</v>
      </c>
      <c r="L319" t="s">
        <v>28</v>
      </c>
    </row>
    <row r="320" spans="1:12" x14ac:dyDescent="0.2">
      <c r="A320" t="s">
        <v>354</v>
      </c>
      <c r="B320" s="2">
        <v>45668</v>
      </c>
      <c r="C320" t="s">
        <v>26</v>
      </c>
      <c r="D320" t="s">
        <v>27</v>
      </c>
      <c r="E320" t="s">
        <v>15</v>
      </c>
      <c r="F320" t="s">
        <v>35</v>
      </c>
      <c r="G320" t="s">
        <v>17</v>
      </c>
      <c r="H320">
        <v>98</v>
      </c>
      <c r="I320">
        <v>12</v>
      </c>
      <c r="J320">
        <v>2</v>
      </c>
      <c r="K320">
        <v>13232</v>
      </c>
      <c r="L320" t="s">
        <v>28</v>
      </c>
    </row>
    <row r="321" spans="1:12" x14ac:dyDescent="0.2">
      <c r="A321" t="s">
        <v>355</v>
      </c>
      <c r="B321" s="2">
        <v>45874</v>
      </c>
      <c r="C321" t="s">
        <v>32</v>
      </c>
      <c r="D321" t="s">
        <v>33</v>
      </c>
      <c r="E321" t="s">
        <v>34</v>
      </c>
      <c r="F321" t="s">
        <v>16</v>
      </c>
      <c r="G321" t="s">
        <v>40</v>
      </c>
      <c r="H321">
        <v>17</v>
      </c>
      <c r="I321">
        <v>4</v>
      </c>
      <c r="J321">
        <v>4</v>
      </c>
      <c r="K321">
        <v>5190</v>
      </c>
      <c r="L321" t="s">
        <v>28</v>
      </c>
    </row>
    <row r="322" spans="1:12" x14ac:dyDescent="0.2">
      <c r="A322" t="s">
        <v>356</v>
      </c>
      <c r="B322" s="2">
        <v>45723</v>
      </c>
      <c r="C322" t="s">
        <v>26</v>
      </c>
      <c r="D322" t="s">
        <v>27</v>
      </c>
      <c r="E322" t="s">
        <v>51</v>
      </c>
      <c r="F322" t="s">
        <v>35</v>
      </c>
      <c r="G322" t="s">
        <v>40</v>
      </c>
      <c r="H322">
        <v>121</v>
      </c>
      <c r="I322">
        <v>12</v>
      </c>
      <c r="J322">
        <v>4</v>
      </c>
      <c r="K322">
        <v>15928</v>
      </c>
      <c r="L322" t="s">
        <v>28</v>
      </c>
    </row>
    <row r="323" spans="1:12" x14ac:dyDescent="0.2">
      <c r="A323" t="s">
        <v>357</v>
      </c>
      <c r="B323" s="2">
        <v>45830</v>
      </c>
      <c r="C323" t="s">
        <v>20</v>
      </c>
      <c r="D323" t="s">
        <v>21</v>
      </c>
      <c r="E323" t="s">
        <v>15</v>
      </c>
      <c r="F323" t="s">
        <v>35</v>
      </c>
      <c r="G323" t="s">
        <v>30</v>
      </c>
      <c r="H323">
        <v>115</v>
      </c>
      <c r="I323">
        <v>10</v>
      </c>
      <c r="J323">
        <v>4</v>
      </c>
      <c r="K323">
        <v>15084</v>
      </c>
      <c r="L323" t="s">
        <v>28</v>
      </c>
    </row>
    <row r="324" spans="1:12" x14ac:dyDescent="0.2">
      <c r="A324" t="s">
        <v>358</v>
      </c>
      <c r="B324" s="2">
        <v>45982</v>
      </c>
      <c r="C324" t="s">
        <v>44</v>
      </c>
      <c r="D324" t="s">
        <v>45</v>
      </c>
      <c r="E324" t="s">
        <v>23</v>
      </c>
      <c r="F324" t="s">
        <v>16</v>
      </c>
      <c r="G324" t="s">
        <v>40</v>
      </c>
      <c r="H324">
        <v>151</v>
      </c>
      <c r="I324">
        <v>2</v>
      </c>
      <c r="J324">
        <v>3</v>
      </c>
      <c r="K324">
        <v>8845</v>
      </c>
      <c r="L324" t="s">
        <v>28</v>
      </c>
    </row>
    <row r="325" spans="1:12" x14ac:dyDescent="0.2">
      <c r="A325" t="s">
        <v>359</v>
      </c>
      <c r="B325" s="2">
        <v>45727</v>
      </c>
      <c r="C325" t="s">
        <v>26</v>
      </c>
      <c r="D325" t="s">
        <v>27</v>
      </c>
      <c r="E325" t="s">
        <v>22</v>
      </c>
      <c r="F325" t="s">
        <v>35</v>
      </c>
      <c r="G325" t="s">
        <v>36</v>
      </c>
      <c r="H325">
        <v>116</v>
      </c>
      <c r="I325">
        <v>8</v>
      </c>
      <c r="J325">
        <v>4</v>
      </c>
      <c r="K325">
        <v>4773</v>
      </c>
      <c r="L325" t="s">
        <v>28</v>
      </c>
    </row>
    <row r="326" spans="1:12" x14ac:dyDescent="0.2">
      <c r="A326" t="s">
        <v>360</v>
      </c>
      <c r="B326" s="2">
        <v>46009</v>
      </c>
      <c r="C326" t="s">
        <v>20</v>
      </c>
      <c r="D326" t="s">
        <v>21</v>
      </c>
      <c r="E326" t="s">
        <v>23</v>
      </c>
      <c r="F326" t="s">
        <v>16</v>
      </c>
      <c r="G326" t="s">
        <v>36</v>
      </c>
      <c r="H326">
        <v>157</v>
      </c>
      <c r="I326">
        <v>13</v>
      </c>
      <c r="J326">
        <v>5</v>
      </c>
      <c r="K326">
        <v>14982</v>
      </c>
      <c r="L326" t="s">
        <v>28</v>
      </c>
    </row>
    <row r="327" spans="1:12" x14ac:dyDescent="0.2">
      <c r="A327" t="s">
        <v>361</v>
      </c>
      <c r="B327" s="2">
        <v>45769</v>
      </c>
      <c r="C327" t="s">
        <v>13</v>
      </c>
      <c r="D327" t="s">
        <v>14</v>
      </c>
      <c r="E327" t="s">
        <v>23</v>
      </c>
      <c r="F327" t="s">
        <v>23</v>
      </c>
      <c r="G327" t="s">
        <v>17</v>
      </c>
      <c r="H327">
        <v>15</v>
      </c>
      <c r="I327">
        <v>2</v>
      </c>
      <c r="J327">
        <v>3</v>
      </c>
      <c r="K327">
        <v>7102</v>
      </c>
      <c r="L327" t="s">
        <v>28</v>
      </c>
    </row>
    <row r="328" spans="1:12" x14ac:dyDescent="0.2">
      <c r="A328" t="s">
        <v>362</v>
      </c>
      <c r="B328" s="2">
        <v>45905</v>
      </c>
      <c r="C328" t="s">
        <v>44</v>
      </c>
      <c r="D328" t="s">
        <v>45</v>
      </c>
      <c r="E328" t="s">
        <v>51</v>
      </c>
      <c r="F328" t="s">
        <v>16</v>
      </c>
      <c r="G328" t="s">
        <v>40</v>
      </c>
      <c r="H328">
        <v>56</v>
      </c>
      <c r="I328">
        <v>4</v>
      </c>
      <c r="J328">
        <v>2</v>
      </c>
      <c r="K328">
        <v>3357</v>
      </c>
      <c r="L328" t="s">
        <v>28</v>
      </c>
    </row>
    <row r="329" spans="1:12" x14ac:dyDescent="0.2">
      <c r="A329" t="s">
        <v>363</v>
      </c>
      <c r="B329" s="2">
        <v>45755</v>
      </c>
      <c r="C329" t="s">
        <v>44</v>
      </c>
      <c r="D329" t="s">
        <v>45</v>
      </c>
      <c r="E329" t="s">
        <v>15</v>
      </c>
      <c r="F329" t="s">
        <v>16</v>
      </c>
      <c r="G329" t="s">
        <v>40</v>
      </c>
      <c r="H329">
        <v>54</v>
      </c>
      <c r="I329">
        <v>6</v>
      </c>
      <c r="J329">
        <v>1</v>
      </c>
      <c r="K329">
        <v>3131</v>
      </c>
      <c r="L329" t="s">
        <v>28</v>
      </c>
    </row>
    <row r="330" spans="1:12" x14ac:dyDescent="0.2">
      <c r="A330" t="s">
        <v>364</v>
      </c>
      <c r="B330" s="2">
        <v>45701</v>
      </c>
      <c r="C330" t="s">
        <v>26</v>
      </c>
      <c r="D330" t="s">
        <v>27</v>
      </c>
      <c r="E330" t="s">
        <v>51</v>
      </c>
      <c r="F330" t="s">
        <v>35</v>
      </c>
      <c r="G330" t="s">
        <v>30</v>
      </c>
      <c r="H330">
        <v>118</v>
      </c>
      <c r="I330">
        <v>6</v>
      </c>
      <c r="J330">
        <v>3</v>
      </c>
      <c r="K330">
        <v>3693</v>
      </c>
      <c r="L330" t="s">
        <v>18</v>
      </c>
    </row>
    <row r="331" spans="1:12" x14ac:dyDescent="0.2">
      <c r="A331" t="s">
        <v>365</v>
      </c>
      <c r="B331" s="2">
        <v>45717</v>
      </c>
      <c r="C331" t="s">
        <v>20</v>
      </c>
      <c r="D331" t="s">
        <v>21</v>
      </c>
      <c r="E331" t="s">
        <v>23</v>
      </c>
      <c r="F331" t="s">
        <v>35</v>
      </c>
      <c r="G331" t="s">
        <v>36</v>
      </c>
      <c r="H331">
        <v>18</v>
      </c>
      <c r="I331">
        <v>8</v>
      </c>
      <c r="J331">
        <v>3</v>
      </c>
      <c r="K331">
        <v>14199</v>
      </c>
      <c r="L331" t="s">
        <v>28</v>
      </c>
    </row>
    <row r="332" spans="1:12" x14ac:dyDescent="0.2">
      <c r="A332" t="s">
        <v>366</v>
      </c>
      <c r="B332" s="2">
        <v>45798</v>
      </c>
      <c r="C332" t="s">
        <v>13</v>
      </c>
      <c r="D332" t="s">
        <v>14</v>
      </c>
      <c r="E332" t="s">
        <v>22</v>
      </c>
      <c r="F332" t="s">
        <v>35</v>
      </c>
      <c r="G332" t="s">
        <v>30</v>
      </c>
      <c r="H332">
        <v>30</v>
      </c>
      <c r="I332">
        <v>2</v>
      </c>
      <c r="J332">
        <v>3</v>
      </c>
      <c r="K332">
        <v>4592</v>
      </c>
      <c r="L332" t="s">
        <v>28</v>
      </c>
    </row>
    <row r="333" spans="1:12" x14ac:dyDescent="0.2">
      <c r="A333" t="s">
        <v>367</v>
      </c>
      <c r="B333" s="2">
        <v>45669</v>
      </c>
      <c r="C333" t="s">
        <v>20</v>
      </c>
      <c r="D333" t="s">
        <v>21</v>
      </c>
      <c r="E333" t="s">
        <v>51</v>
      </c>
      <c r="F333" t="s">
        <v>23</v>
      </c>
      <c r="G333" t="s">
        <v>40</v>
      </c>
      <c r="H333">
        <v>33</v>
      </c>
      <c r="I333">
        <v>9</v>
      </c>
      <c r="J333">
        <v>5</v>
      </c>
      <c r="K333">
        <v>12681</v>
      </c>
      <c r="L333" t="s">
        <v>28</v>
      </c>
    </row>
    <row r="334" spans="1:12" x14ac:dyDescent="0.2">
      <c r="A334" t="s">
        <v>368</v>
      </c>
      <c r="B334" s="2">
        <v>45848</v>
      </c>
      <c r="C334" t="s">
        <v>32</v>
      </c>
      <c r="D334" t="s">
        <v>33</v>
      </c>
      <c r="E334" t="s">
        <v>22</v>
      </c>
      <c r="F334" t="s">
        <v>23</v>
      </c>
      <c r="G334" t="s">
        <v>36</v>
      </c>
      <c r="H334">
        <v>157</v>
      </c>
      <c r="I334">
        <v>5</v>
      </c>
      <c r="J334">
        <v>4</v>
      </c>
      <c r="K334">
        <v>7433</v>
      </c>
      <c r="L334" t="s">
        <v>28</v>
      </c>
    </row>
    <row r="335" spans="1:12" x14ac:dyDescent="0.2">
      <c r="A335" t="s">
        <v>369</v>
      </c>
      <c r="B335" s="2">
        <v>45951</v>
      </c>
      <c r="C335" t="s">
        <v>32</v>
      </c>
      <c r="D335" t="s">
        <v>33</v>
      </c>
      <c r="E335" t="s">
        <v>23</v>
      </c>
      <c r="F335" t="s">
        <v>35</v>
      </c>
      <c r="G335" t="s">
        <v>40</v>
      </c>
      <c r="H335">
        <v>98</v>
      </c>
      <c r="I335">
        <v>9</v>
      </c>
      <c r="J335">
        <v>1</v>
      </c>
      <c r="K335">
        <v>8486</v>
      </c>
      <c r="L335" t="s">
        <v>18</v>
      </c>
    </row>
    <row r="336" spans="1:12" x14ac:dyDescent="0.2">
      <c r="A336" t="s">
        <v>370</v>
      </c>
      <c r="B336" s="2">
        <v>45728</v>
      </c>
      <c r="C336" t="s">
        <v>26</v>
      </c>
      <c r="D336" t="s">
        <v>27</v>
      </c>
      <c r="E336" t="s">
        <v>34</v>
      </c>
      <c r="F336" t="s">
        <v>23</v>
      </c>
      <c r="G336" t="s">
        <v>30</v>
      </c>
      <c r="H336">
        <v>59</v>
      </c>
      <c r="I336">
        <v>2</v>
      </c>
      <c r="J336">
        <v>1</v>
      </c>
      <c r="K336">
        <v>8826</v>
      </c>
      <c r="L336" t="s">
        <v>28</v>
      </c>
    </row>
    <row r="337" spans="1:12" x14ac:dyDescent="0.2">
      <c r="A337" t="s">
        <v>371</v>
      </c>
      <c r="B337" s="2">
        <v>45865</v>
      </c>
      <c r="C337" t="s">
        <v>26</v>
      </c>
      <c r="D337" t="s">
        <v>27</v>
      </c>
      <c r="E337" t="s">
        <v>34</v>
      </c>
      <c r="F337" t="s">
        <v>35</v>
      </c>
      <c r="G337" t="s">
        <v>36</v>
      </c>
      <c r="H337">
        <v>68</v>
      </c>
      <c r="I337">
        <v>7</v>
      </c>
      <c r="J337">
        <v>2</v>
      </c>
      <c r="K337">
        <v>1089</v>
      </c>
      <c r="L337" t="s">
        <v>18</v>
      </c>
    </row>
    <row r="338" spans="1:12" x14ac:dyDescent="0.2">
      <c r="A338" t="s">
        <v>372</v>
      </c>
      <c r="B338" s="2">
        <v>45727</v>
      </c>
      <c r="C338" t="s">
        <v>32</v>
      </c>
      <c r="D338" t="s">
        <v>33</v>
      </c>
      <c r="E338" t="s">
        <v>34</v>
      </c>
      <c r="F338" t="s">
        <v>16</v>
      </c>
      <c r="G338" t="s">
        <v>24</v>
      </c>
      <c r="H338">
        <v>157</v>
      </c>
      <c r="I338">
        <v>2</v>
      </c>
      <c r="J338">
        <v>2</v>
      </c>
      <c r="K338">
        <v>17695</v>
      </c>
      <c r="L338" t="s">
        <v>28</v>
      </c>
    </row>
    <row r="339" spans="1:12" x14ac:dyDescent="0.2">
      <c r="A339" t="s">
        <v>373</v>
      </c>
      <c r="B339" s="2">
        <v>46015</v>
      </c>
      <c r="C339" t="s">
        <v>32</v>
      </c>
      <c r="D339" t="s">
        <v>33</v>
      </c>
      <c r="E339" t="s">
        <v>15</v>
      </c>
      <c r="F339" t="s">
        <v>16</v>
      </c>
      <c r="G339" t="s">
        <v>40</v>
      </c>
      <c r="H339">
        <v>150</v>
      </c>
      <c r="I339">
        <v>2</v>
      </c>
      <c r="J339">
        <v>5</v>
      </c>
      <c r="K339">
        <v>10061</v>
      </c>
      <c r="L339" t="s">
        <v>28</v>
      </c>
    </row>
    <row r="340" spans="1:12" x14ac:dyDescent="0.2">
      <c r="A340" t="s">
        <v>374</v>
      </c>
      <c r="B340" s="2">
        <v>45851</v>
      </c>
      <c r="C340" t="s">
        <v>44</v>
      </c>
      <c r="D340" t="s">
        <v>45</v>
      </c>
      <c r="E340" t="s">
        <v>51</v>
      </c>
      <c r="F340" t="s">
        <v>23</v>
      </c>
      <c r="G340" t="s">
        <v>40</v>
      </c>
      <c r="H340">
        <v>144</v>
      </c>
      <c r="I340">
        <v>9</v>
      </c>
      <c r="J340">
        <v>3</v>
      </c>
      <c r="K340">
        <v>5434</v>
      </c>
      <c r="L340" t="s">
        <v>28</v>
      </c>
    </row>
    <row r="341" spans="1:12" x14ac:dyDescent="0.2">
      <c r="A341" t="s">
        <v>375</v>
      </c>
      <c r="B341" s="2">
        <v>45910</v>
      </c>
      <c r="C341" t="s">
        <v>44</v>
      </c>
      <c r="D341" t="s">
        <v>45</v>
      </c>
      <c r="E341" t="s">
        <v>22</v>
      </c>
      <c r="F341" t="s">
        <v>23</v>
      </c>
      <c r="G341" t="s">
        <v>40</v>
      </c>
      <c r="H341">
        <v>87</v>
      </c>
      <c r="I341">
        <v>1</v>
      </c>
      <c r="J341">
        <v>3</v>
      </c>
      <c r="K341">
        <v>209</v>
      </c>
      <c r="L341" t="s">
        <v>28</v>
      </c>
    </row>
    <row r="342" spans="1:12" x14ac:dyDescent="0.2">
      <c r="A342" t="s">
        <v>376</v>
      </c>
      <c r="B342" s="2">
        <v>45725</v>
      </c>
      <c r="C342" t="s">
        <v>32</v>
      </c>
      <c r="D342" t="s">
        <v>33</v>
      </c>
      <c r="E342" t="s">
        <v>22</v>
      </c>
      <c r="F342" t="s">
        <v>35</v>
      </c>
      <c r="G342" t="s">
        <v>30</v>
      </c>
      <c r="H342">
        <v>20</v>
      </c>
      <c r="I342">
        <v>6</v>
      </c>
      <c r="J342">
        <v>2</v>
      </c>
      <c r="K342">
        <v>4963</v>
      </c>
      <c r="L342" t="s">
        <v>28</v>
      </c>
    </row>
    <row r="343" spans="1:12" x14ac:dyDescent="0.2">
      <c r="A343" t="s">
        <v>377</v>
      </c>
      <c r="B343" s="2">
        <v>45744</v>
      </c>
      <c r="C343" t="s">
        <v>26</v>
      </c>
      <c r="D343" t="s">
        <v>27</v>
      </c>
      <c r="E343" t="s">
        <v>51</v>
      </c>
      <c r="F343" t="s">
        <v>35</v>
      </c>
      <c r="G343" t="s">
        <v>40</v>
      </c>
      <c r="H343">
        <v>123</v>
      </c>
      <c r="I343">
        <v>7</v>
      </c>
      <c r="J343">
        <v>2</v>
      </c>
      <c r="K343">
        <v>1351</v>
      </c>
      <c r="L343" t="s">
        <v>18</v>
      </c>
    </row>
    <row r="344" spans="1:12" x14ac:dyDescent="0.2">
      <c r="A344" t="s">
        <v>378</v>
      </c>
      <c r="B344" s="2">
        <v>45702</v>
      </c>
      <c r="C344" t="s">
        <v>44</v>
      </c>
      <c r="D344" t="s">
        <v>45</v>
      </c>
      <c r="E344" t="s">
        <v>23</v>
      </c>
      <c r="F344" t="s">
        <v>16</v>
      </c>
      <c r="G344" t="s">
        <v>36</v>
      </c>
      <c r="H344">
        <v>38</v>
      </c>
      <c r="I344">
        <v>8</v>
      </c>
      <c r="J344">
        <v>3</v>
      </c>
      <c r="K344">
        <v>14621</v>
      </c>
      <c r="L344" t="s">
        <v>28</v>
      </c>
    </row>
    <row r="345" spans="1:12" x14ac:dyDescent="0.2">
      <c r="A345" t="s">
        <v>379</v>
      </c>
      <c r="B345" s="2">
        <v>45891</v>
      </c>
      <c r="C345" t="s">
        <v>32</v>
      </c>
      <c r="D345" t="s">
        <v>33</v>
      </c>
      <c r="E345" t="s">
        <v>22</v>
      </c>
      <c r="F345" t="s">
        <v>16</v>
      </c>
      <c r="G345" t="s">
        <v>40</v>
      </c>
      <c r="H345">
        <v>72</v>
      </c>
      <c r="I345">
        <v>3</v>
      </c>
      <c r="J345">
        <v>3</v>
      </c>
      <c r="K345">
        <v>12604</v>
      </c>
      <c r="L345" t="s">
        <v>28</v>
      </c>
    </row>
    <row r="346" spans="1:12" x14ac:dyDescent="0.2">
      <c r="A346" t="s">
        <v>380</v>
      </c>
      <c r="B346" s="2">
        <v>46019</v>
      </c>
      <c r="C346" t="s">
        <v>32</v>
      </c>
      <c r="D346" t="s">
        <v>33</v>
      </c>
      <c r="E346" t="s">
        <v>51</v>
      </c>
      <c r="F346" t="s">
        <v>16</v>
      </c>
      <c r="G346" t="s">
        <v>30</v>
      </c>
      <c r="H346">
        <v>147</v>
      </c>
      <c r="I346">
        <v>13</v>
      </c>
      <c r="J346">
        <v>2</v>
      </c>
      <c r="K346">
        <v>7410</v>
      </c>
      <c r="L346" t="s">
        <v>28</v>
      </c>
    </row>
    <row r="347" spans="1:12" x14ac:dyDescent="0.2">
      <c r="A347" t="s">
        <v>381</v>
      </c>
      <c r="B347" s="2">
        <v>45767</v>
      </c>
      <c r="C347" t="s">
        <v>20</v>
      </c>
      <c r="D347" t="s">
        <v>21</v>
      </c>
      <c r="E347" t="s">
        <v>51</v>
      </c>
      <c r="F347" t="s">
        <v>23</v>
      </c>
      <c r="G347" t="s">
        <v>24</v>
      </c>
      <c r="H347">
        <v>67</v>
      </c>
      <c r="I347">
        <v>1</v>
      </c>
      <c r="J347">
        <v>1</v>
      </c>
      <c r="K347">
        <v>15366</v>
      </c>
      <c r="L347" t="s">
        <v>28</v>
      </c>
    </row>
    <row r="348" spans="1:12" x14ac:dyDescent="0.2">
      <c r="A348" t="s">
        <v>382</v>
      </c>
      <c r="B348" s="2">
        <v>45804</v>
      </c>
      <c r="C348" t="s">
        <v>20</v>
      </c>
      <c r="D348" t="s">
        <v>21</v>
      </c>
      <c r="E348" t="s">
        <v>23</v>
      </c>
      <c r="F348" t="s">
        <v>23</v>
      </c>
      <c r="G348" t="s">
        <v>17</v>
      </c>
      <c r="H348">
        <v>143</v>
      </c>
      <c r="I348">
        <v>5</v>
      </c>
      <c r="J348">
        <v>2</v>
      </c>
      <c r="K348">
        <v>8702</v>
      </c>
      <c r="L348" t="s">
        <v>28</v>
      </c>
    </row>
    <row r="349" spans="1:12" x14ac:dyDescent="0.2">
      <c r="A349" t="s">
        <v>383</v>
      </c>
      <c r="B349" s="2">
        <v>45761</v>
      </c>
      <c r="C349" t="s">
        <v>13</v>
      </c>
      <c r="D349" t="s">
        <v>14</v>
      </c>
      <c r="E349" t="s">
        <v>23</v>
      </c>
      <c r="F349" t="s">
        <v>16</v>
      </c>
      <c r="G349" t="s">
        <v>24</v>
      </c>
      <c r="H349">
        <v>102</v>
      </c>
      <c r="I349">
        <v>3</v>
      </c>
      <c r="J349">
        <v>1</v>
      </c>
      <c r="K349">
        <v>6073</v>
      </c>
      <c r="L349" t="s">
        <v>18</v>
      </c>
    </row>
    <row r="350" spans="1:12" x14ac:dyDescent="0.2">
      <c r="A350" t="s">
        <v>384</v>
      </c>
      <c r="B350" s="2">
        <v>45907</v>
      </c>
      <c r="C350" t="s">
        <v>13</v>
      </c>
      <c r="D350" t="s">
        <v>14</v>
      </c>
      <c r="E350" t="s">
        <v>23</v>
      </c>
      <c r="F350" t="s">
        <v>16</v>
      </c>
      <c r="G350" t="s">
        <v>40</v>
      </c>
      <c r="H350">
        <v>89</v>
      </c>
      <c r="I350">
        <v>2</v>
      </c>
      <c r="J350">
        <v>2</v>
      </c>
      <c r="K350">
        <v>5541</v>
      </c>
      <c r="L350" t="s">
        <v>18</v>
      </c>
    </row>
    <row r="351" spans="1:12" x14ac:dyDescent="0.2">
      <c r="A351" t="s">
        <v>385</v>
      </c>
      <c r="B351" s="2">
        <v>45866</v>
      </c>
      <c r="C351" t="s">
        <v>26</v>
      </c>
      <c r="D351" t="s">
        <v>27</v>
      </c>
      <c r="E351" t="s">
        <v>15</v>
      </c>
      <c r="F351" t="s">
        <v>23</v>
      </c>
      <c r="G351" t="s">
        <v>40</v>
      </c>
      <c r="H351">
        <v>107</v>
      </c>
      <c r="I351">
        <v>3</v>
      </c>
      <c r="J351">
        <v>3</v>
      </c>
      <c r="K351">
        <v>4418</v>
      </c>
      <c r="L351" t="s">
        <v>28</v>
      </c>
    </row>
    <row r="352" spans="1:12" x14ac:dyDescent="0.2">
      <c r="A352" t="s">
        <v>386</v>
      </c>
      <c r="B352" s="2">
        <v>45993</v>
      </c>
      <c r="C352" t="s">
        <v>13</v>
      </c>
      <c r="D352" t="s">
        <v>14</v>
      </c>
      <c r="E352" t="s">
        <v>15</v>
      </c>
      <c r="F352" t="s">
        <v>35</v>
      </c>
      <c r="G352" t="s">
        <v>40</v>
      </c>
      <c r="H352">
        <v>166</v>
      </c>
      <c r="I352">
        <v>1</v>
      </c>
      <c r="J352">
        <v>2</v>
      </c>
      <c r="K352">
        <v>17394</v>
      </c>
      <c r="L352" t="s">
        <v>28</v>
      </c>
    </row>
    <row r="353" spans="1:12" x14ac:dyDescent="0.2">
      <c r="A353" t="s">
        <v>387</v>
      </c>
      <c r="B353" s="2">
        <v>45693</v>
      </c>
      <c r="C353" t="s">
        <v>32</v>
      </c>
      <c r="D353" t="s">
        <v>33</v>
      </c>
      <c r="E353" t="s">
        <v>34</v>
      </c>
      <c r="F353" t="s">
        <v>23</v>
      </c>
      <c r="G353" t="s">
        <v>36</v>
      </c>
      <c r="H353">
        <v>12</v>
      </c>
      <c r="I353">
        <v>1</v>
      </c>
      <c r="J353">
        <v>3</v>
      </c>
      <c r="K353">
        <v>5942</v>
      </c>
      <c r="L353" t="s">
        <v>28</v>
      </c>
    </row>
    <row r="354" spans="1:12" x14ac:dyDescent="0.2">
      <c r="A354" t="s">
        <v>388</v>
      </c>
      <c r="B354" s="2">
        <v>45739</v>
      </c>
      <c r="C354" t="s">
        <v>32</v>
      </c>
      <c r="D354" t="s">
        <v>33</v>
      </c>
      <c r="E354" t="s">
        <v>23</v>
      </c>
      <c r="F354" t="s">
        <v>16</v>
      </c>
      <c r="G354" t="s">
        <v>40</v>
      </c>
      <c r="H354">
        <v>22</v>
      </c>
      <c r="I354">
        <v>2</v>
      </c>
      <c r="J354">
        <v>3</v>
      </c>
      <c r="K354">
        <v>10235</v>
      </c>
      <c r="L354" t="s">
        <v>28</v>
      </c>
    </row>
    <row r="355" spans="1:12" x14ac:dyDescent="0.2">
      <c r="A355" t="s">
        <v>389</v>
      </c>
      <c r="B355" s="2">
        <v>46014</v>
      </c>
      <c r="C355" t="s">
        <v>44</v>
      </c>
      <c r="D355" t="s">
        <v>45</v>
      </c>
      <c r="E355" t="s">
        <v>34</v>
      </c>
      <c r="F355" t="s">
        <v>16</v>
      </c>
      <c r="G355" t="s">
        <v>30</v>
      </c>
      <c r="H355">
        <v>121</v>
      </c>
      <c r="I355">
        <v>12</v>
      </c>
      <c r="J355">
        <v>1</v>
      </c>
      <c r="K355">
        <v>9155</v>
      </c>
      <c r="L355" t="s">
        <v>28</v>
      </c>
    </row>
    <row r="356" spans="1:12" x14ac:dyDescent="0.2">
      <c r="A356" t="s">
        <v>390</v>
      </c>
      <c r="B356" s="2">
        <v>45940</v>
      </c>
      <c r="C356" t="s">
        <v>20</v>
      </c>
      <c r="D356" t="s">
        <v>21</v>
      </c>
      <c r="E356" t="s">
        <v>22</v>
      </c>
      <c r="F356" t="s">
        <v>35</v>
      </c>
      <c r="G356" t="s">
        <v>17</v>
      </c>
      <c r="H356">
        <v>119</v>
      </c>
      <c r="I356">
        <v>4</v>
      </c>
      <c r="J356">
        <v>2</v>
      </c>
      <c r="K356">
        <v>9175</v>
      </c>
      <c r="L356" t="s">
        <v>28</v>
      </c>
    </row>
    <row r="357" spans="1:12" x14ac:dyDescent="0.2">
      <c r="A357" t="s">
        <v>391</v>
      </c>
      <c r="B357" s="2">
        <v>46012</v>
      </c>
      <c r="C357" t="s">
        <v>44</v>
      </c>
      <c r="D357" t="s">
        <v>45</v>
      </c>
      <c r="E357" t="s">
        <v>23</v>
      </c>
      <c r="F357" t="s">
        <v>23</v>
      </c>
      <c r="G357" t="s">
        <v>17</v>
      </c>
      <c r="H357">
        <v>111</v>
      </c>
      <c r="I357">
        <v>4</v>
      </c>
      <c r="J357">
        <v>1</v>
      </c>
      <c r="K357">
        <v>14159</v>
      </c>
      <c r="L357" t="s">
        <v>28</v>
      </c>
    </row>
    <row r="358" spans="1:12" x14ac:dyDescent="0.2">
      <c r="A358" t="s">
        <v>392</v>
      </c>
      <c r="B358" s="2">
        <v>45684</v>
      </c>
      <c r="C358" t="s">
        <v>32</v>
      </c>
      <c r="D358" t="s">
        <v>33</v>
      </c>
      <c r="E358" t="s">
        <v>22</v>
      </c>
      <c r="F358" t="s">
        <v>23</v>
      </c>
      <c r="G358" t="s">
        <v>36</v>
      </c>
      <c r="H358">
        <v>120</v>
      </c>
      <c r="I358">
        <v>7</v>
      </c>
      <c r="J358">
        <v>1</v>
      </c>
      <c r="K358">
        <v>11914</v>
      </c>
      <c r="L358" t="s">
        <v>18</v>
      </c>
    </row>
    <row r="359" spans="1:12" x14ac:dyDescent="0.2">
      <c r="A359" t="s">
        <v>393</v>
      </c>
      <c r="B359" s="2">
        <v>45732</v>
      </c>
      <c r="C359" t="s">
        <v>20</v>
      </c>
      <c r="D359" t="s">
        <v>21</v>
      </c>
      <c r="E359" t="s">
        <v>51</v>
      </c>
      <c r="F359" t="s">
        <v>16</v>
      </c>
      <c r="G359" t="s">
        <v>17</v>
      </c>
      <c r="H359">
        <v>45</v>
      </c>
      <c r="I359">
        <v>3</v>
      </c>
      <c r="J359">
        <v>1</v>
      </c>
      <c r="K359">
        <v>11718</v>
      </c>
      <c r="L359" t="s">
        <v>18</v>
      </c>
    </row>
    <row r="360" spans="1:12" x14ac:dyDescent="0.2">
      <c r="A360" t="s">
        <v>394</v>
      </c>
      <c r="B360" s="2">
        <v>45797</v>
      </c>
      <c r="C360" t="s">
        <v>32</v>
      </c>
      <c r="D360" t="s">
        <v>33</v>
      </c>
      <c r="E360" t="s">
        <v>23</v>
      </c>
      <c r="F360" t="s">
        <v>35</v>
      </c>
      <c r="G360" t="s">
        <v>36</v>
      </c>
      <c r="H360">
        <v>164</v>
      </c>
      <c r="I360">
        <v>10</v>
      </c>
      <c r="J360">
        <v>3</v>
      </c>
      <c r="K360">
        <v>644</v>
      </c>
      <c r="L360" t="s">
        <v>28</v>
      </c>
    </row>
    <row r="361" spans="1:12" x14ac:dyDescent="0.2">
      <c r="A361" t="s">
        <v>395</v>
      </c>
      <c r="B361" s="2">
        <v>45952</v>
      </c>
      <c r="C361" t="s">
        <v>20</v>
      </c>
      <c r="D361" t="s">
        <v>21</v>
      </c>
      <c r="E361" t="s">
        <v>15</v>
      </c>
      <c r="F361" t="s">
        <v>35</v>
      </c>
      <c r="G361" t="s">
        <v>30</v>
      </c>
      <c r="H361">
        <v>105</v>
      </c>
      <c r="I361">
        <v>0</v>
      </c>
      <c r="J361">
        <v>1</v>
      </c>
      <c r="K361">
        <v>5556</v>
      </c>
      <c r="L361" t="s">
        <v>28</v>
      </c>
    </row>
    <row r="362" spans="1:12" x14ac:dyDescent="0.2">
      <c r="A362" t="s">
        <v>396</v>
      </c>
      <c r="B362" s="2">
        <v>45802</v>
      </c>
      <c r="C362" t="s">
        <v>26</v>
      </c>
      <c r="D362" t="s">
        <v>27</v>
      </c>
      <c r="E362" t="s">
        <v>22</v>
      </c>
      <c r="F362" t="s">
        <v>35</v>
      </c>
      <c r="G362" t="s">
        <v>36</v>
      </c>
      <c r="H362">
        <v>59</v>
      </c>
      <c r="I362">
        <v>4</v>
      </c>
      <c r="J362">
        <v>3</v>
      </c>
      <c r="K362">
        <v>13337</v>
      </c>
      <c r="L362" t="s">
        <v>28</v>
      </c>
    </row>
    <row r="363" spans="1:12" x14ac:dyDescent="0.2">
      <c r="A363" t="s">
        <v>397</v>
      </c>
      <c r="B363" s="2">
        <v>45701</v>
      </c>
      <c r="C363" t="s">
        <v>44</v>
      </c>
      <c r="D363" t="s">
        <v>45</v>
      </c>
      <c r="E363" t="s">
        <v>34</v>
      </c>
      <c r="F363" t="s">
        <v>35</v>
      </c>
      <c r="G363" t="s">
        <v>40</v>
      </c>
      <c r="H363">
        <v>165</v>
      </c>
      <c r="I363">
        <v>13</v>
      </c>
      <c r="J363">
        <v>4</v>
      </c>
      <c r="K363">
        <v>1793</v>
      </c>
      <c r="L363" t="s">
        <v>28</v>
      </c>
    </row>
    <row r="364" spans="1:12" x14ac:dyDescent="0.2">
      <c r="A364" t="s">
        <v>398</v>
      </c>
      <c r="B364" s="2">
        <v>45972</v>
      </c>
      <c r="C364" t="s">
        <v>32</v>
      </c>
      <c r="D364" t="s">
        <v>33</v>
      </c>
      <c r="E364" t="s">
        <v>22</v>
      </c>
      <c r="F364" t="s">
        <v>35</v>
      </c>
      <c r="G364" t="s">
        <v>40</v>
      </c>
      <c r="H364">
        <v>167</v>
      </c>
      <c r="I364">
        <v>4</v>
      </c>
      <c r="J364">
        <v>1</v>
      </c>
      <c r="K364">
        <v>12685</v>
      </c>
      <c r="L364" t="s">
        <v>28</v>
      </c>
    </row>
    <row r="365" spans="1:12" x14ac:dyDescent="0.2">
      <c r="A365" t="s">
        <v>399</v>
      </c>
      <c r="B365" s="2">
        <v>45856</v>
      </c>
      <c r="C365" t="s">
        <v>44</v>
      </c>
      <c r="D365" t="s">
        <v>45</v>
      </c>
      <c r="E365" t="s">
        <v>34</v>
      </c>
      <c r="F365" t="s">
        <v>16</v>
      </c>
      <c r="G365" t="s">
        <v>30</v>
      </c>
      <c r="H365">
        <v>62</v>
      </c>
      <c r="I365">
        <v>4</v>
      </c>
      <c r="J365">
        <v>4</v>
      </c>
      <c r="K365">
        <v>6534</v>
      </c>
      <c r="L365" t="s">
        <v>28</v>
      </c>
    </row>
    <row r="366" spans="1:12" x14ac:dyDescent="0.2">
      <c r="A366" t="s">
        <v>400</v>
      </c>
      <c r="B366" s="2">
        <v>45780</v>
      </c>
      <c r="C366" t="s">
        <v>32</v>
      </c>
      <c r="D366" t="s">
        <v>33</v>
      </c>
      <c r="E366" t="s">
        <v>51</v>
      </c>
      <c r="F366" t="s">
        <v>16</v>
      </c>
      <c r="G366" t="s">
        <v>30</v>
      </c>
      <c r="H366">
        <v>141</v>
      </c>
      <c r="I366">
        <v>10</v>
      </c>
      <c r="J366">
        <v>1</v>
      </c>
      <c r="K366">
        <v>16542</v>
      </c>
      <c r="L366" t="s">
        <v>28</v>
      </c>
    </row>
    <row r="367" spans="1:12" x14ac:dyDescent="0.2">
      <c r="A367" t="s">
        <v>401</v>
      </c>
      <c r="B367" s="2">
        <v>45762</v>
      </c>
      <c r="C367" t="s">
        <v>26</v>
      </c>
      <c r="D367" t="s">
        <v>27</v>
      </c>
      <c r="E367" t="s">
        <v>34</v>
      </c>
      <c r="F367" t="s">
        <v>23</v>
      </c>
      <c r="G367" t="s">
        <v>30</v>
      </c>
      <c r="H367">
        <v>87</v>
      </c>
      <c r="I367">
        <v>11</v>
      </c>
      <c r="J367">
        <v>3</v>
      </c>
      <c r="K367">
        <v>4664</v>
      </c>
      <c r="L367" t="s">
        <v>28</v>
      </c>
    </row>
    <row r="368" spans="1:12" x14ac:dyDescent="0.2">
      <c r="A368" t="s">
        <v>402</v>
      </c>
      <c r="B368" s="2">
        <v>45999</v>
      </c>
      <c r="C368" t="s">
        <v>26</v>
      </c>
      <c r="D368" t="s">
        <v>27</v>
      </c>
      <c r="E368" t="s">
        <v>34</v>
      </c>
      <c r="F368" t="s">
        <v>23</v>
      </c>
      <c r="G368" t="s">
        <v>36</v>
      </c>
      <c r="H368">
        <v>24</v>
      </c>
      <c r="I368">
        <v>11</v>
      </c>
      <c r="J368">
        <v>2</v>
      </c>
      <c r="K368">
        <v>13485</v>
      </c>
      <c r="L368" t="s">
        <v>28</v>
      </c>
    </row>
    <row r="369" spans="1:12" x14ac:dyDescent="0.2">
      <c r="A369" t="s">
        <v>403</v>
      </c>
      <c r="B369" s="2">
        <v>45897</v>
      </c>
      <c r="C369" t="s">
        <v>26</v>
      </c>
      <c r="D369" t="s">
        <v>27</v>
      </c>
      <c r="E369" t="s">
        <v>23</v>
      </c>
      <c r="F369" t="s">
        <v>23</v>
      </c>
      <c r="G369" t="s">
        <v>36</v>
      </c>
      <c r="H369">
        <v>158</v>
      </c>
      <c r="I369">
        <v>6</v>
      </c>
      <c r="J369">
        <v>1</v>
      </c>
      <c r="K369">
        <v>16453</v>
      </c>
      <c r="L369" t="s">
        <v>18</v>
      </c>
    </row>
    <row r="370" spans="1:12" x14ac:dyDescent="0.2">
      <c r="A370" t="s">
        <v>404</v>
      </c>
      <c r="B370" s="2">
        <v>45913</v>
      </c>
      <c r="C370" t="s">
        <v>13</v>
      </c>
      <c r="D370" t="s">
        <v>14</v>
      </c>
      <c r="E370" t="s">
        <v>34</v>
      </c>
      <c r="F370" t="s">
        <v>16</v>
      </c>
      <c r="G370" t="s">
        <v>36</v>
      </c>
      <c r="H370">
        <v>32</v>
      </c>
      <c r="I370">
        <v>13</v>
      </c>
      <c r="J370">
        <v>3</v>
      </c>
      <c r="K370">
        <v>17107</v>
      </c>
      <c r="L370" t="s">
        <v>28</v>
      </c>
    </row>
    <row r="371" spans="1:12" x14ac:dyDescent="0.2">
      <c r="A371" t="s">
        <v>405</v>
      </c>
      <c r="B371" s="2">
        <v>45996</v>
      </c>
      <c r="C371" t="s">
        <v>26</v>
      </c>
      <c r="D371" t="s">
        <v>27</v>
      </c>
      <c r="E371" t="s">
        <v>51</v>
      </c>
      <c r="F371" t="s">
        <v>35</v>
      </c>
      <c r="G371" t="s">
        <v>36</v>
      </c>
      <c r="H371">
        <v>132</v>
      </c>
      <c r="I371">
        <v>4</v>
      </c>
      <c r="J371">
        <v>5</v>
      </c>
      <c r="K371">
        <v>3058</v>
      </c>
      <c r="L371" t="s">
        <v>28</v>
      </c>
    </row>
    <row r="372" spans="1:12" x14ac:dyDescent="0.2">
      <c r="A372" t="s">
        <v>406</v>
      </c>
      <c r="B372" s="2">
        <v>45699</v>
      </c>
      <c r="C372" t="s">
        <v>32</v>
      </c>
      <c r="D372" t="s">
        <v>33</v>
      </c>
      <c r="E372" t="s">
        <v>15</v>
      </c>
      <c r="F372" t="s">
        <v>35</v>
      </c>
      <c r="G372" t="s">
        <v>30</v>
      </c>
      <c r="H372">
        <v>36</v>
      </c>
      <c r="I372">
        <v>6</v>
      </c>
      <c r="J372">
        <v>2</v>
      </c>
      <c r="K372">
        <v>10751</v>
      </c>
      <c r="L372" t="s">
        <v>28</v>
      </c>
    </row>
    <row r="373" spans="1:12" x14ac:dyDescent="0.2">
      <c r="A373" t="s">
        <v>407</v>
      </c>
      <c r="B373" s="2">
        <v>45958</v>
      </c>
      <c r="C373" t="s">
        <v>20</v>
      </c>
      <c r="D373" t="s">
        <v>21</v>
      </c>
      <c r="E373" t="s">
        <v>51</v>
      </c>
      <c r="F373" t="s">
        <v>23</v>
      </c>
      <c r="G373" t="s">
        <v>40</v>
      </c>
      <c r="H373">
        <v>147</v>
      </c>
      <c r="I373">
        <v>13</v>
      </c>
      <c r="J373">
        <v>3</v>
      </c>
      <c r="K373">
        <v>17574</v>
      </c>
      <c r="L373" t="s">
        <v>28</v>
      </c>
    </row>
    <row r="374" spans="1:12" x14ac:dyDescent="0.2">
      <c r="A374" t="s">
        <v>408</v>
      </c>
      <c r="B374" s="2">
        <v>45870</v>
      </c>
      <c r="C374" t="s">
        <v>32</v>
      </c>
      <c r="D374" t="s">
        <v>33</v>
      </c>
      <c r="E374" t="s">
        <v>22</v>
      </c>
      <c r="F374" t="s">
        <v>23</v>
      </c>
      <c r="G374" t="s">
        <v>24</v>
      </c>
      <c r="H374">
        <v>158</v>
      </c>
      <c r="I374">
        <v>11</v>
      </c>
      <c r="J374">
        <v>5</v>
      </c>
      <c r="K374">
        <v>9917</v>
      </c>
      <c r="L374" t="s">
        <v>28</v>
      </c>
    </row>
    <row r="375" spans="1:12" x14ac:dyDescent="0.2">
      <c r="A375" t="s">
        <v>409</v>
      </c>
      <c r="B375" s="2">
        <v>45801</v>
      </c>
      <c r="C375" t="s">
        <v>44</v>
      </c>
      <c r="D375" t="s">
        <v>45</v>
      </c>
      <c r="E375" t="s">
        <v>15</v>
      </c>
      <c r="F375" t="s">
        <v>16</v>
      </c>
      <c r="G375" t="s">
        <v>17</v>
      </c>
      <c r="H375">
        <v>113</v>
      </c>
      <c r="I375">
        <v>10</v>
      </c>
      <c r="J375">
        <v>3</v>
      </c>
      <c r="K375">
        <v>9795</v>
      </c>
      <c r="L375" t="s">
        <v>28</v>
      </c>
    </row>
    <row r="376" spans="1:12" x14ac:dyDescent="0.2">
      <c r="A376" t="s">
        <v>410</v>
      </c>
      <c r="B376" s="2">
        <v>45828</v>
      </c>
      <c r="C376" t="s">
        <v>13</v>
      </c>
      <c r="D376" t="s">
        <v>14</v>
      </c>
      <c r="E376" t="s">
        <v>15</v>
      </c>
      <c r="F376" t="s">
        <v>23</v>
      </c>
      <c r="G376" t="s">
        <v>36</v>
      </c>
      <c r="H376">
        <v>166</v>
      </c>
      <c r="I376">
        <v>5</v>
      </c>
      <c r="J376">
        <v>2</v>
      </c>
      <c r="K376">
        <v>14401</v>
      </c>
      <c r="L376" t="s">
        <v>18</v>
      </c>
    </row>
    <row r="377" spans="1:12" x14ac:dyDescent="0.2">
      <c r="A377" t="s">
        <v>411</v>
      </c>
      <c r="B377" s="2">
        <v>45836</v>
      </c>
      <c r="C377" t="s">
        <v>32</v>
      </c>
      <c r="D377" t="s">
        <v>33</v>
      </c>
      <c r="E377" t="s">
        <v>22</v>
      </c>
      <c r="F377" t="s">
        <v>35</v>
      </c>
      <c r="G377" t="s">
        <v>17</v>
      </c>
      <c r="H377">
        <v>169</v>
      </c>
      <c r="I377">
        <v>13</v>
      </c>
      <c r="J377">
        <v>5</v>
      </c>
      <c r="K377">
        <v>3134</v>
      </c>
      <c r="L377" t="s">
        <v>18</v>
      </c>
    </row>
    <row r="378" spans="1:12" x14ac:dyDescent="0.2">
      <c r="A378" t="s">
        <v>412</v>
      </c>
      <c r="B378" s="2">
        <v>45771</v>
      </c>
      <c r="C378" t="s">
        <v>20</v>
      </c>
      <c r="D378" t="s">
        <v>21</v>
      </c>
      <c r="E378" t="s">
        <v>51</v>
      </c>
      <c r="F378" t="s">
        <v>35</v>
      </c>
      <c r="G378" t="s">
        <v>40</v>
      </c>
      <c r="H378">
        <v>47</v>
      </c>
      <c r="I378">
        <v>13</v>
      </c>
      <c r="J378">
        <v>2</v>
      </c>
      <c r="K378">
        <v>15074</v>
      </c>
      <c r="L378" t="s">
        <v>18</v>
      </c>
    </row>
    <row r="379" spans="1:12" x14ac:dyDescent="0.2">
      <c r="A379" t="s">
        <v>413</v>
      </c>
      <c r="B379" s="2">
        <v>45916</v>
      </c>
      <c r="C379" t="s">
        <v>44</v>
      </c>
      <c r="D379" t="s">
        <v>45</v>
      </c>
      <c r="E379" t="s">
        <v>51</v>
      </c>
      <c r="F379" t="s">
        <v>16</v>
      </c>
      <c r="G379" t="s">
        <v>17</v>
      </c>
      <c r="H379">
        <v>170</v>
      </c>
      <c r="I379">
        <v>1</v>
      </c>
      <c r="J379">
        <v>5</v>
      </c>
      <c r="K379">
        <v>243</v>
      </c>
      <c r="L379" t="s">
        <v>28</v>
      </c>
    </row>
    <row r="380" spans="1:12" x14ac:dyDescent="0.2">
      <c r="A380" t="s">
        <v>414</v>
      </c>
      <c r="B380" s="2">
        <v>45998</v>
      </c>
      <c r="C380" t="s">
        <v>26</v>
      </c>
      <c r="D380" t="s">
        <v>27</v>
      </c>
      <c r="E380" t="s">
        <v>23</v>
      </c>
      <c r="F380" t="s">
        <v>35</v>
      </c>
      <c r="G380" t="s">
        <v>30</v>
      </c>
      <c r="H380">
        <v>30</v>
      </c>
      <c r="I380">
        <v>4</v>
      </c>
      <c r="J380">
        <v>5</v>
      </c>
      <c r="K380">
        <v>5320</v>
      </c>
      <c r="L380" t="s">
        <v>28</v>
      </c>
    </row>
    <row r="381" spans="1:12" x14ac:dyDescent="0.2">
      <c r="A381" t="s">
        <v>415</v>
      </c>
      <c r="B381" s="2">
        <v>45767</v>
      </c>
      <c r="C381" t="s">
        <v>13</v>
      </c>
      <c r="D381" t="s">
        <v>14</v>
      </c>
      <c r="E381" t="s">
        <v>51</v>
      </c>
      <c r="F381" t="s">
        <v>16</v>
      </c>
      <c r="G381" t="s">
        <v>40</v>
      </c>
      <c r="H381">
        <v>115</v>
      </c>
      <c r="I381">
        <v>7</v>
      </c>
      <c r="J381">
        <v>2</v>
      </c>
      <c r="K381">
        <v>10990</v>
      </c>
      <c r="L381" t="s">
        <v>18</v>
      </c>
    </row>
    <row r="382" spans="1:12" x14ac:dyDescent="0.2">
      <c r="A382" t="s">
        <v>416</v>
      </c>
      <c r="B382" s="2">
        <v>45921</v>
      </c>
      <c r="C382" t="s">
        <v>44</v>
      </c>
      <c r="D382" t="s">
        <v>45</v>
      </c>
      <c r="E382" t="s">
        <v>23</v>
      </c>
      <c r="F382" t="s">
        <v>16</v>
      </c>
      <c r="G382" t="s">
        <v>24</v>
      </c>
      <c r="H382">
        <v>34</v>
      </c>
      <c r="I382">
        <v>10</v>
      </c>
      <c r="J382">
        <v>3</v>
      </c>
      <c r="K382">
        <v>12268</v>
      </c>
      <c r="L382" t="s">
        <v>28</v>
      </c>
    </row>
    <row r="383" spans="1:12" x14ac:dyDescent="0.2">
      <c r="A383" t="s">
        <v>417</v>
      </c>
      <c r="B383" s="2">
        <v>45713</v>
      </c>
      <c r="C383" t="s">
        <v>13</v>
      </c>
      <c r="D383" t="s">
        <v>14</v>
      </c>
      <c r="E383" t="s">
        <v>15</v>
      </c>
      <c r="F383" t="s">
        <v>35</v>
      </c>
      <c r="G383" t="s">
        <v>40</v>
      </c>
      <c r="H383">
        <v>12</v>
      </c>
      <c r="I383">
        <v>2</v>
      </c>
      <c r="J383">
        <v>2</v>
      </c>
      <c r="K383">
        <v>6161</v>
      </c>
      <c r="L383" t="s">
        <v>28</v>
      </c>
    </row>
    <row r="384" spans="1:12" x14ac:dyDescent="0.2">
      <c r="A384" t="s">
        <v>418</v>
      </c>
      <c r="B384" s="2">
        <v>45826</v>
      </c>
      <c r="C384" t="s">
        <v>32</v>
      </c>
      <c r="D384" t="s">
        <v>33</v>
      </c>
      <c r="E384" t="s">
        <v>51</v>
      </c>
      <c r="F384" t="s">
        <v>35</v>
      </c>
      <c r="G384" t="s">
        <v>17</v>
      </c>
      <c r="H384">
        <v>21</v>
      </c>
      <c r="I384">
        <v>1</v>
      </c>
      <c r="J384">
        <v>3</v>
      </c>
      <c r="K384">
        <v>14614</v>
      </c>
      <c r="L384" t="s">
        <v>18</v>
      </c>
    </row>
    <row r="385" spans="1:12" x14ac:dyDescent="0.2">
      <c r="A385" t="s">
        <v>419</v>
      </c>
      <c r="B385" s="2">
        <v>45987</v>
      </c>
      <c r="C385" t="s">
        <v>20</v>
      </c>
      <c r="D385" t="s">
        <v>21</v>
      </c>
      <c r="E385" t="s">
        <v>34</v>
      </c>
      <c r="F385" t="s">
        <v>35</v>
      </c>
      <c r="G385" t="s">
        <v>40</v>
      </c>
      <c r="H385">
        <v>82</v>
      </c>
      <c r="I385">
        <v>9</v>
      </c>
      <c r="J385">
        <v>2</v>
      </c>
      <c r="K385">
        <v>12220</v>
      </c>
      <c r="L385" t="s">
        <v>18</v>
      </c>
    </row>
    <row r="386" spans="1:12" x14ac:dyDescent="0.2">
      <c r="A386" t="s">
        <v>420</v>
      </c>
      <c r="B386" s="2">
        <v>45998</v>
      </c>
      <c r="C386" t="s">
        <v>44</v>
      </c>
      <c r="D386" t="s">
        <v>45</v>
      </c>
      <c r="E386" t="s">
        <v>22</v>
      </c>
      <c r="F386" t="s">
        <v>16</v>
      </c>
      <c r="G386" t="s">
        <v>30</v>
      </c>
      <c r="H386">
        <v>56</v>
      </c>
      <c r="I386">
        <v>3</v>
      </c>
      <c r="J386">
        <v>1</v>
      </c>
      <c r="K386">
        <v>15035</v>
      </c>
      <c r="L386" t="s">
        <v>28</v>
      </c>
    </row>
    <row r="387" spans="1:12" x14ac:dyDescent="0.2">
      <c r="A387" t="s">
        <v>421</v>
      </c>
      <c r="B387" s="2">
        <v>45817</v>
      </c>
      <c r="C387" t="s">
        <v>20</v>
      </c>
      <c r="D387" t="s">
        <v>21</v>
      </c>
      <c r="E387" t="s">
        <v>22</v>
      </c>
      <c r="F387" t="s">
        <v>23</v>
      </c>
      <c r="G387" t="s">
        <v>30</v>
      </c>
      <c r="H387">
        <v>166</v>
      </c>
      <c r="I387">
        <v>13</v>
      </c>
      <c r="J387">
        <v>1</v>
      </c>
      <c r="K387">
        <v>17569</v>
      </c>
      <c r="L387" t="s">
        <v>18</v>
      </c>
    </row>
    <row r="388" spans="1:12" x14ac:dyDescent="0.2">
      <c r="A388" t="s">
        <v>422</v>
      </c>
      <c r="B388" s="2">
        <v>45722</v>
      </c>
      <c r="C388" t="s">
        <v>13</v>
      </c>
      <c r="D388" t="s">
        <v>14</v>
      </c>
      <c r="E388" t="s">
        <v>22</v>
      </c>
      <c r="F388" t="s">
        <v>16</v>
      </c>
      <c r="G388" t="s">
        <v>40</v>
      </c>
      <c r="H388">
        <v>23</v>
      </c>
      <c r="I388">
        <v>12</v>
      </c>
      <c r="J388">
        <v>5</v>
      </c>
      <c r="K388">
        <v>12352</v>
      </c>
      <c r="L388" t="s">
        <v>28</v>
      </c>
    </row>
    <row r="389" spans="1:12" x14ac:dyDescent="0.2">
      <c r="A389" t="s">
        <v>423</v>
      </c>
      <c r="B389" s="2">
        <v>45986</v>
      </c>
      <c r="C389" t="s">
        <v>44</v>
      </c>
      <c r="D389" t="s">
        <v>45</v>
      </c>
      <c r="E389" t="s">
        <v>23</v>
      </c>
      <c r="F389" t="s">
        <v>16</v>
      </c>
      <c r="G389" t="s">
        <v>24</v>
      </c>
      <c r="H389">
        <v>37</v>
      </c>
      <c r="I389">
        <v>3</v>
      </c>
      <c r="J389">
        <v>5</v>
      </c>
      <c r="K389">
        <v>7461</v>
      </c>
      <c r="L389" t="s">
        <v>28</v>
      </c>
    </row>
    <row r="390" spans="1:12" x14ac:dyDescent="0.2">
      <c r="A390" t="s">
        <v>424</v>
      </c>
      <c r="B390" s="2">
        <v>45823</v>
      </c>
      <c r="C390" t="s">
        <v>26</v>
      </c>
      <c r="D390" t="s">
        <v>27</v>
      </c>
      <c r="E390" t="s">
        <v>15</v>
      </c>
      <c r="F390" t="s">
        <v>23</v>
      </c>
      <c r="G390" t="s">
        <v>36</v>
      </c>
      <c r="H390">
        <v>46</v>
      </c>
      <c r="I390">
        <v>6</v>
      </c>
      <c r="J390">
        <v>5</v>
      </c>
      <c r="K390">
        <v>3914</v>
      </c>
      <c r="L390" t="s">
        <v>18</v>
      </c>
    </row>
    <row r="391" spans="1:12" x14ac:dyDescent="0.2">
      <c r="A391" t="s">
        <v>425</v>
      </c>
      <c r="B391" s="2">
        <v>45965</v>
      </c>
      <c r="C391" t="s">
        <v>32</v>
      </c>
      <c r="D391" t="s">
        <v>33</v>
      </c>
      <c r="E391" t="s">
        <v>51</v>
      </c>
      <c r="F391" t="s">
        <v>35</v>
      </c>
      <c r="G391" t="s">
        <v>30</v>
      </c>
      <c r="H391">
        <v>22</v>
      </c>
      <c r="I391">
        <v>6</v>
      </c>
      <c r="J391">
        <v>1</v>
      </c>
      <c r="K391">
        <v>3109</v>
      </c>
      <c r="L391" t="s">
        <v>28</v>
      </c>
    </row>
    <row r="392" spans="1:12" x14ac:dyDescent="0.2">
      <c r="A392" t="s">
        <v>426</v>
      </c>
      <c r="B392" s="2">
        <v>45783</v>
      </c>
      <c r="C392" t="s">
        <v>44</v>
      </c>
      <c r="D392" t="s">
        <v>45</v>
      </c>
      <c r="E392" t="s">
        <v>22</v>
      </c>
      <c r="F392" t="s">
        <v>23</v>
      </c>
      <c r="G392" t="s">
        <v>36</v>
      </c>
      <c r="H392">
        <v>35</v>
      </c>
      <c r="I392">
        <v>1</v>
      </c>
      <c r="J392">
        <v>5</v>
      </c>
      <c r="K392">
        <v>4257</v>
      </c>
      <c r="L392" t="s">
        <v>18</v>
      </c>
    </row>
    <row r="393" spans="1:12" x14ac:dyDescent="0.2">
      <c r="A393" t="s">
        <v>427</v>
      </c>
      <c r="B393" s="2">
        <v>45885</v>
      </c>
      <c r="C393" t="s">
        <v>32</v>
      </c>
      <c r="D393" t="s">
        <v>33</v>
      </c>
      <c r="E393" t="s">
        <v>34</v>
      </c>
      <c r="F393" t="s">
        <v>16</v>
      </c>
      <c r="G393" t="s">
        <v>24</v>
      </c>
      <c r="H393">
        <v>161</v>
      </c>
      <c r="I393">
        <v>3</v>
      </c>
      <c r="J393">
        <v>2</v>
      </c>
      <c r="K393">
        <v>11051</v>
      </c>
      <c r="L393" t="s">
        <v>18</v>
      </c>
    </row>
    <row r="394" spans="1:12" x14ac:dyDescent="0.2">
      <c r="A394" t="s">
        <v>428</v>
      </c>
      <c r="B394" s="2">
        <v>46016</v>
      </c>
      <c r="C394" t="s">
        <v>26</v>
      </c>
      <c r="D394" t="s">
        <v>27</v>
      </c>
      <c r="E394" t="s">
        <v>15</v>
      </c>
      <c r="F394" t="s">
        <v>23</v>
      </c>
      <c r="G394" t="s">
        <v>17</v>
      </c>
      <c r="H394">
        <v>41</v>
      </c>
      <c r="I394">
        <v>11</v>
      </c>
      <c r="J394">
        <v>5</v>
      </c>
      <c r="K394">
        <v>12290</v>
      </c>
      <c r="L394" t="s">
        <v>28</v>
      </c>
    </row>
    <row r="395" spans="1:12" x14ac:dyDescent="0.2">
      <c r="A395" t="s">
        <v>429</v>
      </c>
      <c r="B395" s="2">
        <v>45761</v>
      </c>
      <c r="C395" t="s">
        <v>44</v>
      </c>
      <c r="D395" t="s">
        <v>45</v>
      </c>
      <c r="E395" t="s">
        <v>15</v>
      </c>
      <c r="F395" t="s">
        <v>23</v>
      </c>
      <c r="G395" t="s">
        <v>24</v>
      </c>
      <c r="H395">
        <v>148</v>
      </c>
      <c r="I395">
        <v>1</v>
      </c>
      <c r="J395">
        <v>5</v>
      </c>
      <c r="K395">
        <v>7422</v>
      </c>
      <c r="L395" t="s">
        <v>28</v>
      </c>
    </row>
    <row r="396" spans="1:12" x14ac:dyDescent="0.2">
      <c r="A396" t="s">
        <v>430</v>
      </c>
      <c r="B396" s="2">
        <v>45903</v>
      </c>
      <c r="C396" t="s">
        <v>44</v>
      </c>
      <c r="D396" t="s">
        <v>45</v>
      </c>
      <c r="E396" t="s">
        <v>34</v>
      </c>
      <c r="F396" t="s">
        <v>35</v>
      </c>
      <c r="G396" t="s">
        <v>30</v>
      </c>
      <c r="H396">
        <v>48</v>
      </c>
      <c r="I396">
        <v>8</v>
      </c>
      <c r="J396">
        <v>5</v>
      </c>
      <c r="K396">
        <v>8607</v>
      </c>
      <c r="L396" t="s">
        <v>28</v>
      </c>
    </row>
    <row r="397" spans="1:12" x14ac:dyDescent="0.2">
      <c r="A397" t="s">
        <v>431</v>
      </c>
      <c r="B397" s="2">
        <v>45849</v>
      </c>
      <c r="C397" t="s">
        <v>26</v>
      </c>
      <c r="D397" t="s">
        <v>27</v>
      </c>
      <c r="E397" t="s">
        <v>23</v>
      </c>
      <c r="F397" t="s">
        <v>23</v>
      </c>
      <c r="G397" t="s">
        <v>17</v>
      </c>
      <c r="H397">
        <v>53</v>
      </c>
      <c r="I397">
        <v>11</v>
      </c>
      <c r="J397">
        <v>5</v>
      </c>
      <c r="K397">
        <v>17360</v>
      </c>
      <c r="L397" t="s">
        <v>28</v>
      </c>
    </row>
    <row r="398" spans="1:12" x14ac:dyDescent="0.2">
      <c r="A398" t="s">
        <v>432</v>
      </c>
      <c r="B398" s="2">
        <v>45879</v>
      </c>
      <c r="C398" t="s">
        <v>26</v>
      </c>
      <c r="D398" t="s">
        <v>27</v>
      </c>
      <c r="E398" t="s">
        <v>15</v>
      </c>
      <c r="F398" t="s">
        <v>23</v>
      </c>
      <c r="G398" t="s">
        <v>40</v>
      </c>
      <c r="H398">
        <v>124</v>
      </c>
      <c r="I398">
        <v>13</v>
      </c>
      <c r="J398">
        <v>2</v>
      </c>
      <c r="K398">
        <v>3757</v>
      </c>
      <c r="L398" t="s">
        <v>28</v>
      </c>
    </row>
    <row r="399" spans="1:12" x14ac:dyDescent="0.2">
      <c r="A399" t="s">
        <v>433</v>
      </c>
      <c r="B399" s="2">
        <v>45815</v>
      </c>
      <c r="C399" t="s">
        <v>44</v>
      </c>
      <c r="D399" t="s">
        <v>45</v>
      </c>
      <c r="E399" t="s">
        <v>22</v>
      </c>
      <c r="F399" t="s">
        <v>16</v>
      </c>
      <c r="G399" t="s">
        <v>17</v>
      </c>
      <c r="H399">
        <v>121</v>
      </c>
      <c r="I399">
        <v>5</v>
      </c>
      <c r="J399">
        <v>3</v>
      </c>
      <c r="K399">
        <v>3359</v>
      </c>
      <c r="L399" t="s">
        <v>28</v>
      </c>
    </row>
    <row r="400" spans="1:12" x14ac:dyDescent="0.2">
      <c r="A400" t="s">
        <v>434</v>
      </c>
      <c r="B400" s="2">
        <v>45739</v>
      </c>
      <c r="C400" t="s">
        <v>44</v>
      </c>
      <c r="D400" t="s">
        <v>45</v>
      </c>
      <c r="E400" t="s">
        <v>23</v>
      </c>
      <c r="F400" t="s">
        <v>35</v>
      </c>
      <c r="G400" t="s">
        <v>40</v>
      </c>
      <c r="H400">
        <v>110</v>
      </c>
      <c r="I400">
        <v>1</v>
      </c>
      <c r="J400">
        <v>2</v>
      </c>
      <c r="K400">
        <v>17779</v>
      </c>
      <c r="L400" t="s">
        <v>28</v>
      </c>
    </row>
    <row r="401" spans="1:12" x14ac:dyDescent="0.2">
      <c r="A401" t="s">
        <v>435</v>
      </c>
      <c r="B401" s="2">
        <v>45810</v>
      </c>
      <c r="C401" t="s">
        <v>44</v>
      </c>
      <c r="D401" t="s">
        <v>45</v>
      </c>
      <c r="E401" t="s">
        <v>22</v>
      </c>
      <c r="F401" t="s">
        <v>16</v>
      </c>
      <c r="G401" t="s">
        <v>17</v>
      </c>
      <c r="H401">
        <v>21</v>
      </c>
      <c r="I401">
        <v>10</v>
      </c>
      <c r="J401">
        <v>5</v>
      </c>
      <c r="K401">
        <v>12538</v>
      </c>
      <c r="L401" t="s">
        <v>28</v>
      </c>
    </row>
    <row r="402" spans="1:12" x14ac:dyDescent="0.2">
      <c r="A402" t="s">
        <v>436</v>
      </c>
      <c r="B402" s="2">
        <v>45860</v>
      </c>
      <c r="C402" t="s">
        <v>32</v>
      </c>
      <c r="D402" t="s">
        <v>33</v>
      </c>
      <c r="E402" t="s">
        <v>15</v>
      </c>
      <c r="F402" t="s">
        <v>16</v>
      </c>
      <c r="G402" t="s">
        <v>17</v>
      </c>
      <c r="H402">
        <v>50</v>
      </c>
      <c r="I402">
        <v>12</v>
      </c>
      <c r="J402">
        <v>4</v>
      </c>
      <c r="K402">
        <v>4082</v>
      </c>
      <c r="L402" t="s">
        <v>28</v>
      </c>
    </row>
    <row r="403" spans="1:12" x14ac:dyDescent="0.2">
      <c r="A403" t="s">
        <v>437</v>
      </c>
      <c r="B403" s="2">
        <v>45660</v>
      </c>
      <c r="C403" t="s">
        <v>13</v>
      </c>
      <c r="D403" t="s">
        <v>14</v>
      </c>
      <c r="E403" t="s">
        <v>23</v>
      </c>
      <c r="F403" t="s">
        <v>35</v>
      </c>
      <c r="G403" t="s">
        <v>36</v>
      </c>
      <c r="H403">
        <v>78</v>
      </c>
      <c r="I403">
        <v>9</v>
      </c>
      <c r="J403">
        <v>1</v>
      </c>
      <c r="K403">
        <v>1092</v>
      </c>
      <c r="L403" t="s">
        <v>28</v>
      </c>
    </row>
    <row r="404" spans="1:12" x14ac:dyDescent="0.2">
      <c r="A404" t="s">
        <v>438</v>
      </c>
      <c r="B404" s="2">
        <v>45909</v>
      </c>
      <c r="C404" t="s">
        <v>20</v>
      </c>
      <c r="D404" t="s">
        <v>21</v>
      </c>
      <c r="E404" t="s">
        <v>22</v>
      </c>
      <c r="F404" t="s">
        <v>23</v>
      </c>
      <c r="G404" t="s">
        <v>40</v>
      </c>
      <c r="H404">
        <v>158</v>
      </c>
      <c r="I404">
        <v>11</v>
      </c>
      <c r="J404">
        <v>4</v>
      </c>
      <c r="K404">
        <v>17645</v>
      </c>
      <c r="L404" t="s">
        <v>18</v>
      </c>
    </row>
    <row r="405" spans="1:12" x14ac:dyDescent="0.2">
      <c r="A405" t="s">
        <v>439</v>
      </c>
      <c r="B405" s="2">
        <v>45974</v>
      </c>
      <c r="C405" t="s">
        <v>32</v>
      </c>
      <c r="D405" t="s">
        <v>33</v>
      </c>
      <c r="E405" t="s">
        <v>15</v>
      </c>
      <c r="F405" t="s">
        <v>35</v>
      </c>
      <c r="G405" t="s">
        <v>24</v>
      </c>
      <c r="H405">
        <v>79</v>
      </c>
      <c r="I405">
        <v>4</v>
      </c>
      <c r="J405">
        <v>3</v>
      </c>
      <c r="K405">
        <v>10219</v>
      </c>
      <c r="L405" t="s">
        <v>28</v>
      </c>
    </row>
    <row r="406" spans="1:12" x14ac:dyDescent="0.2">
      <c r="A406" t="s">
        <v>440</v>
      </c>
      <c r="B406" s="2">
        <v>45762</v>
      </c>
      <c r="C406" t="s">
        <v>13</v>
      </c>
      <c r="D406" t="s">
        <v>14</v>
      </c>
      <c r="E406" t="s">
        <v>51</v>
      </c>
      <c r="F406" t="s">
        <v>35</v>
      </c>
      <c r="G406" t="s">
        <v>17</v>
      </c>
      <c r="H406">
        <v>95</v>
      </c>
      <c r="I406">
        <v>10</v>
      </c>
      <c r="J406">
        <v>3</v>
      </c>
      <c r="K406">
        <v>10766</v>
      </c>
      <c r="L406" t="s">
        <v>18</v>
      </c>
    </row>
    <row r="407" spans="1:12" x14ac:dyDescent="0.2">
      <c r="A407" t="s">
        <v>441</v>
      </c>
      <c r="B407" s="2">
        <v>45812</v>
      </c>
      <c r="C407" t="s">
        <v>20</v>
      </c>
      <c r="D407" t="s">
        <v>21</v>
      </c>
      <c r="E407" t="s">
        <v>22</v>
      </c>
      <c r="F407" t="s">
        <v>16</v>
      </c>
      <c r="G407" t="s">
        <v>36</v>
      </c>
      <c r="H407">
        <v>139</v>
      </c>
      <c r="I407">
        <v>8</v>
      </c>
      <c r="J407">
        <v>3</v>
      </c>
      <c r="K407">
        <v>11736</v>
      </c>
      <c r="L407" t="s">
        <v>28</v>
      </c>
    </row>
    <row r="408" spans="1:12" x14ac:dyDescent="0.2">
      <c r="A408" t="s">
        <v>442</v>
      </c>
      <c r="B408" s="2">
        <v>45992</v>
      </c>
      <c r="C408" t="s">
        <v>32</v>
      </c>
      <c r="D408" t="s">
        <v>33</v>
      </c>
      <c r="E408" t="s">
        <v>51</v>
      </c>
      <c r="F408" t="s">
        <v>35</v>
      </c>
      <c r="G408" t="s">
        <v>40</v>
      </c>
      <c r="H408">
        <v>131</v>
      </c>
      <c r="I408">
        <v>9</v>
      </c>
      <c r="J408">
        <v>5</v>
      </c>
      <c r="K408">
        <v>17792</v>
      </c>
      <c r="L408" t="s">
        <v>28</v>
      </c>
    </row>
    <row r="409" spans="1:12" x14ac:dyDescent="0.2">
      <c r="A409" t="s">
        <v>443</v>
      </c>
      <c r="B409" s="2">
        <v>45904</v>
      </c>
      <c r="C409" t="s">
        <v>20</v>
      </c>
      <c r="D409" t="s">
        <v>21</v>
      </c>
      <c r="E409" t="s">
        <v>15</v>
      </c>
      <c r="F409" t="s">
        <v>16</v>
      </c>
      <c r="G409" t="s">
        <v>36</v>
      </c>
      <c r="H409">
        <v>100</v>
      </c>
      <c r="I409">
        <v>2</v>
      </c>
      <c r="J409">
        <v>1</v>
      </c>
      <c r="K409">
        <v>5100</v>
      </c>
      <c r="L409" t="s">
        <v>28</v>
      </c>
    </row>
    <row r="410" spans="1:12" x14ac:dyDescent="0.2">
      <c r="A410" t="s">
        <v>444</v>
      </c>
      <c r="B410" s="2">
        <v>45963</v>
      </c>
      <c r="C410" t="s">
        <v>44</v>
      </c>
      <c r="D410" t="s">
        <v>45</v>
      </c>
      <c r="E410" t="s">
        <v>22</v>
      </c>
      <c r="F410" t="s">
        <v>35</v>
      </c>
      <c r="G410" t="s">
        <v>40</v>
      </c>
      <c r="H410">
        <v>70</v>
      </c>
      <c r="I410">
        <v>6</v>
      </c>
      <c r="J410">
        <v>3</v>
      </c>
      <c r="K410">
        <v>9617</v>
      </c>
      <c r="L410" t="s">
        <v>28</v>
      </c>
    </row>
    <row r="411" spans="1:12" x14ac:dyDescent="0.2">
      <c r="A411" t="s">
        <v>445</v>
      </c>
      <c r="B411" s="2">
        <v>46000</v>
      </c>
      <c r="C411" t="s">
        <v>20</v>
      </c>
      <c r="D411" t="s">
        <v>21</v>
      </c>
      <c r="E411" t="s">
        <v>51</v>
      </c>
      <c r="F411" t="s">
        <v>35</v>
      </c>
      <c r="G411" t="s">
        <v>30</v>
      </c>
      <c r="H411">
        <v>28</v>
      </c>
      <c r="I411">
        <v>8</v>
      </c>
      <c r="J411">
        <v>4</v>
      </c>
      <c r="K411">
        <v>2235</v>
      </c>
      <c r="L411" t="s">
        <v>28</v>
      </c>
    </row>
    <row r="412" spans="1:12" x14ac:dyDescent="0.2">
      <c r="A412" t="s">
        <v>446</v>
      </c>
      <c r="B412" s="2">
        <v>45716</v>
      </c>
      <c r="C412" t="s">
        <v>26</v>
      </c>
      <c r="D412" t="s">
        <v>27</v>
      </c>
      <c r="E412" t="s">
        <v>51</v>
      </c>
      <c r="F412" t="s">
        <v>16</v>
      </c>
      <c r="G412" t="s">
        <v>17</v>
      </c>
      <c r="H412">
        <v>44</v>
      </c>
      <c r="I412">
        <v>6</v>
      </c>
      <c r="J412">
        <v>1</v>
      </c>
      <c r="K412">
        <v>14286</v>
      </c>
      <c r="L412" t="s">
        <v>28</v>
      </c>
    </row>
    <row r="413" spans="1:12" x14ac:dyDescent="0.2">
      <c r="A413" t="s">
        <v>447</v>
      </c>
      <c r="B413" s="2">
        <v>45775</v>
      </c>
      <c r="C413" t="s">
        <v>32</v>
      </c>
      <c r="D413" t="s">
        <v>33</v>
      </c>
      <c r="E413" t="s">
        <v>34</v>
      </c>
      <c r="F413" t="s">
        <v>35</v>
      </c>
      <c r="G413" t="s">
        <v>40</v>
      </c>
      <c r="H413">
        <v>158</v>
      </c>
      <c r="I413">
        <v>13</v>
      </c>
      <c r="J413">
        <v>5</v>
      </c>
      <c r="K413">
        <v>10075</v>
      </c>
      <c r="L413" t="s">
        <v>28</v>
      </c>
    </row>
    <row r="414" spans="1:12" x14ac:dyDescent="0.2">
      <c r="A414" t="s">
        <v>448</v>
      </c>
      <c r="B414" s="2">
        <v>45782</v>
      </c>
      <c r="C414" t="s">
        <v>26</v>
      </c>
      <c r="D414" t="s">
        <v>27</v>
      </c>
      <c r="E414" t="s">
        <v>34</v>
      </c>
      <c r="F414" t="s">
        <v>16</v>
      </c>
      <c r="G414" t="s">
        <v>24</v>
      </c>
      <c r="H414">
        <v>106</v>
      </c>
      <c r="I414">
        <v>2</v>
      </c>
      <c r="J414">
        <v>4</v>
      </c>
      <c r="K414">
        <v>4504</v>
      </c>
      <c r="L414" t="s">
        <v>28</v>
      </c>
    </row>
    <row r="415" spans="1:12" x14ac:dyDescent="0.2">
      <c r="A415" t="s">
        <v>449</v>
      </c>
      <c r="B415" s="2">
        <v>45803</v>
      </c>
      <c r="C415" t="s">
        <v>26</v>
      </c>
      <c r="D415" t="s">
        <v>27</v>
      </c>
      <c r="E415" t="s">
        <v>23</v>
      </c>
      <c r="F415" t="s">
        <v>23</v>
      </c>
      <c r="G415" t="s">
        <v>24</v>
      </c>
      <c r="H415">
        <v>80</v>
      </c>
      <c r="I415">
        <v>4</v>
      </c>
      <c r="J415">
        <v>4</v>
      </c>
      <c r="K415">
        <v>471</v>
      </c>
      <c r="L415" t="s">
        <v>18</v>
      </c>
    </row>
    <row r="416" spans="1:12" x14ac:dyDescent="0.2">
      <c r="A416" t="s">
        <v>450</v>
      </c>
      <c r="B416" s="2">
        <v>45731</v>
      </c>
      <c r="C416" t="s">
        <v>44</v>
      </c>
      <c r="D416" t="s">
        <v>45</v>
      </c>
      <c r="E416" t="s">
        <v>23</v>
      </c>
      <c r="F416" t="s">
        <v>16</v>
      </c>
      <c r="G416" t="s">
        <v>30</v>
      </c>
      <c r="H416">
        <v>92</v>
      </c>
      <c r="I416">
        <v>11</v>
      </c>
      <c r="J416">
        <v>2</v>
      </c>
      <c r="K416">
        <v>7255</v>
      </c>
      <c r="L416" t="s">
        <v>28</v>
      </c>
    </row>
    <row r="417" spans="1:12" x14ac:dyDescent="0.2">
      <c r="A417" t="s">
        <v>451</v>
      </c>
      <c r="B417" s="2">
        <v>45949</v>
      </c>
      <c r="C417" t="s">
        <v>32</v>
      </c>
      <c r="D417" t="s">
        <v>33</v>
      </c>
      <c r="E417" t="s">
        <v>23</v>
      </c>
      <c r="F417" t="s">
        <v>16</v>
      </c>
      <c r="G417" t="s">
        <v>30</v>
      </c>
      <c r="H417">
        <v>124</v>
      </c>
      <c r="I417">
        <v>9</v>
      </c>
      <c r="J417">
        <v>5</v>
      </c>
      <c r="K417">
        <v>8456</v>
      </c>
      <c r="L417" t="s">
        <v>28</v>
      </c>
    </row>
    <row r="418" spans="1:12" x14ac:dyDescent="0.2">
      <c r="A418" t="s">
        <v>452</v>
      </c>
      <c r="B418" s="2">
        <v>45986</v>
      </c>
      <c r="C418" t="s">
        <v>20</v>
      </c>
      <c r="D418" t="s">
        <v>21</v>
      </c>
      <c r="E418" t="s">
        <v>34</v>
      </c>
      <c r="F418" t="s">
        <v>16</v>
      </c>
      <c r="G418" t="s">
        <v>40</v>
      </c>
      <c r="H418">
        <v>84</v>
      </c>
      <c r="I418">
        <v>4</v>
      </c>
      <c r="J418">
        <v>4</v>
      </c>
      <c r="K418">
        <v>6536</v>
      </c>
      <c r="L418" t="s">
        <v>28</v>
      </c>
    </row>
    <row r="419" spans="1:12" x14ac:dyDescent="0.2">
      <c r="A419" t="s">
        <v>453</v>
      </c>
      <c r="B419" s="2">
        <v>45785</v>
      </c>
      <c r="C419" t="s">
        <v>13</v>
      </c>
      <c r="D419" t="s">
        <v>14</v>
      </c>
      <c r="E419" t="s">
        <v>23</v>
      </c>
      <c r="F419" t="s">
        <v>35</v>
      </c>
      <c r="G419" t="s">
        <v>30</v>
      </c>
      <c r="H419">
        <v>77</v>
      </c>
      <c r="I419">
        <v>9</v>
      </c>
      <c r="J419">
        <v>3</v>
      </c>
      <c r="K419">
        <v>15099</v>
      </c>
      <c r="L419" t="s">
        <v>28</v>
      </c>
    </row>
    <row r="420" spans="1:12" x14ac:dyDescent="0.2">
      <c r="A420" t="s">
        <v>454</v>
      </c>
      <c r="B420" s="2">
        <v>45754</v>
      </c>
      <c r="C420" t="s">
        <v>44</v>
      </c>
      <c r="D420" t="s">
        <v>45</v>
      </c>
      <c r="E420" t="s">
        <v>15</v>
      </c>
      <c r="F420" t="s">
        <v>35</v>
      </c>
      <c r="G420" t="s">
        <v>24</v>
      </c>
      <c r="H420">
        <v>79</v>
      </c>
      <c r="I420">
        <v>0</v>
      </c>
      <c r="J420">
        <v>1</v>
      </c>
      <c r="K420">
        <v>3931</v>
      </c>
      <c r="L420" t="s">
        <v>28</v>
      </c>
    </row>
    <row r="421" spans="1:12" x14ac:dyDescent="0.2">
      <c r="A421" t="s">
        <v>455</v>
      </c>
      <c r="B421" s="2">
        <v>45925</v>
      </c>
      <c r="C421" t="s">
        <v>44</v>
      </c>
      <c r="D421" t="s">
        <v>45</v>
      </c>
      <c r="E421" t="s">
        <v>23</v>
      </c>
      <c r="F421" t="s">
        <v>23</v>
      </c>
      <c r="G421" t="s">
        <v>36</v>
      </c>
      <c r="H421">
        <v>102</v>
      </c>
      <c r="I421">
        <v>5</v>
      </c>
      <c r="J421">
        <v>2</v>
      </c>
      <c r="K421">
        <v>13699</v>
      </c>
      <c r="L421" t="s">
        <v>28</v>
      </c>
    </row>
    <row r="422" spans="1:12" x14ac:dyDescent="0.2">
      <c r="A422" t="s">
        <v>456</v>
      </c>
      <c r="B422" s="2">
        <v>45718</v>
      </c>
      <c r="C422" t="s">
        <v>20</v>
      </c>
      <c r="D422" t="s">
        <v>21</v>
      </c>
      <c r="E422" t="s">
        <v>22</v>
      </c>
      <c r="F422" t="s">
        <v>35</v>
      </c>
      <c r="G422" t="s">
        <v>17</v>
      </c>
      <c r="H422">
        <v>58</v>
      </c>
      <c r="I422">
        <v>5</v>
      </c>
      <c r="J422">
        <v>4</v>
      </c>
      <c r="K422">
        <v>4678</v>
      </c>
      <c r="L422" t="s">
        <v>28</v>
      </c>
    </row>
    <row r="423" spans="1:12" x14ac:dyDescent="0.2">
      <c r="A423" t="s">
        <v>457</v>
      </c>
      <c r="B423" s="2">
        <v>45790</v>
      </c>
      <c r="C423" t="s">
        <v>13</v>
      </c>
      <c r="D423" t="s">
        <v>14</v>
      </c>
      <c r="E423" t="s">
        <v>34</v>
      </c>
      <c r="F423" t="s">
        <v>35</v>
      </c>
      <c r="G423" t="s">
        <v>30</v>
      </c>
      <c r="H423">
        <v>6</v>
      </c>
      <c r="I423">
        <v>12</v>
      </c>
      <c r="J423">
        <v>1</v>
      </c>
      <c r="K423">
        <v>9267</v>
      </c>
      <c r="L423" t="s">
        <v>28</v>
      </c>
    </row>
    <row r="424" spans="1:12" x14ac:dyDescent="0.2">
      <c r="A424" t="s">
        <v>458</v>
      </c>
      <c r="B424" s="2">
        <v>45935</v>
      </c>
      <c r="C424" t="s">
        <v>32</v>
      </c>
      <c r="D424" t="s">
        <v>33</v>
      </c>
      <c r="E424" t="s">
        <v>22</v>
      </c>
      <c r="F424" t="s">
        <v>35</v>
      </c>
      <c r="G424" t="s">
        <v>30</v>
      </c>
      <c r="H424">
        <v>140</v>
      </c>
      <c r="I424">
        <v>10</v>
      </c>
      <c r="J424">
        <v>5</v>
      </c>
      <c r="K424">
        <v>13567</v>
      </c>
      <c r="L424" t="s">
        <v>28</v>
      </c>
    </row>
    <row r="425" spans="1:12" x14ac:dyDescent="0.2">
      <c r="A425" t="s">
        <v>459</v>
      </c>
      <c r="B425" s="2">
        <v>45730</v>
      </c>
      <c r="C425" t="s">
        <v>26</v>
      </c>
      <c r="D425" t="s">
        <v>27</v>
      </c>
      <c r="E425" t="s">
        <v>51</v>
      </c>
      <c r="F425" t="s">
        <v>16</v>
      </c>
      <c r="G425" t="s">
        <v>36</v>
      </c>
      <c r="H425">
        <v>29</v>
      </c>
      <c r="I425">
        <v>9</v>
      </c>
      <c r="J425">
        <v>1</v>
      </c>
      <c r="K425">
        <v>5787</v>
      </c>
      <c r="L425" t="s">
        <v>18</v>
      </c>
    </row>
    <row r="426" spans="1:12" x14ac:dyDescent="0.2">
      <c r="A426" t="s">
        <v>460</v>
      </c>
      <c r="B426" s="2">
        <v>45684</v>
      </c>
      <c r="C426" t="s">
        <v>26</v>
      </c>
      <c r="D426" t="s">
        <v>27</v>
      </c>
      <c r="E426" t="s">
        <v>22</v>
      </c>
      <c r="F426" t="s">
        <v>16</v>
      </c>
      <c r="G426" t="s">
        <v>17</v>
      </c>
      <c r="H426">
        <v>129</v>
      </c>
      <c r="I426">
        <v>1</v>
      </c>
      <c r="J426">
        <v>3</v>
      </c>
      <c r="K426">
        <v>15533</v>
      </c>
      <c r="L426" t="s">
        <v>28</v>
      </c>
    </row>
    <row r="427" spans="1:12" x14ac:dyDescent="0.2">
      <c r="A427" t="s">
        <v>461</v>
      </c>
      <c r="B427" s="2">
        <v>45815</v>
      </c>
      <c r="C427" t="s">
        <v>13</v>
      </c>
      <c r="D427" t="s">
        <v>14</v>
      </c>
      <c r="E427" t="s">
        <v>34</v>
      </c>
      <c r="F427" t="s">
        <v>35</v>
      </c>
      <c r="G427" t="s">
        <v>17</v>
      </c>
      <c r="H427">
        <v>91</v>
      </c>
      <c r="I427">
        <v>1</v>
      </c>
      <c r="J427">
        <v>2</v>
      </c>
      <c r="K427">
        <v>11496</v>
      </c>
      <c r="L427" t="s">
        <v>18</v>
      </c>
    </row>
    <row r="428" spans="1:12" x14ac:dyDescent="0.2">
      <c r="A428" t="s">
        <v>462</v>
      </c>
      <c r="B428" s="2">
        <v>45703</v>
      </c>
      <c r="C428" t="s">
        <v>26</v>
      </c>
      <c r="D428" t="s">
        <v>27</v>
      </c>
      <c r="E428" t="s">
        <v>15</v>
      </c>
      <c r="F428" t="s">
        <v>35</v>
      </c>
      <c r="G428" t="s">
        <v>17</v>
      </c>
      <c r="H428">
        <v>126</v>
      </c>
      <c r="I428">
        <v>12</v>
      </c>
      <c r="J428">
        <v>5</v>
      </c>
      <c r="K428">
        <v>9446</v>
      </c>
      <c r="L428" t="s">
        <v>28</v>
      </c>
    </row>
    <row r="429" spans="1:12" x14ac:dyDescent="0.2">
      <c r="A429" t="s">
        <v>463</v>
      </c>
      <c r="B429" s="2">
        <v>45827</v>
      </c>
      <c r="C429" t="s">
        <v>26</v>
      </c>
      <c r="D429" t="s">
        <v>27</v>
      </c>
      <c r="E429" t="s">
        <v>23</v>
      </c>
      <c r="F429" t="s">
        <v>35</v>
      </c>
      <c r="G429" t="s">
        <v>36</v>
      </c>
      <c r="H429">
        <v>113</v>
      </c>
      <c r="I429">
        <v>4</v>
      </c>
      <c r="J429">
        <v>2</v>
      </c>
      <c r="K429">
        <v>16883</v>
      </c>
      <c r="L429" t="s">
        <v>28</v>
      </c>
    </row>
    <row r="430" spans="1:12" x14ac:dyDescent="0.2">
      <c r="A430" t="s">
        <v>464</v>
      </c>
      <c r="B430" s="2">
        <v>45995</v>
      </c>
      <c r="C430" t="s">
        <v>20</v>
      </c>
      <c r="D430" t="s">
        <v>21</v>
      </c>
      <c r="E430" t="s">
        <v>34</v>
      </c>
      <c r="F430" t="s">
        <v>35</v>
      </c>
      <c r="G430" t="s">
        <v>24</v>
      </c>
      <c r="H430">
        <v>46</v>
      </c>
      <c r="I430">
        <v>6</v>
      </c>
      <c r="J430">
        <v>3</v>
      </c>
      <c r="K430">
        <v>11521</v>
      </c>
      <c r="L430" t="s">
        <v>18</v>
      </c>
    </row>
    <row r="431" spans="1:12" x14ac:dyDescent="0.2">
      <c r="A431" t="s">
        <v>465</v>
      </c>
      <c r="B431" s="2">
        <v>45925</v>
      </c>
      <c r="C431" t="s">
        <v>44</v>
      </c>
      <c r="D431" t="s">
        <v>45</v>
      </c>
      <c r="E431" t="s">
        <v>22</v>
      </c>
      <c r="F431" t="s">
        <v>23</v>
      </c>
      <c r="G431" t="s">
        <v>40</v>
      </c>
      <c r="H431">
        <v>132</v>
      </c>
      <c r="I431">
        <v>5</v>
      </c>
      <c r="J431">
        <v>5</v>
      </c>
      <c r="K431">
        <v>5903</v>
      </c>
      <c r="L431" t="s">
        <v>28</v>
      </c>
    </row>
    <row r="432" spans="1:12" x14ac:dyDescent="0.2">
      <c r="A432" t="s">
        <v>466</v>
      </c>
      <c r="B432" s="2">
        <v>45954</v>
      </c>
      <c r="C432" t="s">
        <v>20</v>
      </c>
      <c r="D432" t="s">
        <v>21</v>
      </c>
      <c r="E432" t="s">
        <v>23</v>
      </c>
      <c r="F432" t="s">
        <v>23</v>
      </c>
      <c r="G432" t="s">
        <v>17</v>
      </c>
      <c r="H432">
        <v>61</v>
      </c>
      <c r="I432">
        <v>7</v>
      </c>
      <c r="J432">
        <v>2</v>
      </c>
      <c r="K432">
        <v>15857</v>
      </c>
      <c r="L432" t="s">
        <v>28</v>
      </c>
    </row>
    <row r="433" spans="1:12" x14ac:dyDescent="0.2">
      <c r="A433" t="s">
        <v>467</v>
      </c>
      <c r="B433" s="2">
        <v>45820</v>
      </c>
      <c r="C433" t="s">
        <v>26</v>
      </c>
      <c r="D433" t="s">
        <v>27</v>
      </c>
      <c r="E433" t="s">
        <v>22</v>
      </c>
      <c r="F433" t="s">
        <v>35</v>
      </c>
      <c r="G433" t="s">
        <v>30</v>
      </c>
      <c r="H433">
        <v>18</v>
      </c>
      <c r="I433">
        <v>7</v>
      </c>
      <c r="J433">
        <v>5</v>
      </c>
      <c r="K433">
        <v>1760</v>
      </c>
      <c r="L433" t="s">
        <v>28</v>
      </c>
    </row>
    <row r="434" spans="1:12" x14ac:dyDescent="0.2">
      <c r="A434" t="s">
        <v>468</v>
      </c>
      <c r="B434" s="2">
        <v>45820</v>
      </c>
      <c r="C434" t="s">
        <v>44</v>
      </c>
      <c r="D434" t="s">
        <v>45</v>
      </c>
      <c r="E434" t="s">
        <v>51</v>
      </c>
      <c r="F434" t="s">
        <v>16</v>
      </c>
      <c r="G434" t="s">
        <v>30</v>
      </c>
      <c r="H434">
        <v>43</v>
      </c>
      <c r="I434">
        <v>12</v>
      </c>
      <c r="J434">
        <v>3</v>
      </c>
      <c r="K434">
        <v>12329</v>
      </c>
      <c r="L434" t="s">
        <v>28</v>
      </c>
    </row>
    <row r="435" spans="1:12" x14ac:dyDescent="0.2">
      <c r="A435" t="s">
        <v>469</v>
      </c>
      <c r="B435" s="2">
        <v>45986</v>
      </c>
      <c r="C435" t="s">
        <v>13</v>
      </c>
      <c r="D435" t="s">
        <v>14</v>
      </c>
      <c r="E435" t="s">
        <v>23</v>
      </c>
      <c r="F435" t="s">
        <v>35</v>
      </c>
      <c r="G435" t="s">
        <v>40</v>
      </c>
      <c r="H435">
        <v>57</v>
      </c>
      <c r="I435">
        <v>12</v>
      </c>
      <c r="J435">
        <v>1</v>
      </c>
      <c r="K435">
        <v>14714</v>
      </c>
      <c r="L435" t="s">
        <v>28</v>
      </c>
    </row>
    <row r="436" spans="1:12" x14ac:dyDescent="0.2">
      <c r="A436" t="s">
        <v>470</v>
      </c>
      <c r="B436" s="2">
        <v>45831</v>
      </c>
      <c r="C436" t="s">
        <v>13</v>
      </c>
      <c r="D436" t="s">
        <v>14</v>
      </c>
      <c r="E436" t="s">
        <v>51</v>
      </c>
      <c r="F436" t="s">
        <v>16</v>
      </c>
      <c r="G436" t="s">
        <v>24</v>
      </c>
      <c r="H436">
        <v>102</v>
      </c>
      <c r="I436">
        <v>5</v>
      </c>
      <c r="J436">
        <v>4</v>
      </c>
      <c r="K436">
        <v>1227</v>
      </c>
      <c r="L436" t="s">
        <v>28</v>
      </c>
    </row>
    <row r="437" spans="1:12" x14ac:dyDescent="0.2">
      <c r="A437" t="s">
        <v>471</v>
      </c>
      <c r="B437" s="2">
        <v>45855</v>
      </c>
      <c r="C437" t="s">
        <v>20</v>
      </c>
      <c r="D437" t="s">
        <v>21</v>
      </c>
      <c r="E437" t="s">
        <v>22</v>
      </c>
      <c r="F437" t="s">
        <v>35</v>
      </c>
      <c r="G437" t="s">
        <v>17</v>
      </c>
      <c r="H437">
        <v>36</v>
      </c>
      <c r="I437">
        <v>12</v>
      </c>
      <c r="J437">
        <v>1</v>
      </c>
      <c r="K437">
        <v>6187</v>
      </c>
      <c r="L437" t="s">
        <v>28</v>
      </c>
    </row>
    <row r="438" spans="1:12" x14ac:dyDescent="0.2">
      <c r="A438" t="s">
        <v>472</v>
      </c>
      <c r="B438" s="2">
        <v>45765</v>
      </c>
      <c r="C438" t="s">
        <v>32</v>
      </c>
      <c r="D438" t="s">
        <v>33</v>
      </c>
      <c r="E438" t="s">
        <v>51</v>
      </c>
      <c r="F438" t="s">
        <v>16</v>
      </c>
      <c r="G438" t="s">
        <v>30</v>
      </c>
      <c r="H438">
        <v>151</v>
      </c>
      <c r="I438">
        <v>2</v>
      </c>
      <c r="J438">
        <v>1</v>
      </c>
      <c r="K438">
        <v>5193</v>
      </c>
      <c r="L438" t="s">
        <v>28</v>
      </c>
    </row>
    <row r="439" spans="1:12" x14ac:dyDescent="0.2">
      <c r="A439" t="s">
        <v>473</v>
      </c>
      <c r="B439" s="2">
        <v>45714</v>
      </c>
      <c r="C439" t="s">
        <v>20</v>
      </c>
      <c r="D439" t="s">
        <v>21</v>
      </c>
      <c r="E439" t="s">
        <v>15</v>
      </c>
      <c r="F439" t="s">
        <v>16</v>
      </c>
      <c r="G439" t="s">
        <v>40</v>
      </c>
      <c r="H439">
        <v>151</v>
      </c>
      <c r="I439">
        <v>10</v>
      </c>
      <c r="J439">
        <v>3</v>
      </c>
      <c r="K439">
        <v>6345</v>
      </c>
      <c r="L439" t="s">
        <v>28</v>
      </c>
    </row>
    <row r="440" spans="1:12" x14ac:dyDescent="0.2">
      <c r="A440" t="s">
        <v>474</v>
      </c>
      <c r="B440" s="2">
        <v>45836</v>
      </c>
      <c r="C440" t="s">
        <v>20</v>
      </c>
      <c r="D440" t="s">
        <v>21</v>
      </c>
      <c r="E440" t="s">
        <v>34</v>
      </c>
      <c r="F440" t="s">
        <v>35</v>
      </c>
      <c r="G440" t="s">
        <v>30</v>
      </c>
      <c r="H440">
        <v>11</v>
      </c>
      <c r="I440">
        <v>2</v>
      </c>
      <c r="J440">
        <v>3</v>
      </c>
      <c r="K440">
        <v>11494</v>
      </c>
      <c r="L440" t="s">
        <v>28</v>
      </c>
    </row>
    <row r="441" spans="1:12" x14ac:dyDescent="0.2">
      <c r="A441" t="s">
        <v>475</v>
      </c>
      <c r="B441" s="2">
        <v>45709</v>
      </c>
      <c r="C441" t="s">
        <v>13</v>
      </c>
      <c r="D441" t="s">
        <v>14</v>
      </c>
      <c r="E441" t="s">
        <v>23</v>
      </c>
      <c r="F441" t="s">
        <v>35</v>
      </c>
      <c r="G441" t="s">
        <v>17</v>
      </c>
      <c r="H441">
        <v>92</v>
      </c>
      <c r="I441">
        <v>11</v>
      </c>
      <c r="J441">
        <v>4</v>
      </c>
      <c r="K441">
        <v>10381</v>
      </c>
      <c r="L441" t="s">
        <v>28</v>
      </c>
    </row>
    <row r="442" spans="1:12" x14ac:dyDescent="0.2">
      <c r="A442" t="s">
        <v>476</v>
      </c>
      <c r="B442" s="2">
        <v>45704</v>
      </c>
      <c r="C442" t="s">
        <v>20</v>
      </c>
      <c r="D442" t="s">
        <v>21</v>
      </c>
      <c r="E442" t="s">
        <v>22</v>
      </c>
      <c r="F442" t="s">
        <v>35</v>
      </c>
      <c r="G442" t="s">
        <v>24</v>
      </c>
      <c r="H442">
        <v>43</v>
      </c>
      <c r="I442">
        <v>1</v>
      </c>
      <c r="J442">
        <v>1</v>
      </c>
      <c r="K442">
        <v>5605</v>
      </c>
      <c r="L442" t="s">
        <v>28</v>
      </c>
    </row>
    <row r="443" spans="1:12" x14ac:dyDescent="0.2">
      <c r="A443" t="s">
        <v>477</v>
      </c>
      <c r="B443" s="2">
        <v>45988</v>
      </c>
      <c r="C443" t="s">
        <v>26</v>
      </c>
      <c r="D443" t="s">
        <v>27</v>
      </c>
      <c r="E443" t="s">
        <v>34</v>
      </c>
      <c r="F443" t="s">
        <v>35</v>
      </c>
      <c r="G443" t="s">
        <v>24</v>
      </c>
      <c r="H443">
        <v>132</v>
      </c>
      <c r="I443">
        <v>8</v>
      </c>
      <c r="J443">
        <v>1</v>
      </c>
      <c r="K443">
        <v>15258</v>
      </c>
      <c r="L443" t="s">
        <v>28</v>
      </c>
    </row>
    <row r="444" spans="1:12" x14ac:dyDescent="0.2">
      <c r="A444" t="s">
        <v>478</v>
      </c>
      <c r="B444" s="2">
        <v>45874</v>
      </c>
      <c r="C444" t="s">
        <v>44</v>
      </c>
      <c r="D444" t="s">
        <v>45</v>
      </c>
      <c r="E444" t="s">
        <v>15</v>
      </c>
      <c r="F444" t="s">
        <v>16</v>
      </c>
      <c r="G444" t="s">
        <v>30</v>
      </c>
      <c r="H444">
        <v>139</v>
      </c>
      <c r="I444">
        <v>12</v>
      </c>
      <c r="J444">
        <v>3</v>
      </c>
      <c r="K444">
        <v>2149</v>
      </c>
      <c r="L444" t="s">
        <v>18</v>
      </c>
    </row>
    <row r="445" spans="1:12" x14ac:dyDescent="0.2">
      <c r="A445" t="s">
        <v>479</v>
      </c>
      <c r="B445" s="2">
        <v>45805</v>
      </c>
      <c r="C445" t="s">
        <v>26</v>
      </c>
      <c r="D445" t="s">
        <v>27</v>
      </c>
      <c r="E445" t="s">
        <v>23</v>
      </c>
      <c r="F445" t="s">
        <v>35</v>
      </c>
      <c r="G445" t="s">
        <v>17</v>
      </c>
      <c r="H445">
        <v>74</v>
      </c>
      <c r="I445">
        <v>12</v>
      </c>
      <c r="J445">
        <v>5</v>
      </c>
      <c r="K445">
        <v>5266</v>
      </c>
      <c r="L445" t="s">
        <v>28</v>
      </c>
    </row>
    <row r="446" spans="1:12" x14ac:dyDescent="0.2">
      <c r="A446" t="s">
        <v>480</v>
      </c>
      <c r="B446" s="2">
        <v>45793</v>
      </c>
      <c r="C446" t="s">
        <v>44</v>
      </c>
      <c r="D446" t="s">
        <v>45</v>
      </c>
      <c r="E446" t="s">
        <v>15</v>
      </c>
      <c r="F446" t="s">
        <v>35</v>
      </c>
      <c r="G446" t="s">
        <v>17</v>
      </c>
      <c r="H446">
        <v>71</v>
      </c>
      <c r="I446">
        <v>4</v>
      </c>
      <c r="J446">
        <v>2</v>
      </c>
      <c r="K446">
        <v>4227</v>
      </c>
      <c r="L446" t="s">
        <v>28</v>
      </c>
    </row>
    <row r="447" spans="1:12" x14ac:dyDescent="0.2">
      <c r="A447" t="s">
        <v>481</v>
      </c>
      <c r="B447" s="2">
        <v>45685</v>
      </c>
      <c r="C447" t="s">
        <v>32</v>
      </c>
      <c r="D447" t="s">
        <v>33</v>
      </c>
      <c r="E447" t="s">
        <v>23</v>
      </c>
      <c r="F447" t="s">
        <v>23</v>
      </c>
      <c r="G447" t="s">
        <v>30</v>
      </c>
      <c r="H447">
        <v>94</v>
      </c>
      <c r="I447">
        <v>1</v>
      </c>
      <c r="J447">
        <v>5</v>
      </c>
      <c r="K447">
        <v>8865</v>
      </c>
      <c r="L447" t="s">
        <v>28</v>
      </c>
    </row>
    <row r="448" spans="1:12" x14ac:dyDescent="0.2">
      <c r="A448" t="s">
        <v>482</v>
      </c>
      <c r="B448" s="2">
        <v>45818</v>
      </c>
      <c r="C448" t="s">
        <v>26</v>
      </c>
      <c r="D448" t="s">
        <v>27</v>
      </c>
      <c r="E448" t="s">
        <v>15</v>
      </c>
      <c r="F448" t="s">
        <v>16</v>
      </c>
      <c r="G448" t="s">
        <v>30</v>
      </c>
      <c r="H448">
        <v>20</v>
      </c>
      <c r="I448">
        <v>12</v>
      </c>
      <c r="J448">
        <v>1</v>
      </c>
      <c r="K448">
        <v>7985</v>
      </c>
      <c r="L448" t="s">
        <v>28</v>
      </c>
    </row>
    <row r="449" spans="1:12" x14ac:dyDescent="0.2">
      <c r="A449" t="s">
        <v>483</v>
      </c>
      <c r="B449" s="2">
        <v>45719</v>
      </c>
      <c r="C449" t="s">
        <v>32</v>
      </c>
      <c r="D449" t="s">
        <v>33</v>
      </c>
      <c r="E449" t="s">
        <v>51</v>
      </c>
      <c r="F449" t="s">
        <v>35</v>
      </c>
      <c r="G449" t="s">
        <v>24</v>
      </c>
      <c r="H449">
        <v>49</v>
      </c>
      <c r="I449">
        <v>12</v>
      </c>
      <c r="J449">
        <v>5</v>
      </c>
      <c r="K449">
        <v>8317</v>
      </c>
      <c r="L449" t="s">
        <v>18</v>
      </c>
    </row>
    <row r="450" spans="1:12" x14ac:dyDescent="0.2">
      <c r="A450" t="s">
        <v>484</v>
      </c>
      <c r="B450" s="2">
        <v>45834</v>
      </c>
      <c r="C450" t="s">
        <v>13</v>
      </c>
      <c r="D450" t="s">
        <v>14</v>
      </c>
      <c r="E450" t="s">
        <v>22</v>
      </c>
      <c r="F450" t="s">
        <v>23</v>
      </c>
      <c r="G450" t="s">
        <v>17</v>
      </c>
      <c r="H450">
        <v>157</v>
      </c>
      <c r="I450">
        <v>6</v>
      </c>
      <c r="J450">
        <v>2</v>
      </c>
      <c r="K450">
        <v>13572</v>
      </c>
      <c r="L450" t="s">
        <v>28</v>
      </c>
    </row>
    <row r="451" spans="1:12" x14ac:dyDescent="0.2">
      <c r="A451" t="s">
        <v>485</v>
      </c>
      <c r="B451" s="2">
        <v>45764</v>
      </c>
      <c r="C451" t="s">
        <v>44</v>
      </c>
      <c r="D451" t="s">
        <v>45</v>
      </c>
      <c r="E451" t="s">
        <v>22</v>
      </c>
      <c r="F451" t="s">
        <v>23</v>
      </c>
      <c r="G451" t="s">
        <v>30</v>
      </c>
      <c r="H451">
        <v>84</v>
      </c>
      <c r="I451">
        <v>4</v>
      </c>
      <c r="J451">
        <v>1</v>
      </c>
      <c r="K451">
        <v>3527</v>
      </c>
      <c r="L451" t="s">
        <v>28</v>
      </c>
    </row>
    <row r="452" spans="1:12" x14ac:dyDescent="0.2">
      <c r="A452" t="s">
        <v>486</v>
      </c>
      <c r="B452" s="2">
        <v>45844</v>
      </c>
      <c r="C452" t="s">
        <v>13</v>
      </c>
      <c r="D452" t="s">
        <v>14</v>
      </c>
      <c r="E452" t="s">
        <v>34</v>
      </c>
      <c r="F452" t="s">
        <v>35</v>
      </c>
      <c r="G452" t="s">
        <v>17</v>
      </c>
      <c r="H452">
        <v>169</v>
      </c>
      <c r="I452">
        <v>2</v>
      </c>
      <c r="J452">
        <v>4</v>
      </c>
      <c r="K452">
        <v>10954</v>
      </c>
      <c r="L452" t="s">
        <v>18</v>
      </c>
    </row>
    <row r="453" spans="1:12" x14ac:dyDescent="0.2">
      <c r="A453" t="s">
        <v>487</v>
      </c>
      <c r="B453" s="2">
        <v>45774</v>
      </c>
      <c r="C453" t="s">
        <v>32</v>
      </c>
      <c r="D453" t="s">
        <v>33</v>
      </c>
      <c r="E453" t="s">
        <v>22</v>
      </c>
      <c r="F453" t="s">
        <v>16</v>
      </c>
      <c r="G453" t="s">
        <v>17</v>
      </c>
      <c r="H453">
        <v>152</v>
      </c>
      <c r="I453">
        <v>8</v>
      </c>
      <c r="J453">
        <v>2</v>
      </c>
      <c r="K453">
        <v>15388</v>
      </c>
      <c r="L453" t="s">
        <v>28</v>
      </c>
    </row>
    <row r="454" spans="1:12" x14ac:dyDescent="0.2">
      <c r="A454" t="s">
        <v>488</v>
      </c>
      <c r="B454" s="2">
        <v>45992</v>
      </c>
      <c r="C454" t="s">
        <v>32</v>
      </c>
      <c r="D454" t="s">
        <v>33</v>
      </c>
      <c r="E454" t="s">
        <v>15</v>
      </c>
      <c r="F454" t="s">
        <v>35</v>
      </c>
      <c r="G454" t="s">
        <v>30</v>
      </c>
      <c r="H454">
        <v>93</v>
      </c>
      <c r="I454">
        <v>5</v>
      </c>
      <c r="J454">
        <v>3</v>
      </c>
      <c r="K454">
        <v>4789</v>
      </c>
      <c r="L454" t="s">
        <v>28</v>
      </c>
    </row>
    <row r="455" spans="1:12" x14ac:dyDescent="0.2">
      <c r="A455" t="s">
        <v>489</v>
      </c>
      <c r="B455" s="2">
        <v>45933</v>
      </c>
      <c r="C455" t="s">
        <v>13</v>
      </c>
      <c r="D455" t="s">
        <v>14</v>
      </c>
      <c r="E455" t="s">
        <v>23</v>
      </c>
      <c r="F455" t="s">
        <v>35</v>
      </c>
      <c r="G455" t="s">
        <v>40</v>
      </c>
      <c r="H455">
        <v>89</v>
      </c>
      <c r="I455">
        <v>13</v>
      </c>
      <c r="J455">
        <v>2</v>
      </c>
      <c r="K455">
        <v>9454</v>
      </c>
      <c r="L455" t="s">
        <v>28</v>
      </c>
    </row>
    <row r="456" spans="1:12" x14ac:dyDescent="0.2">
      <c r="A456" t="s">
        <v>490</v>
      </c>
      <c r="B456" s="2">
        <v>45673</v>
      </c>
      <c r="C456" t="s">
        <v>13</v>
      </c>
      <c r="D456" t="s">
        <v>14</v>
      </c>
      <c r="E456" t="s">
        <v>34</v>
      </c>
      <c r="F456" t="s">
        <v>35</v>
      </c>
      <c r="G456" t="s">
        <v>17</v>
      </c>
      <c r="H456">
        <v>79</v>
      </c>
      <c r="I456">
        <v>2</v>
      </c>
      <c r="J456">
        <v>1</v>
      </c>
      <c r="K456">
        <v>11518</v>
      </c>
      <c r="L456" t="s">
        <v>28</v>
      </c>
    </row>
    <row r="457" spans="1:12" x14ac:dyDescent="0.2">
      <c r="A457" t="s">
        <v>491</v>
      </c>
      <c r="B457" s="2">
        <v>45998</v>
      </c>
      <c r="C457" t="s">
        <v>13</v>
      </c>
      <c r="D457" t="s">
        <v>14</v>
      </c>
      <c r="E457" t="s">
        <v>23</v>
      </c>
      <c r="F457" t="s">
        <v>35</v>
      </c>
      <c r="G457" t="s">
        <v>40</v>
      </c>
      <c r="H457">
        <v>108</v>
      </c>
      <c r="I457">
        <v>8</v>
      </c>
      <c r="J457">
        <v>3</v>
      </c>
      <c r="K457">
        <v>14083</v>
      </c>
      <c r="L457" t="s">
        <v>28</v>
      </c>
    </row>
    <row r="458" spans="1:12" x14ac:dyDescent="0.2">
      <c r="A458" t="s">
        <v>492</v>
      </c>
      <c r="B458" s="2">
        <v>45836</v>
      </c>
      <c r="C458" t="s">
        <v>26</v>
      </c>
      <c r="D458" t="s">
        <v>27</v>
      </c>
      <c r="E458" t="s">
        <v>51</v>
      </c>
      <c r="F458" t="s">
        <v>16</v>
      </c>
      <c r="G458" t="s">
        <v>17</v>
      </c>
      <c r="H458">
        <v>163</v>
      </c>
      <c r="I458">
        <v>8</v>
      </c>
      <c r="J458">
        <v>3</v>
      </c>
      <c r="K458">
        <v>10482</v>
      </c>
      <c r="L458" t="s">
        <v>28</v>
      </c>
    </row>
    <row r="459" spans="1:12" x14ac:dyDescent="0.2">
      <c r="A459" t="s">
        <v>493</v>
      </c>
      <c r="B459" s="2">
        <v>45721</v>
      </c>
      <c r="C459" t="s">
        <v>32</v>
      </c>
      <c r="D459" t="s">
        <v>33</v>
      </c>
      <c r="E459" t="s">
        <v>51</v>
      </c>
      <c r="F459" t="s">
        <v>23</v>
      </c>
      <c r="G459" t="s">
        <v>17</v>
      </c>
      <c r="H459">
        <v>110</v>
      </c>
      <c r="I459">
        <v>4</v>
      </c>
      <c r="J459">
        <v>1</v>
      </c>
      <c r="K459">
        <v>12525</v>
      </c>
      <c r="L459" t="s">
        <v>28</v>
      </c>
    </row>
    <row r="460" spans="1:12" x14ac:dyDescent="0.2">
      <c r="A460" t="s">
        <v>494</v>
      </c>
      <c r="B460" s="2">
        <v>45731</v>
      </c>
      <c r="C460" t="s">
        <v>26</v>
      </c>
      <c r="D460" t="s">
        <v>27</v>
      </c>
      <c r="E460" t="s">
        <v>15</v>
      </c>
      <c r="F460" t="s">
        <v>35</v>
      </c>
      <c r="G460" t="s">
        <v>40</v>
      </c>
      <c r="H460">
        <v>108</v>
      </c>
      <c r="I460">
        <v>0</v>
      </c>
      <c r="J460">
        <v>3</v>
      </c>
      <c r="K460">
        <v>11404</v>
      </c>
      <c r="L460" t="s">
        <v>18</v>
      </c>
    </row>
    <row r="461" spans="1:12" x14ac:dyDescent="0.2">
      <c r="A461" t="s">
        <v>495</v>
      </c>
      <c r="B461" s="2">
        <v>45815</v>
      </c>
      <c r="C461" t="s">
        <v>13</v>
      </c>
      <c r="D461" t="s">
        <v>14</v>
      </c>
      <c r="E461" t="s">
        <v>22</v>
      </c>
      <c r="F461" t="s">
        <v>23</v>
      </c>
      <c r="G461" t="s">
        <v>17</v>
      </c>
      <c r="H461">
        <v>72</v>
      </c>
      <c r="I461">
        <v>4</v>
      </c>
      <c r="J461">
        <v>1</v>
      </c>
      <c r="K461">
        <v>10524</v>
      </c>
      <c r="L461" t="s">
        <v>28</v>
      </c>
    </row>
    <row r="462" spans="1:12" x14ac:dyDescent="0.2">
      <c r="A462" t="s">
        <v>496</v>
      </c>
      <c r="B462" s="2">
        <v>45770</v>
      </c>
      <c r="C462" t="s">
        <v>13</v>
      </c>
      <c r="D462" t="s">
        <v>14</v>
      </c>
      <c r="E462" t="s">
        <v>34</v>
      </c>
      <c r="F462" t="s">
        <v>16</v>
      </c>
      <c r="G462" t="s">
        <v>40</v>
      </c>
      <c r="H462">
        <v>79</v>
      </c>
      <c r="I462">
        <v>9</v>
      </c>
      <c r="J462">
        <v>3</v>
      </c>
      <c r="K462">
        <v>14615</v>
      </c>
      <c r="L462" t="s">
        <v>18</v>
      </c>
    </row>
    <row r="463" spans="1:12" x14ac:dyDescent="0.2">
      <c r="A463" t="s">
        <v>497</v>
      </c>
      <c r="B463" s="2">
        <v>45825</v>
      </c>
      <c r="C463" t="s">
        <v>26</v>
      </c>
      <c r="D463" t="s">
        <v>27</v>
      </c>
      <c r="E463" t="s">
        <v>51</v>
      </c>
      <c r="F463" t="s">
        <v>23</v>
      </c>
      <c r="G463" t="s">
        <v>36</v>
      </c>
      <c r="H463">
        <v>5</v>
      </c>
      <c r="I463">
        <v>0</v>
      </c>
      <c r="J463">
        <v>3</v>
      </c>
      <c r="K463">
        <v>9446</v>
      </c>
      <c r="L463" t="s">
        <v>28</v>
      </c>
    </row>
    <row r="464" spans="1:12" x14ac:dyDescent="0.2">
      <c r="A464" t="s">
        <v>498</v>
      </c>
      <c r="B464" s="2">
        <v>46000</v>
      </c>
      <c r="C464" t="s">
        <v>32</v>
      </c>
      <c r="D464" t="s">
        <v>33</v>
      </c>
      <c r="E464" t="s">
        <v>34</v>
      </c>
      <c r="F464" t="s">
        <v>35</v>
      </c>
      <c r="G464" t="s">
        <v>40</v>
      </c>
      <c r="H464">
        <v>163</v>
      </c>
      <c r="I464">
        <v>0</v>
      </c>
      <c r="J464">
        <v>4</v>
      </c>
      <c r="K464">
        <v>12172</v>
      </c>
      <c r="L464" t="s">
        <v>18</v>
      </c>
    </row>
    <row r="465" spans="1:12" x14ac:dyDescent="0.2">
      <c r="A465" t="s">
        <v>499</v>
      </c>
      <c r="B465" s="2">
        <v>45737</v>
      </c>
      <c r="C465" t="s">
        <v>26</v>
      </c>
      <c r="D465" t="s">
        <v>27</v>
      </c>
      <c r="E465" t="s">
        <v>23</v>
      </c>
      <c r="F465" t="s">
        <v>23</v>
      </c>
      <c r="G465" t="s">
        <v>17</v>
      </c>
      <c r="H465">
        <v>23</v>
      </c>
      <c r="I465">
        <v>10</v>
      </c>
      <c r="J465">
        <v>5</v>
      </c>
      <c r="K465">
        <v>7951</v>
      </c>
      <c r="L465" t="s">
        <v>28</v>
      </c>
    </row>
    <row r="466" spans="1:12" x14ac:dyDescent="0.2">
      <c r="A466" t="s">
        <v>500</v>
      </c>
      <c r="B466" s="2">
        <v>45758</v>
      </c>
      <c r="C466" t="s">
        <v>44</v>
      </c>
      <c r="D466" t="s">
        <v>45</v>
      </c>
      <c r="E466" t="s">
        <v>51</v>
      </c>
      <c r="F466" t="s">
        <v>35</v>
      </c>
      <c r="G466" t="s">
        <v>17</v>
      </c>
      <c r="H466">
        <v>34</v>
      </c>
      <c r="I466">
        <v>10</v>
      </c>
      <c r="J466">
        <v>5</v>
      </c>
      <c r="K466">
        <v>3436</v>
      </c>
      <c r="L466" t="s">
        <v>18</v>
      </c>
    </row>
    <row r="467" spans="1:12" x14ac:dyDescent="0.2">
      <c r="A467" t="s">
        <v>501</v>
      </c>
      <c r="B467" s="2">
        <v>45789</v>
      </c>
      <c r="C467" t="s">
        <v>13</v>
      </c>
      <c r="D467" t="s">
        <v>14</v>
      </c>
      <c r="E467" t="s">
        <v>34</v>
      </c>
      <c r="F467" t="s">
        <v>23</v>
      </c>
      <c r="G467" t="s">
        <v>17</v>
      </c>
      <c r="H467">
        <v>49</v>
      </c>
      <c r="I467">
        <v>10</v>
      </c>
      <c r="J467">
        <v>5</v>
      </c>
      <c r="K467">
        <v>10205</v>
      </c>
      <c r="L467" t="s">
        <v>28</v>
      </c>
    </row>
    <row r="468" spans="1:12" x14ac:dyDescent="0.2">
      <c r="A468" t="s">
        <v>502</v>
      </c>
      <c r="B468" s="2">
        <v>45971</v>
      </c>
      <c r="C468" t="s">
        <v>20</v>
      </c>
      <c r="D468" t="s">
        <v>21</v>
      </c>
      <c r="E468" t="s">
        <v>22</v>
      </c>
      <c r="F468" t="s">
        <v>35</v>
      </c>
      <c r="G468" t="s">
        <v>30</v>
      </c>
      <c r="H468">
        <v>127</v>
      </c>
      <c r="I468">
        <v>12</v>
      </c>
      <c r="J468">
        <v>5</v>
      </c>
      <c r="K468">
        <v>13738</v>
      </c>
      <c r="L468" t="s">
        <v>28</v>
      </c>
    </row>
    <row r="469" spans="1:12" x14ac:dyDescent="0.2">
      <c r="A469" t="s">
        <v>503</v>
      </c>
      <c r="B469" s="2">
        <v>45792</v>
      </c>
      <c r="C469" t="s">
        <v>13</v>
      </c>
      <c r="D469" t="s">
        <v>14</v>
      </c>
      <c r="E469" t="s">
        <v>15</v>
      </c>
      <c r="F469" t="s">
        <v>23</v>
      </c>
      <c r="G469" t="s">
        <v>24</v>
      </c>
      <c r="H469">
        <v>139</v>
      </c>
      <c r="I469">
        <v>0</v>
      </c>
      <c r="J469">
        <v>1</v>
      </c>
      <c r="K469">
        <v>4840</v>
      </c>
      <c r="L469" t="s">
        <v>28</v>
      </c>
    </row>
    <row r="470" spans="1:12" x14ac:dyDescent="0.2">
      <c r="A470" t="s">
        <v>504</v>
      </c>
      <c r="B470" s="2">
        <v>45895</v>
      </c>
      <c r="C470" t="s">
        <v>26</v>
      </c>
      <c r="D470" t="s">
        <v>27</v>
      </c>
      <c r="E470" t="s">
        <v>23</v>
      </c>
      <c r="F470" t="s">
        <v>23</v>
      </c>
      <c r="G470" t="s">
        <v>40</v>
      </c>
      <c r="H470">
        <v>130</v>
      </c>
      <c r="I470">
        <v>13</v>
      </c>
      <c r="J470">
        <v>2</v>
      </c>
      <c r="K470">
        <v>3411</v>
      </c>
      <c r="L470" t="s">
        <v>28</v>
      </c>
    </row>
    <row r="471" spans="1:12" x14ac:dyDescent="0.2">
      <c r="A471" t="s">
        <v>505</v>
      </c>
      <c r="B471" s="2">
        <v>45677</v>
      </c>
      <c r="C471" t="s">
        <v>20</v>
      </c>
      <c r="D471" t="s">
        <v>21</v>
      </c>
      <c r="E471" t="s">
        <v>23</v>
      </c>
      <c r="F471" t="s">
        <v>16</v>
      </c>
      <c r="G471" t="s">
        <v>30</v>
      </c>
      <c r="H471">
        <v>136</v>
      </c>
      <c r="I471">
        <v>4</v>
      </c>
      <c r="J471">
        <v>4</v>
      </c>
      <c r="K471">
        <v>15347</v>
      </c>
      <c r="L471" t="s">
        <v>18</v>
      </c>
    </row>
    <row r="472" spans="1:12" x14ac:dyDescent="0.2">
      <c r="A472" t="s">
        <v>506</v>
      </c>
      <c r="B472" s="2">
        <v>45767</v>
      </c>
      <c r="C472" t="s">
        <v>44</v>
      </c>
      <c r="D472" t="s">
        <v>45</v>
      </c>
      <c r="E472" t="s">
        <v>22</v>
      </c>
      <c r="F472" t="s">
        <v>23</v>
      </c>
      <c r="G472" t="s">
        <v>36</v>
      </c>
      <c r="H472">
        <v>10</v>
      </c>
      <c r="I472">
        <v>4</v>
      </c>
      <c r="J472">
        <v>5</v>
      </c>
      <c r="K472">
        <v>1423</v>
      </c>
      <c r="L472" t="s">
        <v>28</v>
      </c>
    </row>
    <row r="473" spans="1:12" x14ac:dyDescent="0.2">
      <c r="A473" t="s">
        <v>507</v>
      </c>
      <c r="B473" s="2">
        <v>45668</v>
      </c>
      <c r="C473" t="s">
        <v>44</v>
      </c>
      <c r="D473" t="s">
        <v>45</v>
      </c>
      <c r="E473" t="s">
        <v>15</v>
      </c>
      <c r="F473" t="s">
        <v>23</v>
      </c>
      <c r="G473" t="s">
        <v>36</v>
      </c>
      <c r="H473">
        <v>139</v>
      </c>
      <c r="I473">
        <v>12</v>
      </c>
      <c r="J473">
        <v>4</v>
      </c>
      <c r="K473">
        <v>13363</v>
      </c>
      <c r="L473" t="s">
        <v>28</v>
      </c>
    </row>
    <row r="474" spans="1:12" x14ac:dyDescent="0.2">
      <c r="A474" t="s">
        <v>508</v>
      </c>
      <c r="B474" s="2">
        <v>45955</v>
      </c>
      <c r="C474" t="s">
        <v>32</v>
      </c>
      <c r="D474" t="s">
        <v>33</v>
      </c>
      <c r="E474" t="s">
        <v>51</v>
      </c>
      <c r="F474" t="s">
        <v>23</v>
      </c>
      <c r="G474" t="s">
        <v>24</v>
      </c>
      <c r="H474">
        <v>67</v>
      </c>
      <c r="I474">
        <v>10</v>
      </c>
      <c r="J474">
        <v>3</v>
      </c>
      <c r="K474">
        <v>7855</v>
      </c>
      <c r="L474" t="s">
        <v>28</v>
      </c>
    </row>
    <row r="475" spans="1:12" x14ac:dyDescent="0.2">
      <c r="A475" t="s">
        <v>509</v>
      </c>
      <c r="B475" s="2">
        <v>45715</v>
      </c>
      <c r="C475" t="s">
        <v>26</v>
      </c>
      <c r="D475" t="s">
        <v>27</v>
      </c>
      <c r="E475" t="s">
        <v>51</v>
      </c>
      <c r="F475" t="s">
        <v>23</v>
      </c>
      <c r="G475" t="s">
        <v>24</v>
      </c>
      <c r="H475">
        <v>138</v>
      </c>
      <c r="I475">
        <v>4</v>
      </c>
      <c r="J475">
        <v>1</v>
      </c>
      <c r="K475">
        <v>15685</v>
      </c>
      <c r="L475" t="s">
        <v>28</v>
      </c>
    </row>
    <row r="476" spans="1:12" x14ac:dyDescent="0.2">
      <c r="A476" t="s">
        <v>510</v>
      </c>
      <c r="B476" s="2">
        <v>45784</v>
      </c>
      <c r="C476" t="s">
        <v>26</v>
      </c>
      <c r="D476" t="s">
        <v>27</v>
      </c>
      <c r="E476" t="s">
        <v>34</v>
      </c>
      <c r="F476" t="s">
        <v>23</v>
      </c>
      <c r="G476" t="s">
        <v>17</v>
      </c>
      <c r="H476">
        <v>24</v>
      </c>
      <c r="I476">
        <v>7</v>
      </c>
      <c r="J476">
        <v>5</v>
      </c>
      <c r="K476">
        <v>3679</v>
      </c>
      <c r="L476" t="s">
        <v>28</v>
      </c>
    </row>
    <row r="477" spans="1:12" x14ac:dyDescent="0.2">
      <c r="A477" t="s">
        <v>511</v>
      </c>
      <c r="B477" s="2">
        <v>45659</v>
      </c>
      <c r="C477" t="s">
        <v>13</v>
      </c>
      <c r="D477" t="s">
        <v>14</v>
      </c>
      <c r="E477" t="s">
        <v>34</v>
      </c>
      <c r="F477" t="s">
        <v>35</v>
      </c>
      <c r="G477" t="s">
        <v>30</v>
      </c>
      <c r="H477">
        <v>93</v>
      </c>
      <c r="I477">
        <v>2</v>
      </c>
      <c r="J477">
        <v>1</v>
      </c>
      <c r="K477">
        <v>14374</v>
      </c>
      <c r="L477" t="s">
        <v>28</v>
      </c>
    </row>
    <row r="478" spans="1:12" x14ac:dyDescent="0.2">
      <c r="A478" t="s">
        <v>512</v>
      </c>
      <c r="B478" s="2">
        <v>45841</v>
      </c>
      <c r="C478" t="s">
        <v>26</v>
      </c>
      <c r="D478" t="s">
        <v>27</v>
      </c>
      <c r="E478" t="s">
        <v>15</v>
      </c>
      <c r="F478" t="s">
        <v>23</v>
      </c>
      <c r="G478" t="s">
        <v>24</v>
      </c>
      <c r="H478">
        <v>91</v>
      </c>
      <c r="I478">
        <v>12</v>
      </c>
      <c r="J478">
        <v>3</v>
      </c>
      <c r="K478">
        <v>1393</v>
      </c>
      <c r="L478" t="s">
        <v>28</v>
      </c>
    </row>
    <row r="479" spans="1:12" x14ac:dyDescent="0.2">
      <c r="A479" t="s">
        <v>513</v>
      </c>
      <c r="B479" s="2">
        <v>45743</v>
      </c>
      <c r="C479" t="s">
        <v>32</v>
      </c>
      <c r="D479" t="s">
        <v>33</v>
      </c>
      <c r="E479" t="s">
        <v>15</v>
      </c>
      <c r="F479" t="s">
        <v>35</v>
      </c>
      <c r="G479" t="s">
        <v>17</v>
      </c>
      <c r="H479">
        <v>121</v>
      </c>
      <c r="I479">
        <v>1</v>
      </c>
      <c r="J479">
        <v>4</v>
      </c>
      <c r="K479">
        <v>13041</v>
      </c>
      <c r="L479" t="s">
        <v>28</v>
      </c>
    </row>
    <row r="480" spans="1:12" x14ac:dyDescent="0.2">
      <c r="A480" t="s">
        <v>514</v>
      </c>
      <c r="B480" s="2">
        <v>45712</v>
      </c>
      <c r="C480" t="s">
        <v>44</v>
      </c>
      <c r="D480" t="s">
        <v>45</v>
      </c>
      <c r="E480" t="s">
        <v>34</v>
      </c>
      <c r="F480" t="s">
        <v>35</v>
      </c>
      <c r="G480" t="s">
        <v>30</v>
      </c>
      <c r="H480">
        <v>156</v>
      </c>
      <c r="I480">
        <v>4</v>
      </c>
      <c r="J480">
        <v>4</v>
      </c>
      <c r="K480">
        <v>4132</v>
      </c>
      <c r="L480" t="s">
        <v>28</v>
      </c>
    </row>
    <row r="481" spans="1:12" x14ac:dyDescent="0.2">
      <c r="A481" t="s">
        <v>515</v>
      </c>
      <c r="B481" s="2">
        <v>45849</v>
      </c>
      <c r="C481" t="s">
        <v>20</v>
      </c>
      <c r="D481" t="s">
        <v>21</v>
      </c>
      <c r="E481" t="s">
        <v>51</v>
      </c>
      <c r="F481" t="s">
        <v>35</v>
      </c>
      <c r="G481" t="s">
        <v>36</v>
      </c>
      <c r="H481">
        <v>111</v>
      </c>
      <c r="I481">
        <v>1</v>
      </c>
      <c r="J481">
        <v>4</v>
      </c>
      <c r="K481">
        <v>1247</v>
      </c>
      <c r="L481" t="s">
        <v>28</v>
      </c>
    </row>
    <row r="482" spans="1:12" x14ac:dyDescent="0.2">
      <c r="A482" t="s">
        <v>516</v>
      </c>
      <c r="B482" s="2">
        <v>45859</v>
      </c>
      <c r="C482" t="s">
        <v>26</v>
      </c>
      <c r="D482" t="s">
        <v>27</v>
      </c>
      <c r="E482" t="s">
        <v>22</v>
      </c>
      <c r="F482" t="s">
        <v>23</v>
      </c>
      <c r="G482" t="s">
        <v>17</v>
      </c>
      <c r="H482">
        <v>20</v>
      </c>
      <c r="I482">
        <v>9</v>
      </c>
      <c r="J482">
        <v>3</v>
      </c>
      <c r="K482">
        <v>10682</v>
      </c>
      <c r="L482" t="s">
        <v>18</v>
      </c>
    </row>
    <row r="483" spans="1:12" x14ac:dyDescent="0.2">
      <c r="A483" t="s">
        <v>517</v>
      </c>
      <c r="B483" s="2">
        <v>45955</v>
      </c>
      <c r="C483" t="s">
        <v>26</v>
      </c>
      <c r="D483" t="s">
        <v>27</v>
      </c>
      <c r="E483" t="s">
        <v>23</v>
      </c>
      <c r="F483" t="s">
        <v>35</v>
      </c>
      <c r="G483" t="s">
        <v>40</v>
      </c>
      <c r="H483">
        <v>162</v>
      </c>
      <c r="I483">
        <v>4</v>
      </c>
      <c r="J483">
        <v>3</v>
      </c>
      <c r="K483">
        <v>11643</v>
      </c>
      <c r="L483" t="s">
        <v>28</v>
      </c>
    </row>
    <row r="484" spans="1:12" x14ac:dyDescent="0.2">
      <c r="A484" t="s">
        <v>518</v>
      </c>
      <c r="B484" s="2">
        <v>45711</v>
      </c>
      <c r="C484" t="s">
        <v>20</v>
      </c>
      <c r="D484" t="s">
        <v>21</v>
      </c>
      <c r="E484" t="s">
        <v>22</v>
      </c>
      <c r="F484" t="s">
        <v>23</v>
      </c>
      <c r="G484" t="s">
        <v>17</v>
      </c>
      <c r="H484">
        <v>13</v>
      </c>
      <c r="I484">
        <v>0</v>
      </c>
      <c r="J484">
        <v>4</v>
      </c>
      <c r="K484">
        <v>12847</v>
      </c>
      <c r="L484" t="s">
        <v>28</v>
      </c>
    </row>
    <row r="485" spans="1:12" x14ac:dyDescent="0.2">
      <c r="A485" t="s">
        <v>519</v>
      </c>
      <c r="B485" s="2">
        <v>45825</v>
      </c>
      <c r="C485" t="s">
        <v>32</v>
      </c>
      <c r="D485" t="s">
        <v>33</v>
      </c>
      <c r="E485" t="s">
        <v>23</v>
      </c>
      <c r="F485" t="s">
        <v>16</v>
      </c>
      <c r="G485" t="s">
        <v>36</v>
      </c>
      <c r="H485">
        <v>5</v>
      </c>
      <c r="I485">
        <v>5</v>
      </c>
      <c r="J485">
        <v>3</v>
      </c>
      <c r="K485">
        <v>2005</v>
      </c>
      <c r="L485" t="s">
        <v>28</v>
      </c>
    </row>
    <row r="486" spans="1:12" x14ac:dyDescent="0.2">
      <c r="A486" t="s">
        <v>520</v>
      </c>
      <c r="B486" s="2">
        <v>45855</v>
      </c>
      <c r="C486" t="s">
        <v>32</v>
      </c>
      <c r="D486" t="s">
        <v>33</v>
      </c>
      <c r="E486" t="s">
        <v>34</v>
      </c>
      <c r="F486" t="s">
        <v>16</v>
      </c>
      <c r="G486" t="s">
        <v>30</v>
      </c>
      <c r="H486">
        <v>70</v>
      </c>
      <c r="I486">
        <v>4</v>
      </c>
      <c r="J486">
        <v>2</v>
      </c>
      <c r="K486">
        <v>7358</v>
      </c>
      <c r="L486" t="s">
        <v>28</v>
      </c>
    </row>
    <row r="487" spans="1:12" x14ac:dyDescent="0.2">
      <c r="A487" t="s">
        <v>521</v>
      </c>
      <c r="B487" s="2">
        <v>45934</v>
      </c>
      <c r="C487" t="s">
        <v>26</v>
      </c>
      <c r="D487" t="s">
        <v>27</v>
      </c>
      <c r="E487" t="s">
        <v>22</v>
      </c>
      <c r="F487" t="s">
        <v>23</v>
      </c>
      <c r="G487" t="s">
        <v>24</v>
      </c>
      <c r="H487">
        <v>68</v>
      </c>
      <c r="I487">
        <v>1</v>
      </c>
      <c r="J487">
        <v>5</v>
      </c>
      <c r="K487">
        <v>5485</v>
      </c>
      <c r="L487" t="s">
        <v>18</v>
      </c>
    </row>
    <row r="488" spans="1:12" x14ac:dyDescent="0.2">
      <c r="A488" t="s">
        <v>522</v>
      </c>
      <c r="B488" s="2">
        <v>45906</v>
      </c>
      <c r="C488" t="s">
        <v>32</v>
      </c>
      <c r="D488" t="s">
        <v>33</v>
      </c>
      <c r="E488" t="s">
        <v>22</v>
      </c>
      <c r="F488" t="s">
        <v>16</v>
      </c>
      <c r="G488" t="s">
        <v>30</v>
      </c>
      <c r="H488">
        <v>80</v>
      </c>
      <c r="I488">
        <v>6</v>
      </c>
      <c r="J488">
        <v>3</v>
      </c>
      <c r="K488">
        <v>265</v>
      </c>
      <c r="L488" t="s">
        <v>28</v>
      </c>
    </row>
    <row r="489" spans="1:12" x14ac:dyDescent="0.2">
      <c r="A489" t="s">
        <v>523</v>
      </c>
      <c r="B489" s="2">
        <v>45918</v>
      </c>
      <c r="C489" t="s">
        <v>32</v>
      </c>
      <c r="D489" t="s">
        <v>33</v>
      </c>
      <c r="E489" t="s">
        <v>22</v>
      </c>
      <c r="F489" t="s">
        <v>35</v>
      </c>
      <c r="G489" t="s">
        <v>17</v>
      </c>
      <c r="H489">
        <v>66</v>
      </c>
      <c r="I489">
        <v>10</v>
      </c>
      <c r="J489">
        <v>3</v>
      </c>
      <c r="K489">
        <v>9302</v>
      </c>
      <c r="L489" t="s">
        <v>18</v>
      </c>
    </row>
    <row r="490" spans="1:12" x14ac:dyDescent="0.2">
      <c r="A490" t="s">
        <v>524</v>
      </c>
      <c r="B490" s="2">
        <v>45822</v>
      </c>
      <c r="C490" t="s">
        <v>13</v>
      </c>
      <c r="D490" t="s">
        <v>14</v>
      </c>
      <c r="E490" t="s">
        <v>51</v>
      </c>
      <c r="F490" t="s">
        <v>16</v>
      </c>
      <c r="G490" t="s">
        <v>24</v>
      </c>
      <c r="H490">
        <v>88</v>
      </c>
      <c r="I490">
        <v>2</v>
      </c>
      <c r="J490">
        <v>2</v>
      </c>
      <c r="K490">
        <v>10448</v>
      </c>
      <c r="L490" t="s">
        <v>18</v>
      </c>
    </row>
    <row r="491" spans="1:12" x14ac:dyDescent="0.2">
      <c r="A491" t="s">
        <v>525</v>
      </c>
      <c r="B491" s="2">
        <v>45874</v>
      </c>
      <c r="C491" t="s">
        <v>26</v>
      </c>
      <c r="D491" t="s">
        <v>27</v>
      </c>
      <c r="E491" t="s">
        <v>23</v>
      </c>
      <c r="F491" t="s">
        <v>23</v>
      </c>
      <c r="G491" t="s">
        <v>17</v>
      </c>
      <c r="H491">
        <v>145</v>
      </c>
      <c r="I491">
        <v>5</v>
      </c>
      <c r="J491">
        <v>5</v>
      </c>
      <c r="K491">
        <v>9297</v>
      </c>
      <c r="L491" t="s">
        <v>28</v>
      </c>
    </row>
    <row r="492" spans="1:12" x14ac:dyDescent="0.2">
      <c r="A492" t="s">
        <v>526</v>
      </c>
      <c r="B492" s="2">
        <v>45702</v>
      </c>
      <c r="C492" t="s">
        <v>32</v>
      </c>
      <c r="D492" t="s">
        <v>33</v>
      </c>
      <c r="E492" t="s">
        <v>51</v>
      </c>
      <c r="F492" t="s">
        <v>16</v>
      </c>
      <c r="G492" t="s">
        <v>17</v>
      </c>
      <c r="H492">
        <v>120</v>
      </c>
      <c r="I492">
        <v>4</v>
      </c>
      <c r="J492">
        <v>1</v>
      </c>
      <c r="K492">
        <v>7624</v>
      </c>
      <c r="L492" t="s">
        <v>28</v>
      </c>
    </row>
    <row r="493" spans="1:12" x14ac:dyDescent="0.2">
      <c r="A493" t="s">
        <v>527</v>
      </c>
      <c r="B493" s="2">
        <v>45673</v>
      </c>
      <c r="C493" t="s">
        <v>20</v>
      </c>
      <c r="D493" t="s">
        <v>21</v>
      </c>
      <c r="E493" t="s">
        <v>22</v>
      </c>
      <c r="F493" t="s">
        <v>35</v>
      </c>
      <c r="G493" t="s">
        <v>40</v>
      </c>
      <c r="H493">
        <v>145</v>
      </c>
      <c r="I493">
        <v>5</v>
      </c>
      <c r="J493">
        <v>4</v>
      </c>
      <c r="K493">
        <v>1752</v>
      </c>
      <c r="L493" t="s">
        <v>28</v>
      </c>
    </row>
    <row r="494" spans="1:12" x14ac:dyDescent="0.2">
      <c r="A494" t="s">
        <v>528</v>
      </c>
      <c r="B494" s="2">
        <v>45685</v>
      </c>
      <c r="C494" t="s">
        <v>13</v>
      </c>
      <c r="D494" t="s">
        <v>14</v>
      </c>
      <c r="E494" t="s">
        <v>23</v>
      </c>
      <c r="F494" t="s">
        <v>16</v>
      </c>
      <c r="G494" t="s">
        <v>40</v>
      </c>
      <c r="H494">
        <v>127</v>
      </c>
      <c r="I494">
        <v>4</v>
      </c>
      <c r="J494">
        <v>2</v>
      </c>
      <c r="K494">
        <v>9259</v>
      </c>
      <c r="L494" t="s">
        <v>18</v>
      </c>
    </row>
    <row r="495" spans="1:12" x14ac:dyDescent="0.2">
      <c r="A495" t="s">
        <v>529</v>
      </c>
      <c r="B495" s="2">
        <v>46008</v>
      </c>
      <c r="C495" t="s">
        <v>26</v>
      </c>
      <c r="D495" t="s">
        <v>27</v>
      </c>
      <c r="E495" t="s">
        <v>22</v>
      </c>
      <c r="F495" t="s">
        <v>16</v>
      </c>
      <c r="G495" t="s">
        <v>36</v>
      </c>
      <c r="H495">
        <v>71</v>
      </c>
      <c r="I495">
        <v>9</v>
      </c>
      <c r="J495">
        <v>5</v>
      </c>
      <c r="K495">
        <v>6965</v>
      </c>
      <c r="L495" t="s">
        <v>28</v>
      </c>
    </row>
    <row r="496" spans="1:12" x14ac:dyDescent="0.2">
      <c r="A496" t="s">
        <v>530</v>
      </c>
      <c r="B496" s="2">
        <v>45937</v>
      </c>
      <c r="C496" t="s">
        <v>26</v>
      </c>
      <c r="D496" t="s">
        <v>27</v>
      </c>
      <c r="E496" t="s">
        <v>22</v>
      </c>
      <c r="F496" t="s">
        <v>16</v>
      </c>
      <c r="G496" t="s">
        <v>24</v>
      </c>
      <c r="H496">
        <v>84</v>
      </c>
      <c r="I496">
        <v>2</v>
      </c>
      <c r="J496">
        <v>2</v>
      </c>
      <c r="K496">
        <v>3660</v>
      </c>
      <c r="L496" t="s">
        <v>18</v>
      </c>
    </row>
    <row r="497" spans="1:12" x14ac:dyDescent="0.2">
      <c r="A497" t="s">
        <v>531</v>
      </c>
      <c r="B497" s="2">
        <v>45906</v>
      </c>
      <c r="C497" t="s">
        <v>44</v>
      </c>
      <c r="D497" t="s">
        <v>45</v>
      </c>
      <c r="E497" t="s">
        <v>34</v>
      </c>
      <c r="F497" t="s">
        <v>16</v>
      </c>
      <c r="G497" t="s">
        <v>17</v>
      </c>
      <c r="H497">
        <v>89</v>
      </c>
      <c r="I497">
        <v>7</v>
      </c>
      <c r="J497">
        <v>3</v>
      </c>
      <c r="K497">
        <v>12896</v>
      </c>
      <c r="L497" t="s">
        <v>28</v>
      </c>
    </row>
    <row r="498" spans="1:12" x14ac:dyDescent="0.2">
      <c r="A498" t="s">
        <v>532</v>
      </c>
      <c r="B498" s="2">
        <v>46011</v>
      </c>
      <c r="C498" t="s">
        <v>44</v>
      </c>
      <c r="D498" t="s">
        <v>45</v>
      </c>
      <c r="E498" t="s">
        <v>34</v>
      </c>
      <c r="F498" t="s">
        <v>23</v>
      </c>
      <c r="G498" t="s">
        <v>24</v>
      </c>
      <c r="H498">
        <v>68</v>
      </c>
      <c r="I498">
        <v>13</v>
      </c>
      <c r="J498">
        <v>5</v>
      </c>
      <c r="K498">
        <v>9440</v>
      </c>
      <c r="L498" t="s">
        <v>28</v>
      </c>
    </row>
    <row r="499" spans="1:12" x14ac:dyDescent="0.2">
      <c r="A499" t="s">
        <v>533</v>
      </c>
      <c r="B499" s="2">
        <v>45825</v>
      </c>
      <c r="C499" t="s">
        <v>20</v>
      </c>
      <c r="D499" t="s">
        <v>21</v>
      </c>
      <c r="E499" t="s">
        <v>34</v>
      </c>
      <c r="F499" t="s">
        <v>23</v>
      </c>
      <c r="G499" t="s">
        <v>30</v>
      </c>
      <c r="H499">
        <v>107</v>
      </c>
      <c r="I499">
        <v>9</v>
      </c>
      <c r="J499">
        <v>1</v>
      </c>
      <c r="K499">
        <v>16494</v>
      </c>
      <c r="L499" t="s">
        <v>28</v>
      </c>
    </row>
    <row r="500" spans="1:12" x14ac:dyDescent="0.2">
      <c r="A500" t="s">
        <v>534</v>
      </c>
      <c r="B500" s="2">
        <v>46000</v>
      </c>
      <c r="C500" t="s">
        <v>26</v>
      </c>
      <c r="D500" t="s">
        <v>27</v>
      </c>
      <c r="E500" t="s">
        <v>22</v>
      </c>
      <c r="F500" t="s">
        <v>23</v>
      </c>
      <c r="G500" t="s">
        <v>40</v>
      </c>
      <c r="H500">
        <v>162</v>
      </c>
      <c r="I500">
        <v>5</v>
      </c>
      <c r="J500">
        <v>5</v>
      </c>
      <c r="K500">
        <v>6344</v>
      </c>
      <c r="L500" t="s">
        <v>28</v>
      </c>
    </row>
    <row r="501" spans="1:12" x14ac:dyDescent="0.2">
      <c r="A501" t="s">
        <v>535</v>
      </c>
      <c r="B501" s="2">
        <v>45673</v>
      </c>
      <c r="C501" t="s">
        <v>20</v>
      </c>
      <c r="D501" t="s">
        <v>21</v>
      </c>
      <c r="E501" t="s">
        <v>22</v>
      </c>
      <c r="F501" t="s">
        <v>23</v>
      </c>
      <c r="G501" t="s">
        <v>36</v>
      </c>
      <c r="H501">
        <v>151</v>
      </c>
      <c r="I501">
        <v>0</v>
      </c>
      <c r="J501">
        <v>5</v>
      </c>
      <c r="K501">
        <v>12503</v>
      </c>
      <c r="L501" t="s">
        <v>28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
  <sheetViews>
    <sheetView showGridLines="0" workbookViewId="0">
      <selection activeCell="AI32" sqref="AI32"/>
    </sheetView>
  </sheetViews>
  <sheetFormatPr defaultRowHeight="14.25" x14ac:dyDescent="0.2"/>
  <cols>
    <col min="1" max="1" width="110" customWidth="1"/>
  </cols>
  <sheetData>
    <row r="1" spans="1:1" ht="35.1" customHeight="1" x14ac:dyDescent="0.3">
      <c r="A1" s="3" t="s">
        <v>536</v>
      </c>
    </row>
    <row r="3" spans="1:1" x14ac:dyDescent="0.2">
      <c r="A3" t="s">
        <v>537</v>
      </c>
    </row>
    <row r="5" spans="1:1" x14ac:dyDescent="0.2">
      <c r="A5" t="s">
        <v>538</v>
      </c>
    </row>
    <row r="7" spans="1:1" x14ac:dyDescent="0.2">
      <c r="A7" t="s">
        <v>539</v>
      </c>
    </row>
    <row r="8" spans="1:1" x14ac:dyDescent="0.2">
      <c r="A8" t="s">
        <v>540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Patient Visit by Province</vt:lpstr>
      <vt:lpstr>Wait Time by Hospital</vt:lpstr>
      <vt:lpstr>Patient Satisfaction</vt:lpstr>
      <vt:lpstr>Treatment Cost &amp; Lenght of stay</vt:lpstr>
      <vt:lpstr>Dashboard </vt:lpstr>
      <vt:lpstr>METRICS</vt:lpstr>
      <vt:lpstr>Patient Visits by Province</vt:lpstr>
      <vt:lpstr>Data</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Faremola</dc:creator>
  <cp:lastModifiedBy>tolulope Samuel</cp:lastModifiedBy>
  <dcterms:created xsi:type="dcterms:W3CDTF">2026-09-25T00:02:52Z</dcterms:created>
  <dcterms:modified xsi:type="dcterms:W3CDTF">2026-10-24T22:18:58Z</dcterms:modified>
</cp:coreProperties>
</file>